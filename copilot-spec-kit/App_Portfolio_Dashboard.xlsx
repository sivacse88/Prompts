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 Invento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<sst xmlns="http://schemas.openxmlformats.org/spreadsheetml/2006/main" count="92" uniqueCount="79">
  <si>
    <t xml:space="preserve">How to use this workbook</t>
  </si>
  <si>
    <t xml:space="preserve">1. Replace the sample data</t>
  </si>
  <si>
    <t xml:space="preserve">The 'App Inventory' sheet has the 18 column headers in place and no data.</t>
  </si>
  <si>
    <t xml:space="preserve">Paste your export starting at row 2, keeping the column order shown.</t>
  </si>
  <si>
    <t xml:space="preserve">Formulas read rows 2 to 1000, so anything you paste inside that range is picked up automatically.</t>
  </si>
  <si>
    <t xml:space="preserve">2. Maintain the manager list</t>
  </si>
  <si>
    <t xml:space="preserve">On 'Dashboard', cells B11:B20 are the only cells you type into. They are shaded yellow with blue text.</t>
  </si>
  <si>
    <t xml:space="preserve">The name must match the Dev Manager spelling in App Inventory exactly, or the row returns zero.</t>
  </si>
  <si>
    <t xml:space="preserve">Ten rows are available. Leave unused rows blank; they stay empty on their own.</t>
  </si>
  <si>
    <t xml:space="preserve">3. Check the cross-tab headers</t>
  </si>
  <si>
    <t xml:space="preserve">The three cross-tab blocks count against the text in their own header cells (Production, Concept, and so on).</t>
  </si>
  <si>
    <t xml:space="preserve">If a new App Stage or App Type appears in your data, retype a header to match it and the column follows.</t>
  </si>
  <si>
    <t xml:space="preserve">4. Nothing to refresh</t>
  </si>
  <si>
    <t xml:space="preserve">Every figure is a live formula. No PivotTable refresh, no macros. The file is .xlsx and needs no macro trust.</t>
  </si>
  <si>
    <t xml:space="preserve">Definition used for 'Apps w/ Findings'</t>
  </si>
  <si>
    <t xml:space="preserve">An app counts once if ANY of MEND Critical, MEND Medium, CodeQL Errors, or Secret Scanning is above zero.</t>
  </si>
  <si>
    <t xml:space="preserve">This is a count of applications, not a sum of findings, so it will not match the MEND Critical column.</t>
  </si>
  <si>
    <t xml:space="preserve">CodeQL Warnings are deliberately excluded from that definition; adjust the formula if your team counts them.</t>
  </si>
  <si>
    <t xml:space="preserve">If you paste these formulas into your own Exp_Dashboard.xlsm</t>
  </si>
  <si>
    <t xml:space="preserve">Swap the ranges for structured references so the table grows on its own. For example:</t>
  </si>
  <si>
    <t xml:space="preserve">    =COUNTIF('App Inventory'!$E$2:$E$1000,$B11)   becomes   =COUNTIF(AppInv[Dev Manager],$B11)</t>
  </si>
  <si>
    <t xml:space="preserve">    =SUMIF('App Inventory'!$E$2:$E$1000,$B11,'App Inventory'!$O$2:$O$1000)   becomes   =SUMIF(AppInv[Dev Manager],$B11,AppInv[MEND Critical])</t>
  </si>
  <si>
    <t xml:space="preserve">Confirm your table name first under Table Design &gt; Table Name.</t>
  </si>
  <si>
    <t xml:space="preserve">A caution worth passing on</t>
  </si>
  <si>
    <t xml:space="preserve">Ranking named managers by finding counts reads as a scorecard whether or not that is the intent.</t>
  </si>
  <si>
    <t xml:space="preserve">If MEND or CodeQL coverage is uneven across teams, the best-instrumented manager looks the worst.</t>
  </si>
  <si>
    <t xml:space="preserve">Consider showing scan coverage beside the counts before circulating this to your peer group.</t>
  </si>
  <si>
    <t xml:space="preserve">This workbook ships empty</t>
  </si>
  <si>
    <t xml:space="preserve">App Inventory contains headers only. Every dashboard figure will read 0 until you paste data in.</t>
  </si>
  <si>
    <t xml:space="preserve">Expected formats: App Stage and TLM Status as text, TLM EOL Date as a date, Days to TLM Target as a number,</t>
  </si>
  <si>
    <t xml:space="preserve">and the five finding columns (Codeql Warning, Codeql Error, MEND Critical, MEND Medium, Secret Scanning) as</t>
  </si>
  <si>
    <t xml:space="preserve">whole numbers with 0 rather than blank or N/A where there is nothing to report.</t>
  </si>
  <si>
    <t xml:space="preserve">S.No</t>
  </si>
  <si>
    <t xml:space="preserve">App Id</t>
  </si>
  <si>
    <t xml:space="preserve">App Name</t>
  </si>
  <si>
    <t xml:space="preserve">App Stage</t>
  </si>
  <si>
    <t xml:space="preserve">Dev Manager</t>
  </si>
  <si>
    <t xml:space="preserve">App Type</t>
  </si>
  <si>
    <t xml:space="preserve">Platform</t>
  </si>
  <si>
    <t xml:space="preserve">Sonar quality gate</t>
  </si>
  <si>
    <t xml:space="preserve">Sonar last analysis</t>
  </si>
  <si>
    <t xml:space="preserve">TLM Status</t>
  </si>
  <si>
    <t xml:space="preserve">TLM EOL Date</t>
  </si>
  <si>
    <t xml:space="preserve">Days to TLM Target</t>
  </si>
  <si>
    <t xml:space="preserve">Codeql Warning</t>
  </si>
  <si>
    <t xml:space="preserve">Codeql Error</t>
  </si>
  <si>
    <t xml:space="preserve">MEND Critical</t>
  </si>
  <si>
    <t xml:space="preserve">MEND Medium</t>
  </si>
  <si>
    <t xml:space="preserve">Secret Scanning</t>
  </si>
  <si>
    <t xml:space="preserve">Automation coverage</t>
  </si>
  <si>
    <t xml:space="preserve">Application Portfolio Dashboard</t>
  </si>
  <si>
    <t xml:space="preserve">Grouped by Dev Manager.  All figures recalculate live from the App Inventory sheet.</t>
  </si>
  <si>
    <t xml:space="preserve">Total Apps</t>
  </si>
  <si>
    <t xml:space="preserve">Apps w/ Findings</t>
  </si>
  <si>
    <t xml:space="preserve">Total Findings</t>
  </si>
  <si>
    <t xml:space="preserve">Secrets Exposed</t>
  </si>
  <si>
    <t xml:space="preserve">Approaching EOL</t>
  </si>
  <si>
    <t xml:space="preserve">EOL &lt;= 90 Days</t>
  </si>
  <si>
    <t xml:space="preserve">Findings and Risk by Manager</t>
  </si>
  <si>
    <t xml:space="preserve">CodeQL Errors</t>
  </si>
  <si>
    <t xml:space="preserve">CodeQL Warnings</t>
  </si>
  <si>
    <t xml:space="preserve">EOL &lt;= 90d</t>
  </si>
  <si>
    <t xml:space="preserve">Sonar Failing</t>
  </si>
  <si>
    <t xml:space="preserve">TOTAL</t>
  </si>
  <si>
    <t xml:space="preserve">Apps by Manager and App Stage</t>
  </si>
  <si>
    <t xml:space="preserve">Production</t>
  </si>
  <si>
    <t xml:space="preserve">Acquisition/Development</t>
  </si>
  <si>
    <t xml:space="preserve">Concept</t>
  </si>
  <si>
    <t xml:space="preserve">Total</t>
  </si>
  <si>
    <t xml:space="preserve">Apps by Manager and TLM Status</t>
  </si>
  <si>
    <t xml:space="preserve">Current</t>
  </si>
  <si>
    <t xml:space="preserve">Apps by Manager and App Type</t>
  </si>
  <si>
    <t xml:space="preserve">Spring Boot</t>
  </si>
  <si>
    <t xml:space="preserve">Batch</t>
  </si>
  <si>
    <t xml:space="preserve">Library</t>
  </si>
  <si>
    <t xml:space="preserve">UI / Angular</t>
  </si>
  <si>
    <t xml:space="preserve">Misc App</t>
  </si>
  <si>
    <t xml:space="preserve">Not Found</t>
  </si>
  <si>
    <t xml:space="preserve">Edit the category headers above to match any new App Type values; the formulas follow the header text.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</si>
</sst>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333333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FFFFFF"/>
      </font>
      <fill>
        <patternFill>
          <bgColor rgb="FFEB575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B5757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ppInv" displayName="AppInv" ref="A1:R2" headerRowCount="1" totalsRowCount="0" totalsRowShown="0">
  <autoFilter ref="A1:R2"/>
  <tableColumns count="18">
    <tableColumn id="1" name="S.No"/>
    <tableColumn id="2" name="App Id"/>
    <tableColumn id="3" name="App Name"/>
    <tableColumn id="4" name="App Stage"/>
    <tableColumn id="5" name="Dev Manager"/>
    <tableColumn id="6" name="App Type"/>
    <tableColumn id="7" name="Platform"/>
    <tableColumn id="8" name="Sonar quality gate"/>
    <tableColumn id="9" name="Sonar last analysis"/>
    <tableColumn id="10" name="TLM Status"/>
    <tableColumn id="11" name="TLM EOL Date"/>
    <tableColumn id="12" name="Days to TLM Target"/>
    <tableColumn id="13" name="Codeql Warning"/>
    <tableColumn id="14" name="Codeql Error"/>
    <tableColumn id="15" name="MEND Critical"/>
    <tableColumn id="16" name="MEND Medium"/>
    <tableColumn id="17" name="Secret Scanning"/>
    <tableColumn id="18" name="Automation cove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"/>
    <col collapsed="false" customWidth="true" hidden="false" outlineLevel="0" max="3" min="3" style="0" width="110"/>
  </cols>
  <sheetData>
    <row r="2" customFormat="false" ht="17.35" hidden="false" customHeight="false" outlineLevel="0" collapsed="false">
      <c r="C2" s="1" t="s">
        <v>0</v>
      </c>
    </row>
    <row r="3" customFormat="false" ht="15" hidden="false" customHeight="false" outlineLevel="0" collapsed="false">
      <c r="C3" s="2"/>
    </row>
    <row r="4" customFormat="false" ht="15" hidden="false" customHeight="false" outlineLevel="0" collapsed="false">
      <c r="C4" s="3" t="s">
        <v>1</v>
      </c>
    </row>
    <row r="5" customFormat="false" ht="15" hidden="false" customHeight="false" outlineLevel="0" collapsed="false">
      <c r="C5" s="2" t="s">
        <v>2</v>
      </c>
    </row>
    <row r="6" customFormat="false" ht="15" hidden="false" customHeight="false" outlineLevel="0" collapsed="false">
      <c r="C6" s="2" t="s">
        <v>3</v>
      </c>
    </row>
    <row r="7" customFormat="false" ht="15" hidden="false" customHeight="false" outlineLevel="0" collapsed="false">
      <c r="C7" s="2" t="s">
        <v>4</v>
      </c>
    </row>
    <row r="8" customFormat="false" ht="15" hidden="false" customHeight="false" outlineLevel="0" collapsed="false">
      <c r="C8" s="2"/>
    </row>
    <row r="9" customFormat="false" ht="15" hidden="false" customHeight="false" outlineLevel="0" collapsed="false">
      <c r="C9" s="3" t="s">
        <v>5</v>
      </c>
    </row>
    <row r="10" customFormat="false" ht="15" hidden="false" customHeight="false" outlineLevel="0" collapsed="false">
      <c r="C10" s="2" t="s">
        <v>6</v>
      </c>
    </row>
    <row r="11" customFormat="false" ht="15" hidden="false" customHeight="false" outlineLevel="0" collapsed="false">
      <c r="C11" s="2" t="s">
        <v>7</v>
      </c>
    </row>
    <row r="12" customFormat="false" ht="15" hidden="false" customHeight="false" outlineLevel="0" collapsed="false">
      <c r="C12" s="2" t="s">
        <v>8</v>
      </c>
    </row>
    <row r="13" customFormat="false" ht="15" hidden="false" customHeight="false" outlineLevel="0" collapsed="false">
      <c r="C13" s="2"/>
    </row>
    <row r="14" customFormat="false" ht="15" hidden="false" customHeight="false" outlineLevel="0" collapsed="false">
      <c r="C14" s="3" t="s">
        <v>9</v>
      </c>
    </row>
    <row r="15" customFormat="false" ht="15" hidden="false" customHeight="false" outlineLevel="0" collapsed="false">
      <c r="C15" s="2" t="s">
        <v>10</v>
      </c>
    </row>
    <row r="16" customFormat="false" ht="15" hidden="false" customHeight="false" outlineLevel="0" collapsed="false">
      <c r="C16" s="2" t="s">
        <v>11</v>
      </c>
    </row>
    <row r="17" customFormat="false" ht="15" hidden="false" customHeight="false" outlineLevel="0" collapsed="false">
      <c r="C17" s="2"/>
    </row>
    <row r="18" customFormat="false" ht="15" hidden="false" customHeight="false" outlineLevel="0" collapsed="false">
      <c r="C18" s="3" t="s">
        <v>12</v>
      </c>
    </row>
    <row r="19" customFormat="false" ht="15" hidden="false" customHeight="false" outlineLevel="0" collapsed="false">
      <c r="C19" s="2" t="s">
        <v>13</v>
      </c>
    </row>
    <row r="20" customFormat="false" ht="15" hidden="false" customHeight="false" outlineLevel="0" collapsed="false">
      <c r="C20" s="2"/>
    </row>
    <row r="21" customFormat="false" ht="15" hidden="false" customHeight="false" outlineLevel="0" collapsed="false">
      <c r="C21" s="3" t="s">
        <v>14</v>
      </c>
    </row>
    <row r="22" customFormat="false" ht="15" hidden="false" customHeight="false" outlineLevel="0" collapsed="false">
      <c r="C22" s="2" t="s">
        <v>15</v>
      </c>
    </row>
    <row r="23" customFormat="false" ht="15" hidden="false" customHeight="false" outlineLevel="0" collapsed="false">
      <c r="C23" s="2" t="s">
        <v>16</v>
      </c>
    </row>
    <row r="24" customFormat="false" ht="15" hidden="false" customHeight="false" outlineLevel="0" collapsed="false">
      <c r="C24" s="2" t="s">
        <v>17</v>
      </c>
    </row>
    <row r="25" customFormat="false" ht="15" hidden="false" customHeight="false" outlineLevel="0" collapsed="false">
      <c r="C25" s="2"/>
    </row>
    <row r="26" customFormat="false" ht="15" hidden="false" customHeight="false" outlineLevel="0" collapsed="false">
      <c r="C26" s="3" t="s">
        <v>18</v>
      </c>
    </row>
    <row r="27" customFormat="false" ht="15" hidden="false" customHeight="false" outlineLevel="0" collapsed="false">
      <c r="C27" s="2" t="s">
        <v>19</v>
      </c>
    </row>
    <row r="28" customFormat="false" ht="15" hidden="false" customHeight="false" outlineLevel="0" collapsed="false">
      <c r="C28" s="4" t="s">
        <v>20</v>
      </c>
    </row>
    <row r="29" customFormat="false" ht="15" hidden="false" customHeight="false" outlineLevel="0" collapsed="false">
      <c r="C29" s="4" t="s">
        <v>21</v>
      </c>
    </row>
    <row r="30" customFormat="false" ht="15" hidden="false" customHeight="false" outlineLevel="0" collapsed="false">
      <c r="C30" s="2" t="s">
        <v>22</v>
      </c>
    </row>
    <row r="31" customFormat="false" ht="15" hidden="false" customHeight="false" outlineLevel="0" collapsed="false">
      <c r="C31" s="2"/>
    </row>
    <row r="32" customFormat="false" ht="15" hidden="false" customHeight="false" outlineLevel="0" collapsed="false">
      <c r="C32" s="3" t="s">
        <v>23</v>
      </c>
    </row>
    <row r="33" customFormat="false" ht="15" hidden="false" customHeight="false" outlineLevel="0" collapsed="false">
      <c r="C33" s="2" t="s">
        <v>24</v>
      </c>
    </row>
    <row r="34" customFormat="false" ht="15" hidden="false" customHeight="false" outlineLevel="0" collapsed="false">
      <c r="C34" s="2" t="s">
        <v>25</v>
      </c>
    </row>
    <row r="35" customFormat="false" ht="15" hidden="false" customHeight="false" outlineLevel="0" collapsed="false">
      <c r="C35" s="2" t="s">
        <v>26</v>
      </c>
    </row>
    <row r="36" customFormat="false" ht="15" hidden="false" customHeight="false" outlineLevel="0" collapsed="false">
      <c r="C36" s="2"/>
    </row>
    <row r="37" customFormat="false" ht="15" hidden="false" customHeight="false" outlineLevel="0" collapsed="false">
      <c r="C37" s="3" t="s">
        <v>27</v>
      </c>
    </row>
    <row r="38" customFormat="false" ht="15" hidden="false" customHeight="false" outlineLevel="0" collapsed="false">
      <c r="C38" s="2" t="s">
        <v>28</v>
      </c>
    </row>
    <row r="39" customFormat="false" ht="15" hidden="false" customHeight="false" outlineLevel="0" collapsed="false">
      <c r="C39" s="2" t="s">
        <v>29</v>
      </c>
    </row>
    <row r="40" customFormat="false" ht="15" hidden="false" customHeight="false" outlineLevel="0" collapsed="false">
      <c r="C40" s="2" t="s">
        <v>30</v>
      </c>
    </row>
    <row r="41" customFormat="false" ht="15" hidden="false" customHeight="false" outlineLevel="0" collapsed="false">
      <c r="C41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10" min="8" style="0" width="17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6"/>
  </cols>
  <sheetData>
    <row r="1" customFormat="false" ht="30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13" min="3" style="0" width="15"/>
  </cols>
  <sheetData>
    <row r="2" customFormat="false" ht="17.35" hidden="false" customHeight="false" outlineLevel="0" collapsed="false">
      <c r="B2" s="1" t="s">
        <v>50</v>
      </c>
    </row>
    <row r="3" customFormat="false" ht="15" hidden="false" customHeight="false" outlineLevel="0" collapsed="false">
      <c r="B3" s="6" t="s">
        <v>51</v>
      </c>
    </row>
    <row r="5" customFormat="false" ht="15" hidden="false" customHeight="false" outlineLevel="0" collapsed="false">
      <c r="B5" s="7" t="s">
        <v>52</v>
      </c>
      <c r="C5" s="7"/>
      <c r="D5" s="7" t="s">
        <v>53</v>
      </c>
      <c r="E5" s="7"/>
      <c r="F5" s="7" t="s">
        <v>54</v>
      </c>
      <c r="G5" s="7"/>
      <c r="H5" s="7" t="s">
        <v>55</v>
      </c>
      <c r="I5" s="7"/>
      <c r="J5" s="7" t="s">
        <v>56</v>
      </c>
      <c r="K5" s="7"/>
      <c r="L5" s="7" t="s">
        <v>57</v>
      </c>
      <c r="M5" s="7"/>
    </row>
    <row r="6" customFormat="false" ht="24.45" hidden="false" customHeight="false" outlineLevel="0" collapsed="false">
      <c r="B6" s="8" t="n">
        <f aca="false">COUNTIF('App Inventory'!$E$2:$E$1000,"&lt;&gt;")</f>
        <v>0</v>
      </c>
      <c r="C6" s="8"/>
      <c r="D6" s="8" t="n">
        <f aca="false">SUMPRODUCT(('App Inventory'!$E$2:$E$1000&lt;&gt;"")*((N('App Inventory'!$O$2:$O$1000)&gt;0)+(N('App Inventory'!$P$2:$P$1000)&gt;0)+(N('App Inventory'!$N$2:$N$1000)&gt;0)+(N('App Inventory'!$Q$2:$Q$1000)&gt;0)&gt;0))</f>
        <v>0</v>
      </c>
      <c r="E6" s="8"/>
      <c r="F6" s="8" t="n">
        <f aca="false">SUM('App Inventory'!$O$2:$O$1000)+SUM('App Inventory'!$P$2:$P$1000)+SUM('App Inventory'!$N$2:$N$1000)+SUM('App Inventory'!$Q$2:$Q$1000)</f>
        <v>0</v>
      </c>
      <c r="G6" s="8"/>
      <c r="H6" s="8" t="n">
        <f aca="false">SUM('App Inventory'!$Q$2:$Q$1000)</f>
        <v>0</v>
      </c>
      <c r="I6" s="8"/>
      <c r="J6" s="8" t="n">
        <f aca="false">COUNTIF('App Inventory'!$J$2:$J$1000,"Approaching EOL")</f>
        <v>0</v>
      </c>
      <c r="K6" s="8"/>
      <c r="L6" s="8" t="n">
        <f aca="false">COUNTIFS('App Inventory'!$L$2:$L$1000,"&lt;=90",'App Inventory'!$L$2:$L$1000,"&gt;0")</f>
        <v>0</v>
      </c>
      <c r="M6" s="8"/>
    </row>
    <row r="9" customFormat="false" ht="15" hidden="false" customHeight="false" outlineLevel="0" collapsed="false">
      <c r="B9" s="9" t="s">
        <v>58</v>
      </c>
    </row>
    <row r="10" customFormat="false" ht="23.85" hidden="false" customHeight="false" outlineLevel="0" collapsed="false">
      <c r="B10" s="10" t="s">
        <v>36</v>
      </c>
      <c r="C10" s="10" t="s">
        <v>52</v>
      </c>
      <c r="D10" s="10" t="s">
        <v>53</v>
      </c>
      <c r="E10" s="10" t="s">
        <v>46</v>
      </c>
      <c r="F10" s="10" t="s">
        <v>47</v>
      </c>
      <c r="G10" s="10" t="s">
        <v>59</v>
      </c>
      <c r="H10" s="10" t="s">
        <v>60</v>
      </c>
      <c r="I10" s="10" t="s">
        <v>48</v>
      </c>
      <c r="J10" s="10" t="s">
        <v>56</v>
      </c>
      <c r="K10" s="10" t="s">
        <v>61</v>
      </c>
      <c r="L10" s="10" t="s">
        <v>62</v>
      </c>
    </row>
    <row r="11" customFormat="false" ht="15" hidden="false" customHeight="false" outlineLevel="0" collapsed="false">
      <c r="B11" s="11"/>
      <c r="C11" s="12" t="str">
        <f aca="false">IF($B11="","",COUNTIF('App Inventory'!$E$2:$E$1000,$B11))</f>
        <v/>
      </c>
      <c r="D11" s="12" t="str">
        <f aca="false">IF($B11="","",SUMPRODUCT(('App Inventory'!$E$2:$E$1000=$B11)*((N('App Inventory'!$O$2:$O$1000)&gt;0)+(N('App Inventory'!$P$2:$P$1000)&gt;0)+(N('App Inventory'!$N$2:$N$1000)&gt;0)+(N('App Inventory'!$Q$2:$Q$1000)&gt;0)&gt;0)))</f>
        <v/>
      </c>
      <c r="E11" s="12" t="str">
        <f aca="false">IF($B11="","",SUMIF('App Inventory'!$E$2:$E$1000,$B11,'App Inventory'!$O$2:$O$1000))</f>
        <v/>
      </c>
      <c r="F11" s="12" t="str">
        <f aca="false">IF($B11="","",SUMIF('App Inventory'!$E$2:$E$1000,$B11,'App Inventory'!$P$2:$P$1000))</f>
        <v/>
      </c>
      <c r="G11" s="12" t="str">
        <f aca="false">IF($B11="","",SUMIF('App Inventory'!$E$2:$E$1000,$B11,'App Inventory'!$N$2:$N$1000))</f>
        <v/>
      </c>
      <c r="H11" s="12" t="str">
        <f aca="false">IF($B11="","",SUMIF('App Inventory'!$E$2:$E$1000,$B11,'App Inventory'!$M$2:$M$1000))</f>
        <v/>
      </c>
      <c r="I11" s="12" t="str">
        <f aca="false">IF($B11="","",SUMIF('App Inventory'!$E$2:$E$1000,$B11,'App Inventory'!$Q$2:$Q$1000))</f>
        <v/>
      </c>
      <c r="J11" s="12" t="str">
        <f aca="false">IF($B11="","",COUNTIFS('App Inventory'!$E$2:$E$1000,$B11,'App Inventory'!$J$2:$J$1000,"Approaching EOL"))</f>
        <v/>
      </c>
      <c r="K11" s="12" t="str">
        <f aca="false">IF($B11="","",COUNTIFS('App Inventory'!$E$2:$E$1000,$B11,'App Inventory'!$L$2:$L$1000,"&lt;=90",'App Inventory'!$L$2:$L$1000,"&gt;0"))</f>
        <v/>
      </c>
      <c r="L11" s="12" t="str">
        <f aca="false">IF($B11="","",COUNTIFS('App Inventory'!$E$2:$E$1000,$B11,'App Inventory'!$H$2:$H$1000,"&lt;&gt;Passed",'App Inventory'!$H$2:$H$1000,"&lt;&gt;"))</f>
        <v/>
      </c>
    </row>
    <row r="12" customFormat="false" ht="15" hidden="false" customHeight="false" outlineLevel="0" collapsed="false">
      <c r="B12" s="11"/>
      <c r="C12" s="12" t="str">
        <f aca="false">IF($B12="","",COUNTIF('App Inventory'!$E$2:$E$1000,$B12))</f>
        <v/>
      </c>
      <c r="D12" s="12" t="str">
        <f aca="false">IF($B12="","",SUMPRODUCT(('App Inventory'!$E$2:$E$1000=$B12)*((N('App Inventory'!$O$2:$O$1000)&gt;0)+(N('App Inventory'!$P$2:$P$1000)&gt;0)+(N('App Inventory'!$N$2:$N$1000)&gt;0)+(N('App Inventory'!$Q$2:$Q$1000)&gt;0)&gt;0)))</f>
        <v/>
      </c>
      <c r="E12" s="12" t="str">
        <f aca="false">IF($B12="","",SUMIF('App Inventory'!$E$2:$E$1000,$B12,'App Inventory'!$O$2:$O$1000))</f>
        <v/>
      </c>
      <c r="F12" s="12" t="str">
        <f aca="false">IF($B12="","",SUMIF('App Inventory'!$E$2:$E$1000,$B12,'App Inventory'!$P$2:$P$1000))</f>
        <v/>
      </c>
      <c r="G12" s="12" t="str">
        <f aca="false">IF($B12="","",SUMIF('App Inventory'!$E$2:$E$1000,$B12,'App Inventory'!$N$2:$N$1000))</f>
        <v/>
      </c>
      <c r="H12" s="12" t="str">
        <f aca="false">IF($B12="","",SUMIF('App Inventory'!$E$2:$E$1000,$B12,'App Inventory'!$M$2:$M$1000))</f>
        <v/>
      </c>
      <c r="I12" s="12" t="str">
        <f aca="false">IF($B12="","",SUMIF('App Inventory'!$E$2:$E$1000,$B12,'App Inventory'!$Q$2:$Q$1000))</f>
        <v/>
      </c>
      <c r="J12" s="12" t="str">
        <f aca="false">IF($B12="","",COUNTIFS('App Inventory'!$E$2:$E$1000,$B12,'App Inventory'!$J$2:$J$1000,"Approaching EOL"))</f>
        <v/>
      </c>
      <c r="K12" s="12" t="str">
        <f aca="false">IF($B12="","",COUNTIFS('App Inventory'!$E$2:$E$1000,$B12,'App Inventory'!$L$2:$L$1000,"&lt;=90",'App Inventory'!$L$2:$L$1000,"&gt;0"))</f>
        <v/>
      </c>
      <c r="L12" s="12" t="str">
        <f aca="false">IF($B12="","",COUNTIFS('App Inventory'!$E$2:$E$1000,$B12,'App Inventory'!$H$2:$H$1000,"&lt;&gt;Passed",'App Inventory'!$H$2:$H$1000,"&lt;&gt;"))</f>
        <v/>
      </c>
    </row>
    <row r="13" customFormat="false" ht="15" hidden="false" customHeight="false" outlineLevel="0" collapsed="false">
      <c r="B13" s="11"/>
      <c r="C13" s="12" t="str">
        <f aca="false">IF($B13="","",COUNTIF('App Inventory'!$E$2:$E$1000,$B13))</f>
        <v/>
      </c>
      <c r="D13" s="12" t="str">
        <f aca="false">IF($B13="","",SUMPRODUCT(('App Inventory'!$E$2:$E$1000=$B13)*((N('App Inventory'!$O$2:$O$1000)&gt;0)+(N('App Inventory'!$P$2:$P$1000)&gt;0)+(N('App Inventory'!$N$2:$N$1000)&gt;0)+(N('App Inventory'!$Q$2:$Q$1000)&gt;0)&gt;0)))</f>
        <v/>
      </c>
      <c r="E13" s="12" t="str">
        <f aca="false">IF($B13="","",SUMIF('App Inventory'!$E$2:$E$1000,$B13,'App Inventory'!$O$2:$O$1000))</f>
        <v/>
      </c>
      <c r="F13" s="12" t="str">
        <f aca="false">IF($B13="","",SUMIF('App Inventory'!$E$2:$E$1000,$B13,'App Inventory'!$P$2:$P$1000))</f>
        <v/>
      </c>
      <c r="G13" s="12" t="str">
        <f aca="false">IF($B13="","",SUMIF('App Inventory'!$E$2:$E$1000,$B13,'App Inventory'!$N$2:$N$1000))</f>
        <v/>
      </c>
      <c r="H13" s="12" t="str">
        <f aca="false">IF($B13="","",SUMIF('App Inventory'!$E$2:$E$1000,$B13,'App Inventory'!$M$2:$M$1000))</f>
        <v/>
      </c>
      <c r="I13" s="12" t="str">
        <f aca="false">IF($B13="","",SUMIF('App Inventory'!$E$2:$E$1000,$B13,'App Inventory'!$Q$2:$Q$1000))</f>
        <v/>
      </c>
      <c r="J13" s="12" t="str">
        <f aca="false">IF($B13="","",COUNTIFS('App Inventory'!$E$2:$E$1000,$B13,'App Inventory'!$J$2:$J$1000,"Approaching EOL"))</f>
        <v/>
      </c>
      <c r="K13" s="12" t="str">
        <f aca="false">IF($B13="","",COUNTIFS('App Inventory'!$E$2:$E$1000,$B13,'App Inventory'!$L$2:$L$1000,"&lt;=90",'App Inventory'!$L$2:$L$1000,"&gt;0"))</f>
        <v/>
      </c>
      <c r="L13" s="12" t="str">
        <f aca="false">IF($B13="","",COUNTIFS('App Inventory'!$E$2:$E$1000,$B13,'App Inventory'!$H$2:$H$1000,"&lt;&gt;Passed",'App Inventory'!$H$2:$H$1000,"&lt;&gt;"))</f>
        <v/>
      </c>
    </row>
    <row r="14" customFormat="false" ht="15" hidden="false" customHeight="false" outlineLevel="0" collapsed="false">
      <c r="B14" s="11"/>
      <c r="C14" s="12" t="str">
        <f aca="false">IF($B14="","",COUNTIF('App Inventory'!$E$2:$E$1000,$B14))</f>
        <v/>
      </c>
      <c r="D14" s="12" t="str">
        <f aca="false">IF($B14="","",SUMPRODUCT(('App Inventory'!$E$2:$E$1000=$B14)*((N('App Inventory'!$O$2:$O$1000)&gt;0)+(N('App Inventory'!$P$2:$P$1000)&gt;0)+(N('App Inventory'!$N$2:$N$1000)&gt;0)+(N('App Inventory'!$Q$2:$Q$1000)&gt;0)&gt;0)))</f>
        <v/>
      </c>
      <c r="E14" s="12" t="str">
        <f aca="false">IF($B14="","",SUMIF('App Inventory'!$E$2:$E$1000,$B14,'App Inventory'!$O$2:$O$1000))</f>
        <v/>
      </c>
      <c r="F14" s="12" t="str">
        <f aca="false">IF($B14="","",SUMIF('App Inventory'!$E$2:$E$1000,$B14,'App Inventory'!$P$2:$P$1000))</f>
        <v/>
      </c>
      <c r="G14" s="12" t="str">
        <f aca="false">IF($B14="","",SUMIF('App Inventory'!$E$2:$E$1000,$B14,'App Inventory'!$N$2:$N$1000))</f>
        <v/>
      </c>
      <c r="H14" s="12" t="str">
        <f aca="false">IF($B14="","",SUMIF('App Inventory'!$E$2:$E$1000,$B14,'App Inventory'!$M$2:$M$1000))</f>
        <v/>
      </c>
      <c r="I14" s="12" t="str">
        <f aca="false">IF($B14="","",SUMIF('App Inventory'!$E$2:$E$1000,$B14,'App Inventory'!$Q$2:$Q$1000))</f>
        <v/>
      </c>
      <c r="J14" s="12" t="str">
        <f aca="false">IF($B14="","",COUNTIFS('App Inventory'!$E$2:$E$1000,$B14,'App Inventory'!$J$2:$J$1000,"Approaching EOL"))</f>
        <v/>
      </c>
      <c r="K14" s="12" t="str">
        <f aca="false">IF($B14="","",COUNTIFS('App Inventory'!$E$2:$E$1000,$B14,'App Inventory'!$L$2:$L$1000,"&lt;=90",'App Inventory'!$L$2:$L$1000,"&gt;0"))</f>
        <v/>
      </c>
      <c r="L14" s="12" t="str">
        <f aca="false">IF($B14="","",COUNTIFS('App Inventory'!$E$2:$E$1000,$B14,'App Inventory'!$H$2:$H$1000,"&lt;&gt;Passed",'App Inventory'!$H$2:$H$1000,"&lt;&gt;"))</f>
        <v/>
      </c>
    </row>
    <row r="15" customFormat="false" ht="15" hidden="false" customHeight="false" outlineLevel="0" collapsed="false">
      <c r="B15" s="11"/>
      <c r="C15" s="12" t="str">
        <f aca="false">IF($B15="","",COUNTIF('App Inventory'!$E$2:$E$1000,$B15))</f>
        <v/>
      </c>
      <c r="D15" s="12" t="str">
        <f aca="false">IF($B15="","",SUMPRODUCT(('App Inventory'!$E$2:$E$1000=$B15)*((N('App Inventory'!$O$2:$O$1000)&gt;0)+(N('App Inventory'!$P$2:$P$1000)&gt;0)+(N('App Inventory'!$N$2:$N$1000)&gt;0)+(N('App Inventory'!$Q$2:$Q$1000)&gt;0)&gt;0)))</f>
        <v/>
      </c>
      <c r="E15" s="12" t="str">
        <f aca="false">IF($B15="","",SUMIF('App Inventory'!$E$2:$E$1000,$B15,'App Inventory'!$O$2:$O$1000))</f>
        <v/>
      </c>
      <c r="F15" s="12" t="str">
        <f aca="false">IF($B15="","",SUMIF('App Inventory'!$E$2:$E$1000,$B15,'App Inventory'!$P$2:$P$1000))</f>
        <v/>
      </c>
      <c r="G15" s="12" t="str">
        <f aca="false">IF($B15="","",SUMIF('App Inventory'!$E$2:$E$1000,$B15,'App Inventory'!$N$2:$N$1000))</f>
        <v/>
      </c>
      <c r="H15" s="12" t="str">
        <f aca="false">IF($B15="","",SUMIF('App Inventory'!$E$2:$E$1000,$B15,'App Inventory'!$M$2:$M$1000))</f>
        <v/>
      </c>
      <c r="I15" s="12" t="str">
        <f aca="false">IF($B15="","",SUMIF('App Inventory'!$E$2:$E$1000,$B15,'App Inventory'!$Q$2:$Q$1000))</f>
        <v/>
      </c>
      <c r="J15" s="12" t="str">
        <f aca="false">IF($B15="","",COUNTIFS('App Inventory'!$E$2:$E$1000,$B15,'App Inventory'!$J$2:$J$1000,"Approaching EOL"))</f>
        <v/>
      </c>
      <c r="K15" s="12" t="str">
        <f aca="false">IF($B15="","",COUNTIFS('App Inventory'!$E$2:$E$1000,$B15,'App Inventory'!$L$2:$L$1000,"&lt;=90",'App Inventory'!$L$2:$L$1000,"&gt;0"))</f>
        <v/>
      </c>
      <c r="L15" s="12" t="str">
        <f aca="false">IF($B15="","",COUNTIFS('App Inventory'!$E$2:$E$1000,$B15,'App Inventory'!$H$2:$H$1000,"&lt;&gt;Passed",'App Inventory'!$H$2:$H$1000,"&lt;&gt;"))</f>
        <v/>
      </c>
    </row>
    <row r="16" customFormat="false" ht="15" hidden="false" customHeight="false" outlineLevel="0" collapsed="false">
      <c r="B16" s="11"/>
      <c r="C16" s="12" t="str">
        <f aca="false">IF($B16="","",COUNTIF('App Inventory'!$E$2:$E$1000,$B16))</f>
        <v/>
      </c>
      <c r="D16" s="12" t="str">
        <f aca="false">IF($B16="","",SUMPRODUCT(('App Inventory'!$E$2:$E$1000=$B16)*((N('App Inventory'!$O$2:$O$1000)&gt;0)+(N('App Inventory'!$P$2:$P$1000)&gt;0)+(N('App Inventory'!$N$2:$N$1000)&gt;0)+(N('App Inventory'!$Q$2:$Q$1000)&gt;0)&gt;0)))</f>
        <v/>
      </c>
      <c r="E16" s="12" t="str">
        <f aca="false">IF($B16="","",SUMIF('App Inventory'!$E$2:$E$1000,$B16,'App Inventory'!$O$2:$O$1000))</f>
        <v/>
      </c>
      <c r="F16" s="12" t="str">
        <f aca="false">IF($B16="","",SUMIF('App Inventory'!$E$2:$E$1000,$B16,'App Inventory'!$P$2:$P$1000))</f>
        <v/>
      </c>
      <c r="G16" s="12" t="str">
        <f aca="false">IF($B16="","",SUMIF('App Inventory'!$E$2:$E$1000,$B16,'App Inventory'!$N$2:$N$1000))</f>
        <v/>
      </c>
      <c r="H16" s="12" t="str">
        <f aca="false">IF($B16="","",SUMIF('App Inventory'!$E$2:$E$1000,$B16,'App Inventory'!$M$2:$M$1000))</f>
        <v/>
      </c>
      <c r="I16" s="12" t="str">
        <f aca="false">IF($B16="","",SUMIF('App Inventory'!$E$2:$E$1000,$B16,'App Inventory'!$Q$2:$Q$1000))</f>
        <v/>
      </c>
      <c r="J16" s="12" t="str">
        <f aca="false">IF($B16="","",COUNTIFS('App Inventory'!$E$2:$E$1000,$B16,'App Inventory'!$J$2:$J$1000,"Approaching EOL"))</f>
        <v/>
      </c>
      <c r="K16" s="12" t="str">
        <f aca="false">IF($B16="","",COUNTIFS('App Inventory'!$E$2:$E$1000,$B16,'App Inventory'!$L$2:$L$1000,"&lt;=90",'App Inventory'!$L$2:$L$1000,"&gt;0"))</f>
        <v/>
      </c>
      <c r="L16" s="12" t="str">
        <f aca="false">IF($B16="","",COUNTIFS('App Inventory'!$E$2:$E$1000,$B16,'App Inventory'!$H$2:$H$1000,"&lt;&gt;Passed",'App Inventory'!$H$2:$H$1000,"&lt;&gt;"))</f>
        <v/>
      </c>
    </row>
    <row r="17" customFormat="false" ht="15" hidden="false" customHeight="false" outlineLevel="0" collapsed="false">
      <c r="B17" s="11"/>
      <c r="C17" s="12" t="str">
        <f aca="false">IF($B17="","",COUNTIF('App Inventory'!$E$2:$E$1000,$B17))</f>
        <v/>
      </c>
      <c r="D17" s="12" t="str">
        <f aca="false">IF($B17="","",SUMPRODUCT(('App Inventory'!$E$2:$E$1000=$B17)*((N('App Inventory'!$O$2:$O$1000)&gt;0)+(N('App Inventory'!$P$2:$P$1000)&gt;0)+(N('App Inventory'!$N$2:$N$1000)&gt;0)+(N('App Inventory'!$Q$2:$Q$1000)&gt;0)&gt;0)))</f>
        <v/>
      </c>
      <c r="E17" s="12" t="str">
        <f aca="false">IF($B17="","",SUMIF('App Inventory'!$E$2:$E$1000,$B17,'App Inventory'!$O$2:$O$1000))</f>
        <v/>
      </c>
      <c r="F17" s="12" t="str">
        <f aca="false">IF($B17="","",SUMIF('App Inventory'!$E$2:$E$1000,$B17,'App Inventory'!$P$2:$P$1000))</f>
        <v/>
      </c>
      <c r="G17" s="12" t="str">
        <f aca="false">IF($B17="","",SUMIF('App Inventory'!$E$2:$E$1000,$B17,'App Inventory'!$N$2:$N$1000))</f>
        <v/>
      </c>
      <c r="H17" s="12" t="str">
        <f aca="false">IF($B17="","",SUMIF('App Inventory'!$E$2:$E$1000,$B17,'App Inventory'!$M$2:$M$1000))</f>
        <v/>
      </c>
      <c r="I17" s="12" t="str">
        <f aca="false">IF($B17="","",SUMIF('App Inventory'!$E$2:$E$1000,$B17,'App Inventory'!$Q$2:$Q$1000))</f>
        <v/>
      </c>
      <c r="J17" s="12" t="str">
        <f aca="false">IF($B17="","",COUNTIFS('App Inventory'!$E$2:$E$1000,$B17,'App Inventory'!$J$2:$J$1000,"Approaching EOL"))</f>
        <v/>
      </c>
      <c r="K17" s="12" t="str">
        <f aca="false">IF($B17="","",COUNTIFS('App Inventory'!$E$2:$E$1000,$B17,'App Inventory'!$L$2:$L$1000,"&lt;=90",'App Inventory'!$L$2:$L$1000,"&gt;0"))</f>
        <v/>
      </c>
      <c r="L17" s="12" t="str">
        <f aca="false">IF($B17="","",COUNTIFS('App Inventory'!$E$2:$E$1000,$B17,'App Inventory'!$H$2:$H$1000,"&lt;&gt;Passed",'App Inventory'!$H$2:$H$1000,"&lt;&gt;"))</f>
        <v/>
      </c>
    </row>
    <row r="18" customFormat="false" ht="15" hidden="false" customHeight="false" outlineLevel="0" collapsed="false">
      <c r="B18" s="11"/>
      <c r="C18" s="12" t="str">
        <f aca="false">IF($B18="","",COUNTIF('App Inventory'!$E$2:$E$1000,$B18))</f>
        <v/>
      </c>
      <c r="D18" s="12" t="str">
        <f aca="false">IF($B18="","",SUMPRODUCT(('App Inventory'!$E$2:$E$1000=$B18)*((N('App Inventory'!$O$2:$O$1000)&gt;0)+(N('App Inventory'!$P$2:$P$1000)&gt;0)+(N('App Inventory'!$N$2:$N$1000)&gt;0)+(N('App Inventory'!$Q$2:$Q$1000)&gt;0)&gt;0)))</f>
        <v/>
      </c>
      <c r="E18" s="12" t="str">
        <f aca="false">IF($B18="","",SUMIF('App Inventory'!$E$2:$E$1000,$B18,'App Inventory'!$O$2:$O$1000))</f>
        <v/>
      </c>
      <c r="F18" s="12" t="str">
        <f aca="false">IF($B18="","",SUMIF('App Inventory'!$E$2:$E$1000,$B18,'App Inventory'!$P$2:$P$1000))</f>
        <v/>
      </c>
      <c r="G18" s="12" t="str">
        <f aca="false">IF($B18="","",SUMIF('App Inventory'!$E$2:$E$1000,$B18,'App Inventory'!$N$2:$N$1000))</f>
        <v/>
      </c>
      <c r="H18" s="12" t="str">
        <f aca="false">IF($B18="","",SUMIF('App Inventory'!$E$2:$E$1000,$B18,'App Inventory'!$M$2:$M$1000))</f>
        <v/>
      </c>
      <c r="I18" s="12" t="str">
        <f aca="false">IF($B18="","",SUMIF('App Inventory'!$E$2:$E$1000,$B18,'App Inventory'!$Q$2:$Q$1000))</f>
        <v/>
      </c>
      <c r="J18" s="12" t="str">
        <f aca="false">IF($B18="","",COUNTIFS('App Inventory'!$E$2:$E$1000,$B18,'App Inventory'!$J$2:$J$1000,"Approaching EOL"))</f>
        <v/>
      </c>
      <c r="K18" s="12" t="str">
        <f aca="false">IF($B18="","",COUNTIFS('App Inventory'!$E$2:$E$1000,$B18,'App Inventory'!$L$2:$L$1000,"&lt;=90",'App Inventory'!$L$2:$L$1000,"&gt;0"))</f>
        <v/>
      </c>
      <c r="L18" s="12" t="str">
        <f aca="false">IF($B18="","",COUNTIFS('App Inventory'!$E$2:$E$1000,$B18,'App Inventory'!$H$2:$H$1000,"&lt;&gt;Passed",'App Inventory'!$H$2:$H$1000,"&lt;&gt;"))</f>
        <v/>
      </c>
    </row>
    <row r="19" customFormat="false" ht="15" hidden="false" customHeight="false" outlineLevel="0" collapsed="false">
      <c r="B19" s="11"/>
      <c r="C19" s="12" t="str">
        <f aca="false">IF($B19="","",COUNTIF('App Inventory'!$E$2:$E$1000,$B19))</f>
        <v/>
      </c>
      <c r="D19" s="12" t="str">
        <f aca="false">IF($B19="","",SUMPRODUCT(('App Inventory'!$E$2:$E$1000=$B19)*((N('App Inventory'!$O$2:$O$1000)&gt;0)+(N('App Inventory'!$P$2:$P$1000)&gt;0)+(N('App Inventory'!$N$2:$N$1000)&gt;0)+(N('App Inventory'!$Q$2:$Q$1000)&gt;0)&gt;0)))</f>
        <v/>
      </c>
      <c r="E19" s="12" t="str">
        <f aca="false">IF($B19="","",SUMIF('App Inventory'!$E$2:$E$1000,$B19,'App Inventory'!$O$2:$O$1000))</f>
        <v/>
      </c>
      <c r="F19" s="12" t="str">
        <f aca="false">IF($B19="","",SUMIF('App Inventory'!$E$2:$E$1000,$B19,'App Inventory'!$P$2:$P$1000))</f>
        <v/>
      </c>
      <c r="G19" s="12" t="str">
        <f aca="false">IF($B19="","",SUMIF('App Inventory'!$E$2:$E$1000,$B19,'App Inventory'!$N$2:$N$1000))</f>
        <v/>
      </c>
      <c r="H19" s="12" t="str">
        <f aca="false">IF($B19="","",SUMIF('App Inventory'!$E$2:$E$1000,$B19,'App Inventory'!$M$2:$M$1000))</f>
        <v/>
      </c>
      <c r="I19" s="12" t="str">
        <f aca="false">IF($B19="","",SUMIF('App Inventory'!$E$2:$E$1000,$B19,'App Inventory'!$Q$2:$Q$1000))</f>
        <v/>
      </c>
      <c r="J19" s="12" t="str">
        <f aca="false">IF($B19="","",COUNTIFS('App Inventory'!$E$2:$E$1000,$B19,'App Inventory'!$J$2:$J$1000,"Approaching EOL"))</f>
        <v/>
      </c>
      <c r="K19" s="12" t="str">
        <f aca="false">IF($B19="","",COUNTIFS('App Inventory'!$E$2:$E$1000,$B19,'App Inventory'!$L$2:$L$1000,"&lt;=90",'App Inventory'!$L$2:$L$1000,"&gt;0"))</f>
        <v/>
      </c>
      <c r="L19" s="12" t="str">
        <f aca="false">IF($B19="","",COUNTIFS('App Inventory'!$E$2:$E$1000,$B19,'App Inventory'!$H$2:$H$1000,"&lt;&gt;Passed",'App Inventory'!$H$2:$H$1000,"&lt;&gt;"))</f>
        <v/>
      </c>
    </row>
    <row r="20" customFormat="false" ht="15" hidden="false" customHeight="false" outlineLevel="0" collapsed="false">
      <c r="B20" s="11"/>
      <c r="C20" s="12" t="str">
        <f aca="false">IF($B20="","",COUNTIF('App Inventory'!$E$2:$E$1000,$B20))</f>
        <v/>
      </c>
      <c r="D20" s="12" t="str">
        <f aca="false">IF($B20="","",SUMPRODUCT(('App Inventory'!$E$2:$E$1000=$B20)*((N('App Inventory'!$O$2:$O$1000)&gt;0)+(N('App Inventory'!$P$2:$P$1000)&gt;0)+(N('App Inventory'!$N$2:$N$1000)&gt;0)+(N('App Inventory'!$Q$2:$Q$1000)&gt;0)&gt;0)))</f>
        <v/>
      </c>
      <c r="E20" s="12" t="str">
        <f aca="false">IF($B20="","",SUMIF('App Inventory'!$E$2:$E$1000,$B20,'App Inventory'!$O$2:$O$1000))</f>
        <v/>
      </c>
      <c r="F20" s="12" t="str">
        <f aca="false">IF($B20="","",SUMIF('App Inventory'!$E$2:$E$1000,$B20,'App Inventory'!$P$2:$P$1000))</f>
        <v/>
      </c>
      <c r="G20" s="12" t="str">
        <f aca="false">IF($B20="","",SUMIF('App Inventory'!$E$2:$E$1000,$B20,'App Inventory'!$N$2:$N$1000))</f>
        <v/>
      </c>
      <c r="H20" s="12" t="str">
        <f aca="false">IF($B20="","",SUMIF('App Inventory'!$E$2:$E$1000,$B20,'App Inventory'!$M$2:$M$1000))</f>
        <v/>
      </c>
      <c r="I20" s="12" t="str">
        <f aca="false">IF($B20="","",SUMIF('App Inventory'!$E$2:$E$1000,$B20,'App Inventory'!$Q$2:$Q$1000))</f>
        <v/>
      </c>
      <c r="J20" s="12" t="str">
        <f aca="false">IF($B20="","",COUNTIFS('App Inventory'!$E$2:$E$1000,$B20,'App Inventory'!$J$2:$J$1000,"Approaching EOL"))</f>
        <v/>
      </c>
      <c r="K20" s="12" t="str">
        <f aca="false">IF($B20="","",COUNTIFS('App Inventory'!$E$2:$E$1000,$B20,'App Inventory'!$L$2:$L$1000,"&lt;=90",'App Inventory'!$L$2:$L$1000,"&gt;0"))</f>
        <v/>
      </c>
      <c r="L20" s="12" t="str">
        <f aca="false">IF($B20="","",COUNTIFS('App Inventory'!$E$2:$E$1000,$B20,'App Inventory'!$H$2:$H$1000,"&lt;&gt;Passed",'App Inventory'!$H$2:$H$1000,"&lt;&gt;"))</f>
        <v/>
      </c>
    </row>
    <row r="21" customFormat="false" ht="15" hidden="false" customHeight="false" outlineLevel="0" collapsed="false">
      <c r="B21" s="13" t="s">
        <v>63</v>
      </c>
      <c r="C21" s="14" t="n">
        <f aca="false">SUM(C11:C20)</f>
        <v>0</v>
      </c>
      <c r="D21" s="14" t="n">
        <f aca="false">SUM(D11:D20)</f>
        <v>0</v>
      </c>
      <c r="E21" s="14" t="n">
        <f aca="false">SUM(E11:E20)</f>
        <v>0</v>
      </c>
      <c r="F21" s="14" t="n">
        <f aca="false">SUM(F11:F20)</f>
        <v>0</v>
      </c>
      <c r="G21" s="14" t="n">
        <f aca="false">SUM(G11:G20)</f>
        <v>0</v>
      </c>
      <c r="H21" s="14" t="n">
        <f aca="false">SUM(H11:H20)</f>
        <v>0</v>
      </c>
      <c r="I21" s="14" t="n">
        <f aca="false">SUM(I11:I20)</f>
        <v>0</v>
      </c>
      <c r="J21" s="14" t="n">
        <f aca="false">SUM(J11:J20)</f>
        <v>0</v>
      </c>
      <c r="K21" s="14" t="n">
        <f aca="false">SUM(K11:K20)</f>
        <v>0</v>
      </c>
      <c r="L21" s="14" t="n">
        <f aca="false">SUM(L11:L20)</f>
        <v>0</v>
      </c>
    </row>
    <row r="24" customFormat="false" ht="15" hidden="false" customHeight="false" outlineLevel="0" collapsed="false">
      <c r="B24" s="9" t="s">
        <v>64</v>
      </c>
    </row>
    <row r="25" customFormat="false" ht="23.85" hidden="false" customHeight="false" outlineLevel="0" collapsed="false">
      <c r="B25" s="10" t="s">
        <v>36</v>
      </c>
      <c r="C25" s="10" t="s">
        <v>65</v>
      </c>
      <c r="D25" s="10" t="s">
        <v>66</v>
      </c>
      <c r="E25" s="10" t="s">
        <v>67</v>
      </c>
      <c r="F25" s="10" t="s">
        <v>68</v>
      </c>
    </row>
    <row r="26" customFormat="false" ht="15" hidden="false" customHeight="false" outlineLevel="0" collapsed="false">
      <c r="B26" s="15" t="str">
        <f aca="false">IF($B11="","",$B11)</f>
        <v/>
      </c>
      <c r="C26" s="12" t="str">
        <f aca="false">IF($B11="","",COUNTIFS('App Inventory'!$E$2:$E$1000,$B11,'App Inventory'!$D$2:$D$1000,"Production"))</f>
        <v/>
      </c>
      <c r="D26" s="12" t="str">
        <f aca="false">IF($B11="","",COUNTIFS('App Inventory'!$E$2:$E$1000,$B11,'App Inventory'!$D$2:$D$1000,"Acquisition/Development"))</f>
        <v/>
      </c>
      <c r="E26" s="12" t="str">
        <f aca="false">IF($B11="","",COUNTIFS('App Inventory'!$E$2:$E$1000,$B11,'App Inventory'!$D$2:$D$1000,"Concept"))</f>
        <v/>
      </c>
      <c r="F26" s="14" t="str">
        <f aca="false">IF($B11="","",SUM(C26:E26))</f>
        <v/>
      </c>
    </row>
    <row r="27" customFormat="false" ht="15" hidden="false" customHeight="false" outlineLevel="0" collapsed="false">
      <c r="B27" s="15" t="str">
        <f aca="false">IF($B12="","",$B12)</f>
        <v/>
      </c>
      <c r="C27" s="12" t="str">
        <f aca="false">IF($B12="","",COUNTIFS('App Inventory'!$E$2:$E$1000,$B12,'App Inventory'!$D$2:$D$1000,"Production"))</f>
        <v/>
      </c>
      <c r="D27" s="12" t="str">
        <f aca="false">IF($B12="","",COUNTIFS('App Inventory'!$E$2:$E$1000,$B12,'App Inventory'!$D$2:$D$1000,"Acquisition/Development"))</f>
        <v/>
      </c>
      <c r="E27" s="12" t="str">
        <f aca="false">IF($B12="","",COUNTIFS('App Inventory'!$E$2:$E$1000,$B12,'App Inventory'!$D$2:$D$1000,"Concept"))</f>
        <v/>
      </c>
      <c r="F27" s="14" t="str">
        <f aca="false">IF($B12="","",SUM(C27:E27))</f>
        <v/>
      </c>
    </row>
    <row r="28" customFormat="false" ht="15" hidden="false" customHeight="false" outlineLevel="0" collapsed="false">
      <c r="B28" s="15" t="str">
        <f aca="false">IF($B13="","",$B13)</f>
        <v/>
      </c>
      <c r="C28" s="12" t="str">
        <f aca="false">IF($B13="","",COUNTIFS('App Inventory'!$E$2:$E$1000,$B13,'App Inventory'!$D$2:$D$1000,"Production"))</f>
        <v/>
      </c>
      <c r="D28" s="12" t="str">
        <f aca="false">IF($B13="","",COUNTIFS('App Inventory'!$E$2:$E$1000,$B13,'App Inventory'!$D$2:$D$1000,"Acquisition/Development"))</f>
        <v/>
      </c>
      <c r="E28" s="12" t="str">
        <f aca="false">IF($B13="","",COUNTIFS('App Inventory'!$E$2:$E$1000,$B13,'App Inventory'!$D$2:$D$1000,"Concept"))</f>
        <v/>
      </c>
      <c r="F28" s="14" t="str">
        <f aca="false">IF($B13="","",SUM(C28:E28))</f>
        <v/>
      </c>
    </row>
    <row r="29" customFormat="false" ht="15" hidden="false" customHeight="false" outlineLevel="0" collapsed="false">
      <c r="B29" s="15" t="str">
        <f aca="false">IF($B14="","",$B14)</f>
        <v/>
      </c>
      <c r="C29" s="12" t="str">
        <f aca="false">IF($B14="","",COUNTIFS('App Inventory'!$E$2:$E$1000,$B14,'App Inventory'!$D$2:$D$1000,"Production"))</f>
        <v/>
      </c>
      <c r="D29" s="12" t="str">
        <f aca="false">IF($B14="","",COUNTIFS('App Inventory'!$E$2:$E$1000,$B14,'App Inventory'!$D$2:$D$1000,"Acquisition/Development"))</f>
        <v/>
      </c>
      <c r="E29" s="12" t="str">
        <f aca="false">IF($B14="","",COUNTIFS('App Inventory'!$E$2:$E$1000,$B14,'App Inventory'!$D$2:$D$1000,"Concept"))</f>
        <v/>
      </c>
      <c r="F29" s="14" t="str">
        <f aca="false">IF($B14="","",SUM(C29:E29))</f>
        <v/>
      </c>
    </row>
    <row r="30" customFormat="false" ht="15" hidden="false" customHeight="false" outlineLevel="0" collapsed="false">
      <c r="B30" s="15" t="str">
        <f aca="false">IF($B15="","",$B15)</f>
        <v/>
      </c>
      <c r="C30" s="12" t="str">
        <f aca="false">IF($B15="","",COUNTIFS('App Inventory'!$E$2:$E$1000,$B15,'App Inventory'!$D$2:$D$1000,"Production"))</f>
        <v/>
      </c>
      <c r="D30" s="12" t="str">
        <f aca="false">IF($B15="","",COUNTIFS('App Inventory'!$E$2:$E$1000,$B15,'App Inventory'!$D$2:$D$1000,"Acquisition/Development"))</f>
        <v/>
      </c>
      <c r="E30" s="12" t="str">
        <f aca="false">IF($B15="","",COUNTIFS('App Inventory'!$E$2:$E$1000,$B15,'App Inventory'!$D$2:$D$1000,"Concept"))</f>
        <v/>
      </c>
      <c r="F30" s="14" t="str">
        <f aca="false">IF($B15="","",SUM(C30:E30))</f>
        <v/>
      </c>
    </row>
    <row r="31" customFormat="false" ht="15" hidden="false" customHeight="false" outlineLevel="0" collapsed="false">
      <c r="B31" s="15" t="str">
        <f aca="false">IF($B16="","",$B16)</f>
        <v/>
      </c>
      <c r="C31" s="12" t="str">
        <f aca="false">IF($B16="","",COUNTIFS('App Inventory'!$E$2:$E$1000,$B16,'App Inventory'!$D$2:$D$1000,"Production"))</f>
        <v/>
      </c>
      <c r="D31" s="12" t="str">
        <f aca="false">IF($B16="","",COUNTIFS('App Inventory'!$E$2:$E$1000,$B16,'App Inventory'!$D$2:$D$1000,"Acquisition/Development"))</f>
        <v/>
      </c>
      <c r="E31" s="12" t="str">
        <f aca="false">IF($B16="","",COUNTIFS('App Inventory'!$E$2:$E$1000,$B16,'App Inventory'!$D$2:$D$1000,"Concept"))</f>
        <v/>
      </c>
      <c r="F31" s="14" t="str">
        <f aca="false">IF($B16="","",SUM(C31:E31))</f>
        <v/>
      </c>
    </row>
    <row r="32" customFormat="false" ht="15" hidden="false" customHeight="false" outlineLevel="0" collapsed="false">
      <c r="B32" s="15" t="str">
        <f aca="false">IF($B17="","",$B17)</f>
        <v/>
      </c>
      <c r="C32" s="12" t="str">
        <f aca="false">IF($B17="","",COUNTIFS('App Inventory'!$E$2:$E$1000,$B17,'App Inventory'!$D$2:$D$1000,"Production"))</f>
        <v/>
      </c>
      <c r="D32" s="12" t="str">
        <f aca="false">IF($B17="","",COUNTIFS('App Inventory'!$E$2:$E$1000,$B17,'App Inventory'!$D$2:$D$1000,"Acquisition/Development"))</f>
        <v/>
      </c>
      <c r="E32" s="12" t="str">
        <f aca="false">IF($B17="","",COUNTIFS('App Inventory'!$E$2:$E$1000,$B17,'App Inventory'!$D$2:$D$1000,"Concept"))</f>
        <v/>
      </c>
      <c r="F32" s="14" t="str">
        <f aca="false">IF($B17="","",SUM(C32:E32))</f>
        <v/>
      </c>
    </row>
    <row r="33" customFormat="false" ht="15" hidden="false" customHeight="false" outlineLevel="0" collapsed="false">
      <c r="B33" s="15" t="str">
        <f aca="false">IF($B18="","",$B18)</f>
        <v/>
      </c>
      <c r="C33" s="12" t="str">
        <f aca="false">IF($B18="","",COUNTIFS('App Inventory'!$E$2:$E$1000,$B18,'App Inventory'!$D$2:$D$1000,"Production"))</f>
        <v/>
      </c>
      <c r="D33" s="12" t="str">
        <f aca="false">IF($B18="","",COUNTIFS('App Inventory'!$E$2:$E$1000,$B18,'App Inventory'!$D$2:$D$1000,"Acquisition/Development"))</f>
        <v/>
      </c>
      <c r="E33" s="12" t="str">
        <f aca="false">IF($B18="","",COUNTIFS('App Inventory'!$E$2:$E$1000,$B18,'App Inventory'!$D$2:$D$1000,"Concept"))</f>
        <v/>
      </c>
      <c r="F33" s="14" t="str">
        <f aca="false">IF($B18="","",SUM(C33:E33))</f>
        <v/>
      </c>
    </row>
    <row r="34" customFormat="false" ht="15" hidden="false" customHeight="false" outlineLevel="0" collapsed="false">
      <c r="B34" s="15" t="str">
        <f aca="false">IF($B19="","",$B19)</f>
        <v/>
      </c>
      <c r="C34" s="12" t="str">
        <f aca="false">IF($B19="","",COUNTIFS('App Inventory'!$E$2:$E$1000,$B19,'App Inventory'!$D$2:$D$1000,"Production"))</f>
        <v/>
      </c>
      <c r="D34" s="12" t="str">
        <f aca="false">IF($B19="","",COUNTIFS('App Inventory'!$E$2:$E$1000,$B19,'App Inventory'!$D$2:$D$1000,"Acquisition/Development"))</f>
        <v/>
      </c>
      <c r="E34" s="12" t="str">
        <f aca="false">IF($B19="","",COUNTIFS('App Inventory'!$E$2:$E$1000,$B19,'App Inventory'!$D$2:$D$1000,"Concept"))</f>
        <v/>
      </c>
      <c r="F34" s="14" t="str">
        <f aca="false">IF($B19="","",SUM(C34:E34))</f>
        <v/>
      </c>
    </row>
    <row r="35" customFormat="false" ht="15" hidden="false" customHeight="false" outlineLevel="0" collapsed="false">
      <c r="B35" s="15" t="str">
        <f aca="false">IF($B20="","",$B20)</f>
        <v/>
      </c>
      <c r="C35" s="12" t="str">
        <f aca="false">IF($B20="","",COUNTIFS('App Inventory'!$E$2:$E$1000,$B20,'App Inventory'!$D$2:$D$1000,"Production"))</f>
        <v/>
      </c>
      <c r="D35" s="12" t="str">
        <f aca="false">IF($B20="","",COUNTIFS('App Inventory'!$E$2:$E$1000,$B20,'App Inventory'!$D$2:$D$1000,"Acquisition/Development"))</f>
        <v/>
      </c>
      <c r="E35" s="12" t="str">
        <f aca="false">IF($B20="","",COUNTIFS('App Inventory'!$E$2:$E$1000,$B20,'App Inventory'!$D$2:$D$1000,"Concept"))</f>
        <v/>
      </c>
      <c r="F35" s="14" t="str">
        <f aca="false">IF($B20="","",SUM(C35:E35))</f>
        <v/>
      </c>
    </row>
    <row r="38" customFormat="false" ht="15" hidden="false" customHeight="false" outlineLevel="0" collapsed="false">
      <c r="B38" s="9" t="s">
        <v>69</v>
      </c>
    </row>
    <row r="39" customFormat="false" ht="23.85" hidden="false" customHeight="false" outlineLevel="0" collapsed="false">
      <c r="B39" s="10" t="s">
        <v>36</v>
      </c>
      <c r="C39" s="10" t="s">
        <v>70</v>
      </c>
      <c r="D39" s="10" t="s">
        <v>56</v>
      </c>
      <c r="E39" s="10" t="s">
        <v>68</v>
      </c>
    </row>
    <row r="40" customFormat="false" ht="15" hidden="false" customHeight="false" outlineLevel="0" collapsed="false">
      <c r="B40" s="15" t="str">
        <f aca="false">IF($B11="","",$B11)</f>
        <v/>
      </c>
      <c r="C40" s="12" t="str">
        <f aca="false">IF($B11="","",COUNTIFS('App Inventory'!$E$2:$E$1000,$B11,'App Inventory'!$J$2:$J$1000,"Current"))</f>
        <v/>
      </c>
      <c r="D40" s="12" t="str">
        <f aca="false">IF($B11="","",COUNTIFS('App Inventory'!$E$2:$E$1000,$B11,'App Inventory'!$J$2:$J$1000,"Approaching EOL"))</f>
        <v/>
      </c>
      <c r="E40" s="14" t="str">
        <f aca="false">IF($B11="","",SUM(C40:D40))</f>
        <v/>
      </c>
    </row>
    <row r="41" customFormat="false" ht="15" hidden="false" customHeight="false" outlineLevel="0" collapsed="false">
      <c r="B41" s="15" t="str">
        <f aca="false">IF($B12="","",$B12)</f>
        <v/>
      </c>
      <c r="C41" s="12" t="str">
        <f aca="false">IF($B12="","",COUNTIFS('App Inventory'!$E$2:$E$1000,$B12,'App Inventory'!$J$2:$J$1000,"Current"))</f>
        <v/>
      </c>
      <c r="D41" s="12" t="str">
        <f aca="false">IF($B12="","",COUNTIFS('App Inventory'!$E$2:$E$1000,$B12,'App Inventory'!$J$2:$J$1000,"Approaching EOL"))</f>
        <v/>
      </c>
      <c r="E41" s="14" t="str">
        <f aca="false">IF($B12="","",SUM(C41:D41))</f>
        <v/>
      </c>
    </row>
    <row r="42" customFormat="false" ht="15" hidden="false" customHeight="false" outlineLevel="0" collapsed="false">
      <c r="B42" s="15" t="str">
        <f aca="false">IF($B13="","",$B13)</f>
        <v/>
      </c>
      <c r="C42" s="12" t="str">
        <f aca="false">IF($B13="","",COUNTIFS('App Inventory'!$E$2:$E$1000,$B13,'App Inventory'!$J$2:$J$1000,"Current"))</f>
        <v/>
      </c>
      <c r="D42" s="12" t="str">
        <f aca="false">IF($B13="","",COUNTIFS('App Inventory'!$E$2:$E$1000,$B13,'App Inventory'!$J$2:$J$1000,"Approaching EOL"))</f>
        <v/>
      </c>
      <c r="E42" s="14" t="str">
        <f aca="false">IF($B13="","",SUM(C42:D42))</f>
        <v/>
      </c>
    </row>
    <row r="43" customFormat="false" ht="15" hidden="false" customHeight="false" outlineLevel="0" collapsed="false">
      <c r="B43" s="15" t="str">
        <f aca="false">IF($B14="","",$B14)</f>
        <v/>
      </c>
      <c r="C43" s="12" t="str">
        <f aca="false">IF($B14="","",COUNTIFS('App Inventory'!$E$2:$E$1000,$B14,'App Inventory'!$J$2:$J$1000,"Current"))</f>
        <v/>
      </c>
      <c r="D43" s="12" t="str">
        <f aca="false">IF($B14="","",COUNTIFS('App Inventory'!$E$2:$E$1000,$B14,'App Inventory'!$J$2:$J$1000,"Approaching EOL"))</f>
        <v/>
      </c>
      <c r="E43" s="14" t="str">
        <f aca="false">IF($B14="","",SUM(C43:D43))</f>
        <v/>
      </c>
    </row>
    <row r="44" customFormat="false" ht="15" hidden="false" customHeight="false" outlineLevel="0" collapsed="false">
      <c r="B44" s="15" t="str">
        <f aca="false">IF($B15="","",$B15)</f>
        <v/>
      </c>
      <c r="C44" s="12" t="str">
        <f aca="false">IF($B15="","",COUNTIFS('App Inventory'!$E$2:$E$1000,$B15,'App Inventory'!$J$2:$J$1000,"Current"))</f>
        <v/>
      </c>
      <c r="D44" s="12" t="str">
        <f aca="false">IF($B15="","",COUNTIFS('App Inventory'!$E$2:$E$1000,$B15,'App Inventory'!$J$2:$J$1000,"Approaching EOL"))</f>
        <v/>
      </c>
      <c r="E44" s="14" t="str">
        <f aca="false">IF($B15="","",SUM(C44:D44))</f>
        <v/>
      </c>
    </row>
    <row r="45" customFormat="false" ht="15" hidden="false" customHeight="false" outlineLevel="0" collapsed="false">
      <c r="B45" s="15" t="str">
        <f aca="false">IF($B16="","",$B16)</f>
        <v/>
      </c>
      <c r="C45" s="12" t="str">
        <f aca="false">IF($B16="","",COUNTIFS('App Inventory'!$E$2:$E$1000,$B16,'App Inventory'!$J$2:$J$1000,"Current"))</f>
        <v/>
      </c>
      <c r="D45" s="12" t="str">
        <f aca="false">IF($B16="","",COUNTIFS('App Inventory'!$E$2:$E$1000,$B16,'App Inventory'!$J$2:$J$1000,"Approaching EOL"))</f>
        <v/>
      </c>
      <c r="E45" s="14" t="str">
        <f aca="false">IF($B16="","",SUM(C45:D45))</f>
        <v/>
      </c>
    </row>
    <row r="46" customFormat="false" ht="15" hidden="false" customHeight="false" outlineLevel="0" collapsed="false">
      <c r="B46" s="15" t="str">
        <f aca="false">IF($B17="","",$B17)</f>
        <v/>
      </c>
      <c r="C46" s="12" t="str">
        <f aca="false">IF($B17="","",COUNTIFS('App Inventory'!$E$2:$E$1000,$B17,'App Inventory'!$J$2:$J$1000,"Current"))</f>
        <v/>
      </c>
      <c r="D46" s="12" t="str">
        <f aca="false">IF($B17="","",COUNTIFS('App Inventory'!$E$2:$E$1000,$B17,'App Inventory'!$J$2:$J$1000,"Approaching EOL"))</f>
        <v/>
      </c>
      <c r="E46" s="14" t="str">
        <f aca="false">IF($B17="","",SUM(C46:D46))</f>
        <v/>
      </c>
    </row>
    <row r="47" customFormat="false" ht="15" hidden="false" customHeight="false" outlineLevel="0" collapsed="false">
      <c r="B47" s="15" t="str">
        <f aca="false">IF($B18="","",$B18)</f>
        <v/>
      </c>
      <c r="C47" s="12" t="str">
        <f aca="false">IF($B18="","",COUNTIFS('App Inventory'!$E$2:$E$1000,$B18,'App Inventory'!$J$2:$J$1000,"Current"))</f>
        <v/>
      </c>
      <c r="D47" s="12" t="str">
        <f aca="false">IF($B18="","",COUNTIFS('App Inventory'!$E$2:$E$1000,$B18,'App Inventory'!$J$2:$J$1000,"Approaching EOL"))</f>
        <v/>
      </c>
      <c r="E47" s="14" t="str">
        <f aca="false">IF($B18="","",SUM(C47:D47))</f>
        <v/>
      </c>
    </row>
    <row r="48" customFormat="false" ht="15" hidden="false" customHeight="false" outlineLevel="0" collapsed="false">
      <c r="B48" s="15" t="str">
        <f aca="false">IF($B19="","",$B19)</f>
        <v/>
      </c>
      <c r="C48" s="12" t="str">
        <f aca="false">IF($B19="","",COUNTIFS('App Inventory'!$E$2:$E$1000,$B19,'App Inventory'!$J$2:$J$1000,"Current"))</f>
        <v/>
      </c>
      <c r="D48" s="12" t="str">
        <f aca="false">IF($B19="","",COUNTIFS('App Inventory'!$E$2:$E$1000,$B19,'App Inventory'!$J$2:$J$1000,"Approaching EOL"))</f>
        <v/>
      </c>
      <c r="E48" s="14" t="str">
        <f aca="false">IF($B19="","",SUM(C48:D48))</f>
        <v/>
      </c>
    </row>
    <row r="49" customFormat="false" ht="15" hidden="false" customHeight="false" outlineLevel="0" collapsed="false">
      <c r="B49" s="15" t="str">
        <f aca="false">IF($B20="","",$B20)</f>
        <v/>
      </c>
      <c r="C49" s="12" t="str">
        <f aca="false">IF($B20="","",COUNTIFS('App Inventory'!$E$2:$E$1000,$B20,'App Inventory'!$J$2:$J$1000,"Current"))</f>
        <v/>
      </c>
      <c r="D49" s="12" t="str">
        <f aca="false">IF($B20="","",COUNTIFS('App Inventory'!$E$2:$E$1000,$B20,'App Inventory'!$J$2:$J$1000,"Approaching EOL"))</f>
        <v/>
      </c>
      <c r="E49" s="14" t="str">
        <f aca="false">IF($B20="","",SUM(C49:D49))</f>
        <v/>
      </c>
    </row>
    <row r="52" customFormat="false" ht="15" hidden="false" customHeight="false" outlineLevel="0" collapsed="false">
      <c r="B52" s="9" t="s">
        <v>71</v>
      </c>
    </row>
    <row r="53" customFormat="false" ht="15" hidden="false" customHeight="false" outlineLevel="0" collapsed="false">
      <c r="B53" s="10" t="s">
        <v>36</v>
      </c>
      <c r="C53" s="10" t="s">
        <v>72</v>
      </c>
      <c r="D53" s="10" t="s">
        <v>73</v>
      </c>
      <c r="E53" s="10" t="s">
        <v>74</v>
      </c>
      <c r="F53" s="10" t="s">
        <v>75</v>
      </c>
      <c r="G53" s="10" t="s">
        <v>76</v>
      </c>
      <c r="H53" s="10" t="s">
        <v>77</v>
      </c>
      <c r="I53" s="10" t="s">
        <v>68</v>
      </c>
    </row>
    <row r="54" customFormat="false" ht="15" hidden="false" customHeight="false" outlineLevel="0" collapsed="false">
      <c r="B54" s="15" t="str">
        <f aca="false">IF($B11="","",$B11)</f>
        <v/>
      </c>
      <c r="C54" s="12" t="str">
        <f aca="false">IF($B11="","",COUNTIFS('App Inventory'!$E$2:$E$1000,$B11,'App Inventory'!$F$2:$F$1000,"Spring Boot"))</f>
        <v/>
      </c>
      <c r="D54" s="12" t="str">
        <f aca="false">IF($B11="","",COUNTIFS('App Inventory'!$E$2:$E$1000,$B11,'App Inventory'!$F$2:$F$1000,"Batch"))</f>
        <v/>
      </c>
      <c r="E54" s="12" t="str">
        <f aca="false">IF($B11="","",COUNTIFS('App Inventory'!$E$2:$E$1000,$B11,'App Inventory'!$F$2:$F$1000,"Library"))</f>
        <v/>
      </c>
      <c r="F54" s="12" t="str">
        <f aca="false">IF($B11="","",COUNTIFS('App Inventory'!$E$2:$E$1000,$B11,'App Inventory'!$F$2:$F$1000,"UI / Angular"))</f>
        <v/>
      </c>
      <c r="G54" s="12" t="str">
        <f aca="false">IF($B11="","",COUNTIFS('App Inventory'!$E$2:$E$1000,$B11,'App Inventory'!$F$2:$F$1000,"Misc App"))</f>
        <v/>
      </c>
      <c r="H54" s="12" t="str">
        <f aca="false">IF($B11="","",COUNTIFS('App Inventory'!$E$2:$E$1000,$B11,'App Inventory'!$F$2:$F$1000,"Not Found"))</f>
        <v/>
      </c>
      <c r="I54" s="14" t="str">
        <f aca="false">IF($B11="","",SUM(C54:H54))</f>
        <v/>
      </c>
    </row>
    <row r="55" customFormat="false" ht="15" hidden="false" customHeight="false" outlineLevel="0" collapsed="false">
      <c r="B55" s="15" t="str">
        <f aca="false">IF($B12="","",$B12)</f>
        <v/>
      </c>
      <c r="C55" s="12" t="str">
        <f aca="false">IF($B12="","",COUNTIFS('App Inventory'!$E$2:$E$1000,$B12,'App Inventory'!$F$2:$F$1000,"Spring Boot"))</f>
        <v/>
      </c>
      <c r="D55" s="12" t="str">
        <f aca="false">IF($B12="","",COUNTIFS('App Inventory'!$E$2:$E$1000,$B12,'App Inventory'!$F$2:$F$1000,"Batch"))</f>
        <v/>
      </c>
      <c r="E55" s="12" t="str">
        <f aca="false">IF($B12="","",COUNTIFS('App Inventory'!$E$2:$E$1000,$B12,'App Inventory'!$F$2:$F$1000,"Library"))</f>
        <v/>
      </c>
      <c r="F55" s="12" t="str">
        <f aca="false">IF($B12="","",COUNTIFS('App Inventory'!$E$2:$E$1000,$B12,'App Inventory'!$F$2:$F$1000,"UI / Angular"))</f>
        <v/>
      </c>
      <c r="G55" s="12" t="str">
        <f aca="false">IF($B12="","",COUNTIFS('App Inventory'!$E$2:$E$1000,$B12,'App Inventory'!$F$2:$F$1000,"Misc App"))</f>
        <v/>
      </c>
      <c r="H55" s="12" t="str">
        <f aca="false">IF($B12="","",COUNTIFS('App Inventory'!$E$2:$E$1000,$B12,'App Inventory'!$F$2:$F$1000,"Not Found"))</f>
        <v/>
      </c>
      <c r="I55" s="14" t="str">
        <f aca="false">IF($B12="","",SUM(C55:H55))</f>
        <v/>
      </c>
    </row>
    <row r="56" customFormat="false" ht="15" hidden="false" customHeight="false" outlineLevel="0" collapsed="false">
      <c r="B56" s="15" t="str">
        <f aca="false">IF($B13="","",$B13)</f>
        <v/>
      </c>
      <c r="C56" s="12" t="str">
        <f aca="false">IF($B13="","",COUNTIFS('App Inventory'!$E$2:$E$1000,$B13,'App Inventory'!$F$2:$F$1000,"Spring Boot"))</f>
        <v/>
      </c>
      <c r="D56" s="12" t="str">
        <f aca="false">IF($B13="","",COUNTIFS('App Inventory'!$E$2:$E$1000,$B13,'App Inventory'!$F$2:$F$1000,"Batch"))</f>
        <v/>
      </c>
      <c r="E56" s="12" t="str">
        <f aca="false">IF($B13="","",COUNTIFS('App Inventory'!$E$2:$E$1000,$B13,'App Inventory'!$F$2:$F$1000,"Library"))</f>
        <v/>
      </c>
      <c r="F56" s="12" t="str">
        <f aca="false">IF($B13="","",COUNTIFS('App Inventory'!$E$2:$E$1000,$B13,'App Inventory'!$F$2:$F$1000,"UI / Angular"))</f>
        <v/>
      </c>
      <c r="G56" s="12" t="str">
        <f aca="false">IF($B13="","",COUNTIFS('App Inventory'!$E$2:$E$1000,$B13,'App Inventory'!$F$2:$F$1000,"Misc App"))</f>
        <v/>
      </c>
      <c r="H56" s="12" t="str">
        <f aca="false">IF($B13="","",COUNTIFS('App Inventory'!$E$2:$E$1000,$B13,'App Inventory'!$F$2:$F$1000,"Not Found"))</f>
        <v/>
      </c>
      <c r="I56" s="14" t="str">
        <f aca="false">IF($B13="","",SUM(C56:H56))</f>
        <v/>
      </c>
    </row>
    <row r="57" customFormat="false" ht="15" hidden="false" customHeight="false" outlineLevel="0" collapsed="false">
      <c r="B57" s="15" t="str">
        <f aca="false">IF($B14="","",$B14)</f>
        <v/>
      </c>
      <c r="C57" s="12" t="str">
        <f aca="false">IF($B14="","",COUNTIFS('App Inventory'!$E$2:$E$1000,$B14,'App Inventory'!$F$2:$F$1000,"Spring Boot"))</f>
        <v/>
      </c>
      <c r="D57" s="12" t="str">
        <f aca="false">IF($B14="","",COUNTIFS('App Inventory'!$E$2:$E$1000,$B14,'App Inventory'!$F$2:$F$1000,"Batch"))</f>
        <v/>
      </c>
      <c r="E57" s="12" t="str">
        <f aca="false">IF($B14="","",COUNTIFS('App Inventory'!$E$2:$E$1000,$B14,'App Inventory'!$F$2:$F$1000,"Library"))</f>
        <v/>
      </c>
      <c r="F57" s="12" t="str">
        <f aca="false">IF($B14="","",COUNTIFS('App Inventory'!$E$2:$E$1000,$B14,'App Inventory'!$F$2:$F$1000,"UI / Angular"))</f>
        <v/>
      </c>
      <c r="G57" s="12" t="str">
        <f aca="false">IF($B14="","",COUNTIFS('App Inventory'!$E$2:$E$1000,$B14,'App Inventory'!$F$2:$F$1000,"Misc App"))</f>
        <v/>
      </c>
      <c r="H57" s="12" t="str">
        <f aca="false">IF($B14="","",COUNTIFS('App Inventory'!$E$2:$E$1000,$B14,'App Inventory'!$F$2:$F$1000,"Not Found"))</f>
        <v/>
      </c>
      <c r="I57" s="14" t="str">
        <f aca="false">IF($B14="","",SUM(C57:H57))</f>
        <v/>
      </c>
    </row>
    <row r="58" customFormat="false" ht="15" hidden="false" customHeight="false" outlineLevel="0" collapsed="false">
      <c r="B58" s="15" t="str">
        <f aca="false">IF($B15="","",$B15)</f>
        <v/>
      </c>
      <c r="C58" s="12" t="str">
        <f aca="false">IF($B15="","",COUNTIFS('App Inventory'!$E$2:$E$1000,$B15,'App Inventory'!$F$2:$F$1000,"Spring Boot"))</f>
        <v/>
      </c>
      <c r="D58" s="12" t="str">
        <f aca="false">IF($B15="","",COUNTIFS('App Inventory'!$E$2:$E$1000,$B15,'App Inventory'!$F$2:$F$1000,"Batch"))</f>
        <v/>
      </c>
      <c r="E58" s="12" t="str">
        <f aca="false">IF($B15="","",COUNTIFS('App Inventory'!$E$2:$E$1000,$B15,'App Inventory'!$F$2:$F$1000,"Library"))</f>
        <v/>
      </c>
      <c r="F58" s="12" t="str">
        <f aca="false">IF($B15="","",COUNTIFS('App Inventory'!$E$2:$E$1000,$B15,'App Inventory'!$F$2:$F$1000,"UI / Angular"))</f>
        <v/>
      </c>
      <c r="G58" s="12" t="str">
        <f aca="false">IF($B15="","",COUNTIFS('App Inventory'!$E$2:$E$1000,$B15,'App Inventory'!$F$2:$F$1000,"Misc App"))</f>
        <v/>
      </c>
      <c r="H58" s="12" t="str">
        <f aca="false">IF($B15="","",COUNTIFS('App Inventory'!$E$2:$E$1000,$B15,'App Inventory'!$F$2:$F$1000,"Not Found"))</f>
        <v/>
      </c>
      <c r="I58" s="14" t="str">
        <f aca="false">IF($B15="","",SUM(C58:H58))</f>
        <v/>
      </c>
    </row>
    <row r="59" customFormat="false" ht="15" hidden="false" customHeight="false" outlineLevel="0" collapsed="false">
      <c r="B59" s="15" t="str">
        <f aca="false">IF($B16="","",$B16)</f>
        <v/>
      </c>
      <c r="C59" s="12" t="str">
        <f aca="false">IF($B16="","",COUNTIFS('App Inventory'!$E$2:$E$1000,$B16,'App Inventory'!$F$2:$F$1000,"Spring Boot"))</f>
        <v/>
      </c>
      <c r="D59" s="12" t="str">
        <f aca="false">IF($B16="","",COUNTIFS('App Inventory'!$E$2:$E$1000,$B16,'App Inventory'!$F$2:$F$1000,"Batch"))</f>
        <v/>
      </c>
      <c r="E59" s="12" t="str">
        <f aca="false">IF($B16="","",COUNTIFS('App Inventory'!$E$2:$E$1000,$B16,'App Inventory'!$F$2:$F$1000,"Library"))</f>
        <v/>
      </c>
      <c r="F59" s="12" t="str">
        <f aca="false">IF($B16="","",COUNTIFS('App Inventory'!$E$2:$E$1000,$B16,'App Inventory'!$F$2:$F$1000,"UI / Angular"))</f>
        <v/>
      </c>
      <c r="G59" s="12" t="str">
        <f aca="false">IF($B16="","",COUNTIFS('App Inventory'!$E$2:$E$1000,$B16,'App Inventory'!$F$2:$F$1000,"Misc App"))</f>
        <v/>
      </c>
      <c r="H59" s="12" t="str">
        <f aca="false">IF($B16="","",COUNTIFS('App Inventory'!$E$2:$E$1000,$B16,'App Inventory'!$F$2:$F$1000,"Not Found"))</f>
        <v/>
      </c>
      <c r="I59" s="14" t="str">
        <f aca="false">IF($B16="","",SUM(C59:H59))</f>
        <v/>
      </c>
    </row>
    <row r="60" customFormat="false" ht="15" hidden="false" customHeight="false" outlineLevel="0" collapsed="false">
      <c r="B60" s="15" t="str">
        <f aca="false">IF($B17="","",$B17)</f>
        <v/>
      </c>
      <c r="C60" s="12" t="str">
        <f aca="false">IF($B17="","",COUNTIFS('App Inventory'!$E$2:$E$1000,$B17,'App Inventory'!$F$2:$F$1000,"Spring Boot"))</f>
        <v/>
      </c>
      <c r="D60" s="12" t="str">
        <f aca="false">IF($B17="","",COUNTIFS('App Inventory'!$E$2:$E$1000,$B17,'App Inventory'!$F$2:$F$1000,"Batch"))</f>
        <v/>
      </c>
      <c r="E60" s="12" t="str">
        <f aca="false">IF($B17="","",COUNTIFS('App Inventory'!$E$2:$E$1000,$B17,'App Inventory'!$F$2:$F$1000,"Library"))</f>
        <v/>
      </c>
      <c r="F60" s="12" t="str">
        <f aca="false">IF($B17="","",COUNTIFS('App Inventory'!$E$2:$E$1000,$B17,'App Inventory'!$F$2:$F$1000,"UI / Angular"))</f>
        <v/>
      </c>
      <c r="G60" s="12" t="str">
        <f aca="false">IF($B17="","",COUNTIFS('App Inventory'!$E$2:$E$1000,$B17,'App Inventory'!$F$2:$F$1000,"Misc App"))</f>
        <v/>
      </c>
      <c r="H60" s="12" t="str">
        <f aca="false">IF($B17="","",COUNTIFS('App Inventory'!$E$2:$E$1000,$B17,'App Inventory'!$F$2:$F$1000,"Not Found"))</f>
        <v/>
      </c>
      <c r="I60" s="14" t="str">
        <f aca="false">IF($B17="","",SUM(C60:H60))</f>
        <v/>
      </c>
    </row>
    <row r="61" customFormat="false" ht="15" hidden="false" customHeight="false" outlineLevel="0" collapsed="false">
      <c r="B61" s="15" t="str">
        <f aca="false">IF($B18="","",$B18)</f>
        <v/>
      </c>
      <c r="C61" s="12" t="str">
        <f aca="false">IF($B18="","",COUNTIFS('App Inventory'!$E$2:$E$1000,$B18,'App Inventory'!$F$2:$F$1000,"Spring Boot"))</f>
        <v/>
      </c>
      <c r="D61" s="12" t="str">
        <f aca="false">IF($B18="","",COUNTIFS('App Inventory'!$E$2:$E$1000,$B18,'App Inventory'!$F$2:$F$1000,"Batch"))</f>
        <v/>
      </c>
      <c r="E61" s="12" t="str">
        <f aca="false">IF($B18="","",COUNTIFS('App Inventory'!$E$2:$E$1000,$B18,'App Inventory'!$F$2:$F$1000,"Library"))</f>
        <v/>
      </c>
      <c r="F61" s="12" t="str">
        <f aca="false">IF($B18="","",COUNTIFS('App Inventory'!$E$2:$E$1000,$B18,'App Inventory'!$F$2:$F$1000,"UI / Angular"))</f>
        <v/>
      </c>
      <c r="G61" s="12" t="str">
        <f aca="false">IF($B18="","",COUNTIFS('App Inventory'!$E$2:$E$1000,$B18,'App Inventory'!$F$2:$F$1000,"Misc App"))</f>
        <v/>
      </c>
      <c r="H61" s="12" t="str">
        <f aca="false">IF($B18="","",COUNTIFS('App Inventory'!$E$2:$E$1000,$B18,'App Inventory'!$F$2:$F$1000,"Not Found"))</f>
        <v/>
      </c>
      <c r="I61" s="14" t="str">
        <f aca="false">IF($B18="","",SUM(C61:H61))</f>
        <v/>
      </c>
    </row>
    <row r="62" customFormat="false" ht="15" hidden="false" customHeight="false" outlineLevel="0" collapsed="false">
      <c r="B62" s="15" t="str">
        <f aca="false">IF($B19="","",$B19)</f>
        <v/>
      </c>
      <c r="C62" s="12" t="str">
        <f aca="false">IF($B19="","",COUNTIFS('App Inventory'!$E$2:$E$1000,$B19,'App Inventory'!$F$2:$F$1000,"Spring Boot"))</f>
        <v/>
      </c>
      <c r="D62" s="12" t="str">
        <f aca="false">IF($B19="","",COUNTIFS('App Inventory'!$E$2:$E$1000,$B19,'App Inventory'!$F$2:$F$1000,"Batch"))</f>
        <v/>
      </c>
      <c r="E62" s="12" t="str">
        <f aca="false">IF($B19="","",COUNTIFS('App Inventory'!$E$2:$E$1000,$B19,'App Inventory'!$F$2:$F$1000,"Library"))</f>
        <v/>
      </c>
      <c r="F62" s="12" t="str">
        <f aca="false">IF($B19="","",COUNTIFS('App Inventory'!$E$2:$E$1000,$B19,'App Inventory'!$F$2:$F$1000,"UI / Angular"))</f>
        <v/>
      </c>
      <c r="G62" s="12" t="str">
        <f aca="false">IF($B19="","",COUNTIFS('App Inventory'!$E$2:$E$1000,$B19,'App Inventory'!$F$2:$F$1000,"Misc App"))</f>
        <v/>
      </c>
      <c r="H62" s="12" t="str">
        <f aca="false">IF($B19="","",COUNTIFS('App Inventory'!$E$2:$E$1000,$B19,'App Inventory'!$F$2:$F$1000,"Not Found"))</f>
        <v/>
      </c>
      <c r="I62" s="14" t="str">
        <f aca="false">IF($B19="","",SUM(C62:H62))</f>
        <v/>
      </c>
    </row>
    <row r="63" customFormat="false" ht="15" hidden="false" customHeight="false" outlineLevel="0" collapsed="false">
      <c r="B63" s="15" t="str">
        <f aca="false">IF($B20="","",$B20)</f>
        <v/>
      </c>
      <c r="C63" s="12" t="str">
        <f aca="false">IF($B20="","",COUNTIFS('App Inventory'!$E$2:$E$1000,$B20,'App Inventory'!$F$2:$F$1000,"Spring Boot"))</f>
        <v/>
      </c>
      <c r="D63" s="12" t="str">
        <f aca="false">IF($B20="","",COUNTIFS('App Inventory'!$E$2:$E$1000,$B20,'App Inventory'!$F$2:$F$1000,"Batch"))</f>
        <v/>
      </c>
      <c r="E63" s="12" t="str">
        <f aca="false">IF($B20="","",COUNTIFS('App Inventory'!$E$2:$E$1000,$B20,'App Inventory'!$F$2:$F$1000,"Library"))</f>
        <v/>
      </c>
      <c r="F63" s="12" t="str">
        <f aca="false">IF($B20="","",COUNTIFS('App Inventory'!$E$2:$E$1000,$B20,'App Inventory'!$F$2:$F$1000,"UI / Angular"))</f>
        <v/>
      </c>
      <c r="G63" s="12" t="str">
        <f aca="false">IF($B20="","",COUNTIFS('App Inventory'!$E$2:$E$1000,$B20,'App Inventory'!$F$2:$F$1000,"Misc App"))</f>
        <v/>
      </c>
      <c r="H63" s="12" t="str">
        <f aca="false">IF($B20="","",COUNTIFS('App Inventory'!$E$2:$E$1000,$B20,'App Inventory'!$F$2:$F$1000,"Not Found"))</f>
        <v/>
      </c>
      <c r="I63" s="14" t="str">
        <f aca="false">IF($B20="","",SUM(C63:H63))</f>
        <v/>
      </c>
    </row>
    <row r="64" customFormat="false" ht="15" hidden="false" customHeight="false" outlineLevel="0" collapsed="false">
      <c r="B64" s="16" t="s">
        <v>78</v>
      </c>
    </row>
  </sheetData>
  <mergeCells count="12"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</mergeCells>
  <conditionalFormatting sqref="E11:I20">
    <cfRule type="colorScale" priority="2">
      <colorScale>
        <cfvo type="num" val="0"/>
        <cfvo type="max" val="0"/>
        <color rgb="FFFFFFFF"/>
        <color rgb="FFF8696B"/>
      </colorScale>
    </cfRule>
  </conditionalFormatting>
  <conditionalFormatting sqref="I11:I20">
    <cfRule type="cellIs" priority="3" operator="greaterThanOrEqual" aboveAverage="0" equalAverage="0" bottom="0" percent="0" rank="0" text="" dxfId="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2026-09-06T23:00:50Z</dcterms:created>
  <dc:creator>openpyxl</dc:creator>
  <dc:description/>
  <dc:language>en-US</dc:language>
  <cp:lastModifiedBy/>
  <dcterms:modified xsi:type="dcterms:W3CDTF">2026-09-06T23:00:50Z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