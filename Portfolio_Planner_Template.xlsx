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Year Plan" sheetId="3" state="visible" r:id="rId5"/>
    <sheet name="Quarter View" sheetId="4" state="visible" r:id="rId6"/>
    <sheet name="People Load" sheetId="5" state="visible" r:id="rId7"/>
    <sheet name="Milestones" sheetId="6" state="visible" r:id="rId8"/>
  </sheets>
  <definedNames>
    <definedName function="false" hidden="false" localSheetId="5" name="_xlnm.Print_Titles" vbProcedure="false">Milestones!$6:$6</definedName>
    <definedName function="false" hidden="true" localSheetId="5" name="_xlnm._FilterDatabase" vbProcedure="false">Milestones!$A$4:$G$40</definedName>
    <definedName function="false" hidden="false" localSheetId="4" name="_xlnm.Print_Titles" vbProcedure="false">'People Load'!$6:$6</definedName>
    <definedName function="false" hidden="false" localSheetId="3" name="_xlnm.Print_Titles" vbProcedure="false">'Quarter View'!$6:$6</definedName>
    <definedName function="false" hidden="false" localSheetId="2" name="_xlnm.Print_Titles" vbProcedure="false">'Year Plan'!$6:$6</definedName>
    <definedName function="false" hidden="true" localSheetId="2" name="_xlnm._FilterDatabase" vbProcedure="false">'Year Plan'!$A$6:$K$46</definedName>
    <definedName function="false" hidden="false" name="PeopleList" vbProcedure="false">Setup!$B$11:$B$40</definedName>
    <definedName function="false" hidden="false" name="PlanStart" vbProcedure="false">Setup!$C$6</definedName>
    <definedName function="false" hidden="false" name="ProgramList" vbProcedure="false">Setup!$F$11:$F$15</definedName>
    <definedName function="false" hidden="false" name="StatusList" vbProcedure="false">Setup!$E$11:$E$15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<sst xmlns="http://schemas.openxmlformats.org/spreadsheetml/2006/main" count="276" uniqueCount="174">
  <si>
    <t xml:space="preserve">Portfolio Planner</t>
  </si>
  <si>
    <t xml:space="preserve">One row per project. Weekly columns across the year, grouped into four 13-week quarters.</t>
  </si>
  <si>
    <t xml:space="preserve">How it works</t>
  </si>
  <si>
    <t xml:space="preserve">1. Set the start date</t>
  </si>
  <si>
    <t xml:space="preserve">On the Setup tab, enter the Monday that week 1 of your plan begins. Every date, quarter band and Gantt bar in the workbook shifts to match.</t>
  </si>
  <si>
    <t xml:space="preserve">2. List your people</t>
  </si>
  <si>
    <t xml:space="preserve">Also on Setup: names and roles. These feed the Lead dropdown and the People Load tab.</t>
  </si>
  <si>
    <t xml:space="preserve">3. Enter projects</t>
  </si>
  <si>
    <t xml:space="preserve">On Year Plan, fill the shaded columns: project, program, lead, team, status, start and end dates. The bar draws itself.</t>
  </si>
  <si>
    <t xml:space="preserve">4. Read the quarter</t>
  </si>
  <si>
    <t xml:space="preserve">Quarter View shows 13 weeks at a time. Change the quarter number in the yellow cell to flip between Q1-Q4. Nothing else to touch.</t>
  </si>
  <si>
    <t xml:space="preserve">5. Check the load</t>
  </si>
  <si>
    <t xml:space="preserve">People Load counts how many projects each person is on, week by week. Amber means two at once, red means three or more.</t>
  </si>
  <si>
    <t xml:space="preserve">What to edit</t>
  </si>
  <si>
    <t xml:space="preserve">Shaded cells</t>
  </si>
  <si>
    <t xml:space="preserve">Every cell you type into is shaded pale yellow. Everything else is a formula - leave it alone and it stays correct.</t>
  </si>
  <si>
    <t xml:space="preserve">Adding rows</t>
  </si>
  <si>
    <t xml:space="preserve">Insert rows inside the existing block (between the first and last project rows) so the formatting and formulas carry over.</t>
  </si>
  <si>
    <t xml:space="preserve">More people</t>
  </si>
  <si>
    <t xml:space="preserve">Add names in the Setup list and copy the last row of People Load down.</t>
  </si>
  <si>
    <t xml:space="preserve">Bar colours</t>
  </si>
  <si>
    <t xml:space="preserve">Not started</t>
  </si>
  <si>
    <t xml:space="preserve">Scoped but no work yet.</t>
  </si>
  <si>
    <t xml:space="preserve">On track</t>
  </si>
  <si>
    <t xml:space="preserve">Will land on the committed date.</t>
  </si>
  <si>
    <t xml:space="preserve">At risk</t>
  </si>
  <si>
    <t xml:space="preserve">Date is threatened; a decision or help is needed.</t>
  </si>
  <si>
    <t xml:space="preserve">Off track</t>
  </si>
  <si>
    <t xml:space="preserve">Date has moved or will move. Escalated.</t>
  </si>
  <si>
    <t xml:space="preserve">Complete</t>
  </si>
  <si>
    <t xml:space="preserve">Delivered to production.</t>
  </si>
  <si>
    <t xml:space="preserve">Worth knowing</t>
  </si>
  <si>
    <t xml:space="preserve">Quarters</t>
  </si>
  <si>
    <t xml:space="preserve">Quarters here are 13-week blocks counted from your start date, so they line up with sprints rather than with calendar month ends.</t>
  </si>
  <si>
    <t xml:space="preserve">Team names</t>
  </si>
  <si>
    <t xml:space="preserve">Type team members exactly as they appear in the Setup list, separated by commas. People Load matches on that spelling.</t>
  </si>
  <si>
    <t xml:space="preserve">Circulating it</t>
  </si>
  <si>
    <t xml:space="preserve">Nothing links to an outside file, so the workbook travels intact over email or SharePoint.</t>
  </si>
  <si>
    <t xml:space="preserve">Setup</t>
  </si>
  <si>
    <t xml:space="preserve">Change these and the whole workbook follows.</t>
  </si>
  <si>
    <t xml:space="preserve">Plan title</t>
  </si>
  <si>
    <t xml:space="preserve">Engineering Portfolio 2026-27</t>
  </si>
  <si>
    <t xml:space="preserve">Week 1 starts (Monday)</t>
  </si>
  <si>
    <t xml:space="preserve">52 weeks are drawn from here</t>
  </si>
  <si>
    <t xml:space="preserve">People</t>
  </si>
  <si>
    <t xml:space="preserve">Lists</t>
  </si>
  <si>
    <t xml:space="preserve">Name</t>
  </si>
  <si>
    <t xml:space="preserve">Role</t>
  </si>
  <si>
    <t xml:space="preserve">Status</t>
  </si>
  <si>
    <t xml:space="preserve">Program / portfolio</t>
  </si>
  <si>
    <t xml:space="preserve">Priya Nathan</t>
  </si>
  <si>
    <t xml:space="preserve">Tech lead</t>
  </si>
  <si>
    <t xml:space="preserve">Modernization</t>
  </si>
  <si>
    <t xml:space="preserve">Marcus Bell</t>
  </si>
  <si>
    <t xml:space="preserve">Senior engineer</t>
  </si>
  <si>
    <t xml:space="preserve">Regulatory</t>
  </si>
  <si>
    <t xml:space="preserve">Dana Okafor</t>
  </si>
  <si>
    <t xml:space="preserve">Growth</t>
  </si>
  <si>
    <t xml:space="preserve">Ravi Menon</t>
  </si>
  <si>
    <t xml:space="preserve">Engineer</t>
  </si>
  <si>
    <t xml:space="preserve">Platform / infra</t>
  </si>
  <si>
    <t xml:space="preserve">Ellen Vargas</t>
  </si>
  <si>
    <t xml:space="preserve">Run the business</t>
  </si>
  <si>
    <t xml:space="preserve">Tom Whitfield</t>
  </si>
  <si>
    <t xml:space="preserve">SDET</t>
  </si>
  <si>
    <t xml:space="preserve">Grace Lin</t>
  </si>
  <si>
    <t xml:space="preserve">UX</t>
  </si>
  <si>
    <t xml:space="preserve">Fixed list - shared with the colour rules.</t>
  </si>
  <si>
    <t xml:space="preserve">Omar Haddad</t>
  </si>
  <si>
    <t xml:space="preserve">Yearly view - one row per project, one column per week</t>
  </si>
  <si>
    <t xml:space="preserve">Q1</t>
  </si>
  <si>
    <t xml:space="preserve">Q2</t>
  </si>
  <si>
    <t xml:space="preserve">Q3</t>
  </si>
  <si>
    <t xml:space="preserve">Q4</t>
  </si>
  <si>
    <t xml:space="preserve">#</t>
  </si>
  <si>
    <t xml:space="preserve">Project</t>
  </si>
  <si>
    <t xml:space="preserve">Program</t>
  </si>
  <si>
    <t xml:space="preserve">Lead</t>
  </si>
  <si>
    <t xml:space="preserve">Team (comma separated)</t>
  </si>
  <si>
    <t xml:space="preserve">FTE</t>
  </si>
  <si>
    <t xml:space="preserve">Start</t>
  </si>
  <si>
    <t xml:space="preserve">End</t>
  </si>
  <si>
    <t xml:space="preserve">% done</t>
  </si>
  <si>
    <t xml:space="preserve">Notes</t>
  </si>
  <si>
    <t xml:space="preserve">W1</t>
  </si>
  <si>
    <t xml:space="preserve">W2</t>
  </si>
  <si>
    <t xml:space="preserve">W3</t>
  </si>
  <si>
    <t xml:space="preserve">W4</t>
  </si>
  <si>
    <t xml:space="preserve">W5</t>
  </si>
  <si>
    <t xml:space="preserve">W6</t>
  </si>
  <si>
    <t xml:space="preserve">W7</t>
  </si>
  <si>
    <t xml:space="preserve">W8</t>
  </si>
  <si>
    <t xml:space="preserve">W9</t>
  </si>
  <si>
    <t xml:space="preserve">W10</t>
  </si>
  <si>
    <t xml:space="preserve">W11</t>
  </si>
  <si>
    <t xml:space="preserve">W12</t>
  </si>
  <si>
    <t xml:space="preserve">W13</t>
  </si>
  <si>
    <t xml:space="preserve">W14</t>
  </si>
  <si>
    <t xml:space="preserve">W15</t>
  </si>
  <si>
    <t xml:space="preserve">W16</t>
  </si>
  <si>
    <t xml:space="preserve">W17</t>
  </si>
  <si>
    <t xml:space="preserve">W18</t>
  </si>
  <si>
    <t xml:space="preserve">W19</t>
  </si>
  <si>
    <t xml:space="preserve">W20</t>
  </si>
  <si>
    <t xml:space="preserve">W21</t>
  </si>
  <si>
    <t xml:space="preserve">W22</t>
  </si>
  <si>
    <t xml:space="preserve">W23</t>
  </si>
  <si>
    <t xml:space="preserve">W24</t>
  </si>
  <si>
    <t xml:space="preserve">W25</t>
  </si>
  <si>
    <t xml:space="preserve">W26</t>
  </si>
  <si>
    <t xml:space="preserve">W27</t>
  </si>
  <si>
    <t xml:space="preserve">W28</t>
  </si>
  <si>
    <t xml:space="preserve">W29</t>
  </si>
  <si>
    <t xml:space="preserve">W30</t>
  </si>
  <si>
    <t xml:space="preserve">W31</t>
  </si>
  <si>
    <t xml:space="preserve">W32</t>
  </si>
  <si>
    <t xml:space="preserve">W33</t>
  </si>
  <si>
    <t xml:space="preserve">W34</t>
  </si>
  <si>
    <t xml:space="preserve">W35</t>
  </si>
  <si>
    <t xml:space="preserve">W36</t>
  </si>
  <si>
    <t xml:space="preserve">W37</t>
  </si>
  <si>
    <t xml:space="preserve">W38</t>
  </si>
  <si>
    <t xml:space="preserve">W39</t>
  </si>
  <si>
    <t xml:space="preserve">W40</t>
  </si>
  <si>
    <t xml:space="preserve">W41</t>
  </si>
  <si>
    <t xml:space="preserve">W42</t>
  </si>
  <si>
    <t xml:space="preserve">W43</t>
  </si>
  <si>
    <t xml:space="preserve">W44</t>
  </si>
  <si>
    <t xml:space="preserve">W45</t>
  </si>
  <si>
    <t xml:space="preserve">W46</t>
  </si>
  <si>
    <t xml:space="preserve">W47</t>
  </si>
  <si>
    <t xml:space="preserve">W48</t>
  </si>
  <si>
    <t xml:space="preserve">W49</t>
  </si>
  <si>
    <t xml:space="preserve">W50</t>
  </si>
  <si>
    <t xml:space="preserve">W51</t>
  </si>
  <si>
    <t xml:space="preserve">W52</t>
  </si>
  <si>
    <t xml:space="preserve">RepApp modernization - remaining 55%</t>
  </si>
  <si>
    <t xml:space="preserve">Priya Nathan, Marcus Bell, Dana Okafor, Tom Whitfield</t>
  </si>
  <si>
    <t xml:space="preserve">Strangler migration to Angular; scope cut to check contribution first</t>
  </si>
  <si>
    <t xml:space="preserve">RepApp backend API hardening</t>
  </si>
  <si>
    <t xml:space="preserve">Marcus Bell, Ravi Menon</t>
  </si>
  <si>
    <t xml:space="preserve">Owner left; rebuild API knowledge and docs</t>
  </si>
  <si>
    <t xml:space="preserve">Application portfolio dashboard</t>
  </si>
  <si>
    <t xml:space="preserve">Dana Okafor, Ellen Vargas</t>
  </si>
  <si>
    <t xml:space="preserve">Excel inventory feeding Power BI for the manager group</t>
  </si>
  <si>
    <t xml:space="preserve">Rep chat assistant - discovery</t>
  </si>
  <si>
    <t xml:space="preserve">Grace Lin, Omar Haddad</t>
  </si>
  <si>
    <t xml:space="preserve">Ontology layer and in-app chat for donor flows</t>
  </si>
  <si>
    <t xml:space="preserve">Quality gate remediation</t>
  </si>
  <si>
    <t xml:space="preserve">Tom Whitfield, Ravi Menon</t>
  </si>
  <si>
    <t xml:space="preserve">Sonar findings and CI/CD build stability</t>
  </si>
  <si>
    <t xml:space="preserve">Sample row - delete me</t>
  </si>
  <si>
    <t xml:space="preserve">Ellen Vargas, Omar Haddad</t>
  </si>
  <si>
    <t xml:space="preserve">Shows the format the workbook expects</t>
  </si>
  <si>
    <t xml:space="preserve">Active projects</t>
  </si>
  <si>
    <t xml:space="preserve">At risk or off track</t>
  </si>
  <si>
    <t xml:space="preserve">Total FTE booked</t>
  </si>
  <si>
    <t xml:space="preserve">Quarter</t>
  </si>
  <si>
    <t xml:space="preserve">Team</t>
  </si>
  <si>
    <t xml:space="preserve">Who is on what, week by week</t>
  </si>
  <si>
    <t xml:space="preserve">Counts concurrent projects per person. Two at once is amber, three or more is red.</t>
  </si>
  <si>
    <t xml:space="preserve">Person</t>
  </si>
  <si>
    <t xml:space="preserve">Projects</t>
  </si>
  <si>
    <t xml:space="preserve">Names come from the Setup tab. Spelling must match the Team column on Year Plan.</t>
  </si>
  <si>
    <t xml:space="preserve">Milestones</t>
  </si>
  <si>
    <t xml:space="preserve">Dated commitments behind the bars. Week is calculated from your start date.</t>
  </si>
  <si>
    <t xml:space="preserve">Milestone</t>
  </si>
  <si>
    <t xml:space="preserve">Owner</t>
  </si>
  <si>
    <t xml:space="preserve">Date</t>
  </si>
  <si>
    <t xml:space="preserve">Week</t>
  </si>
  <si>
    <t xml:space="preserve">Check contribution front end live in production</t>
  </si>
  <si>
    <t xml:space="preserve">Hard date; other contribution types follow incrementally</t>
  </si>
  <si>
    <t xml:space="preserve">All supporting APIs delivered and documented</t>
  </si>
  <si>
    <t xml:space="preserve">Power BI view shared with peer managers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</si>
</sst>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d\ dd\ mmm\ yyyy"/>
    <numFmt numFmtId="166" formatCode="dd\ mmm"/>
    <numFmt numFmtId="167" formatCode="General"/>
    <numFmt numFmtId="168" formatCode="0.0"/>
    <numFmt numFmtId="169" formatCode="dd\ mmm\ yy"/>
    <numFmt numFmtId="170" formatCode="0%"/>
    <numFmt numFmtId="171" formatCode=";;;"/>
    <numFmt numFmtId="172" formatCode="0;;&quot;&quot;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36"/>
      <name val="Arial"/>
      <family val="0"/>
      <charset val="1"/>
    </font>
    <font>
      <sz val="10"/>
      <color rgb="FF6B7A85"/>
      <name val="Arial"/>
      <family val="0"/>
      <charset val="1"/>
    </font>
    <font>
      <b val="true"/>
      <sz val="12"/>
      <color rgb="FF2E4B5E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B2A36"/>
      <name val="Arial"/>
      <family val="0"/>
      <charset val="1"/>
    </font>
    <font>
      <i val="true"/>
      <sz val="9"/>
      <color rgb="FF6B7A85"/>
      <name val="Arial"/>
      <family val="0"/>
      <charset val="1"/>
    </font>
    <font>
      <b val="true"/>
      <sz val="11"/>
      <color rgb="FF2E4B5E"/>
      <name val="Arial"/>
      <family val="0"/>
      <charset val="1"/>
    </font>
    <font>
      <b val="true"/>
      <sz val="18"/>
      <color rgb="FF1B2A36"/>
      <name val="Arial"/>
      <family val="0"/>
      <charset val="1"/>
    </font>
    <font>
      <b val="true"/>
      <sz val="11"/>
      <color rgb="FF1B2A36"/>
      <name val="Arial"/>
      <family val="0"/>
      <charset val="1"/>
    </font>
    <font>
      <sz val="8"/>
      <color rgb="FF6B7A8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6B7A85"/>
      <name val="Arial"/>
      <family val="0"/>
      <charset val="1"/>
    </font>
    <font>
      <b val="true"/>
      <sz val="12"/>
      <color rgb="FF1B2A36"/>
      <name val="Arial"/>
      <family val="0"/>
      <charset val="1"/>
    </font>
    <font>
      <sz val="8"/>
      <color rgb="FF0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B9C4CC"/>
        <bgColor rgb="FFC3CED6"/>
      </patternFill>
    </fill>
    <fill>
      <patternFill patternType="solid">
        <fgColor rgb="FF2E8B57"/>
        <bgColor rgb="FF008080"/>
      </patternFill>
    </fill>
    <fill>
      <patternFill patternType="solid">
        <fgColor rgb="FFE0A526"/>
        <bgColor rgb="FFFFCC00"/>
      </patternFill>
    </fill>
    <fill>
      <patternFill patternType="solid">
        <fgColor rgb="FFC0392B"/>
        <bgColor rgb="FF993366"/>
      </patternFill>
    </fill>
    <fill>
      <patternFill patternType="solid">
        <fgColor rgb="FF5B7C99"/>
        <bgColor rgb="FF6B7A85"/>
      </patternFill>
    </fill>
    <fill>
      <patternFill patternType="solid">
        <fgColor rgb="FFFFF6D6"/>
        <bgColor rgb="FFF2F6F8"/>
      </patternFill>
    </fill>
    <fill>
      <patternFill patternType="solid">
        <fgColor rgb="FF2E4B5E"/>
        <bgColor rgb="FF1B2A36"/>
      </patternFill>
    </fill>
    <fill>
      <patternFill patternType="solid">
        <fgColor rgb="FFE8EEF2"/>
        <bgColor rgb="FFE6EBEE"/>
      </patternFill>
    </fill>
    <fill>
      <patternFill patternType="solid">
        <fgColor rgb="FFDCE6EC"/>
        <bgColor rgb="FFE6EBEE"/>
      </patternFill>
    </fill>
    <fill>
      <patternFill patternType="solid">
        <fgColor rgb="FFF2F6F8"/>
        <bgColor rgb="FFE8EEF2"/>
      </patternFill>
    </fill>
    <fill>
      <patternFill patternType="solid">
        <fgColor rgb="FF1B2A36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3CED6"/>
      </left>
      <right style="thin">
        <color rgb="FFC3CED6"/>
      </right>
      <top style="thin">
        <color rgb="FFC3CED6"/>
      </top>
      <bottom style="thin">
        <color rgb="FFC3CED6"/>
      </bottom>
      <diagonal/>
    </border>
    <border diagonalUp="false" diagonalDown="false">
      <left style="hair">
        <color rgb="FFE6EBEE"/>
      </left>
      <right style="hair">
        <color rgb="FFE6EBEE"/>
      </right>
      <top style="hair">
        <color rgb="FFE6EBEE"/>
      </top>
      <bottom style="hair">
        <color rgb="FFE6EB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1B2A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B7A8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D6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E8B57"/>
          <bgColor rgb="FF000000"/>
        </patternFill>
      </fill>
    </dxf>
    <dxf>
      <fill>
        <patternFill patternType="solid">
          <fgColor rgb="FF5B7C99"/>
          <bgColor rgb="FF000000"/>
        </patternFill>
      </fill>
    </dxf>
    <dxf>
      <fill>
        <patternFill patternType="solid">
          <fgColor rgb="FFB9C4CC"/>
          <bgColor rgb="FF000000"/>
        </patternFill>
      </fill>
    </dxf>
    <dxf>
      <fill>
        <patternFill patternType="solid">
          <fgColor rgb="FFE0A526"/>
          <bgColor rgb="FF000000"/>
        </patternFill>
      </fill>
    </dxf>
    <dxf>
      <fill>
        <patternFill>
          <bgColor rgb="FF2E8B57"/>
        </patternFill>
      </fill>
    </dxf>
    <dxf>
      <fill>
        <patternFill>
          <bgColor rgb="FFE0A526"/>
        </patternFill>
      </fill>
    </dxf>
    <dxf>
      <fill>
        <patternFill>
          <bgColor rgb="FFC0392B"/>
        </patternFill>
      </fill>
    </dxf>
    <dxf>
      <fill>
        <patternFill>
          <bgColor rgb="FF5B7C99"/>
        </patternFill>
      </fill>
    </dxf>
    <dxf>
      <fill>
        <patternFill>
          <bgColor rgb="FFB9C4CC"/>
        </patternFill>
      </fill>
    </dxf>
    <dxf>
      <font>
        <name val="Arial"/>
        <charset val="1"/>
        <family val="0"/>
        <b val="1"/>
        <color rgb="FF1B2A36"/>
        <sz val="8"/>
      </font>
      <fill>
        <patternFill>
          <bgColor rgb="FFFFE0B2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2E8B57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E0A526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5B7C99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B9C4CC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C0392B"/>
        </patternFill>
      </fill>
    </dxf>
    <dxf>
      <font>
        <name val="Arial"/>
        <charset val="1"/>
        <family val="0"/>
        <b val="1"/>
        <color rgb="FFFFFFFF"/>
        <sz val="8"/>
      </font>
      <fill>
        <patternFill>
          <bgColor rgb="FFE0A526"/>
        </patternFill>
      </fill>
    </dxf>
    <dxf>
      <font>
        <name val="Arial"/>
        <charset val="1"/>
        <family val="0"/>
        <color rgb="FFCDE7D8"/>
        <sz val="8"/>
      </font>
      <fill>
        <patternFill>
          <bgColor rgb="FFCDE7D8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CC"/>
      <rgbColor rgb="FF6B7A85"/>
      <rgbColor rgb="FF9999FF"/>
      <rgbColor rgb="FF993366"/>
      <rgbColor rgb="FFFFF6D6"/>
      <rgbColor rgb="FFE8EEF2"/>
      <rgbColor rgb="FF660066"/>
      <rgbColor rgb="FFFF8080"/>
      <rgbColor rgb="FF0066CC"/>
      <rgbColor rgb="FFC3CE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BEE"/>
      <rgbColor rgb="FFCDE7D8"/>
      <rgbColor rgb="FFF2F6F8"/>
      <rgbColor rgb="FFDCE6EC"/>
      <rgbColor rgb="FFFF99CC"/>
      <rgbColor rgb="FFCC99FF"/>
      <rgbColor rgb="FFFFE0B2"/>
      <rgbColor rgb="FF3366FF"/>
      <rgbColor rgb="FF33CCCC"/>
      <rgbColor rgb="FF99CC00"/>
      <rgbColor rgb="FFFFCC00"/>
      <rgbColor rgb="FFE0A526"/>
      <rgbColor rgb="FFFF6600"/>
      <rgbColor rgb="FF5B7C99"/>
      <rgbColor rgb="FF969696"/>
      <rgbColor rgb="FF003366"/>
      <rgbColor rgb="FF2E8B57"/>
      <rgbColor rgb="FF003300"/>
      <rgbColor rgb="FF333300"/>
      <rgbColor rgb="FFC0392B"/>
      <rgbColor rgb="FF993366"/>
      <rgbColor rgb="FF2E4B5E"/>
      <rgbColor rgb="FF1B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27.75" hidden="false" customHeight="true" outlineLevel="0" collapsed="false">
      <c r="B7" s="4" t="s">
        <v>3</v>
      </c>
      <c r="C7" s="5" t="s">
        <v>4</v>
      </c>
    </row>
    <row r="8" customFormat="false" ht="27.75" hidden="false" customHeight="true" outlineLevel="0" collapsed="false">
      <c r="B8" s="4" t="s">
        <v>5</v>
      </c>
      <c r="C8" s="5" t="s">
        <v>6</v>
      </c>
    </row>
    <row r="9" customFormat="false" ht="27.75" hidden="false" customHeight="true" outlineLevel="0" collapsed="false">
      <c r="B9" s="4" t="s">
        <v>7</v>
      </c>
      <c r="C9" s="5" t="s">
        <v>8</v>
      </c>
    </row>
    <row r="10" customFormat="false" ht="27.75" hidden="false" customHeight="true" outlineLevel="0" collapsed="false">
      <c r="B10" s="4" t="s">
        <v>9</v>
      </c>
      <c r="C10" s="5" t="s">
        <v>10</v>
      </c>
    </row>
    <row r="11" customFormat="false" ht="27.75" hidden="false" customHeight="true" outlineLevel="0" collapsed="false">
      <c r="B11" s="4" t="s">
        <v>11</v>
      </c>
      <c r="C11" s="5" t="s">
        <v>12</v>
      </c>
    </row>
    <row r="13" customFormat="false" ht="15" hidden="false" customHeight="false" outlineLevel="0" collapsed="false">
      <c r="B13" s="3" t="s">
        <v>13</v>
      </c>
    </row>
    <row r="14" customFormat="false" ht="27.75" hidden="false" customHeight="true" outlineLevel="0" collapsed="false">
      <c r="B14" s="4" t="s">
        <v>14</v>
      </c>
      <c r="C14" s="5" t="s">
        <v>15</v>
      </c>
    </row>
    <row r="15" customFormat="false" ht="27.75" hidden="false" customHeight="true" outlineLevel="0" collapsed="false">
      <c r="B15" s="4" t="s">
        <v>16</v>
      </c>
      <c r="C15" s="5" t="s">
        <v>17</v>
      </c>
    </row>
    <row r="16" customFormat="false" ht="27.75" hidden="false" customHeight="true" outlineLevel="0" collapsed="false">
      <c r="B16" s="4" t="s">
        <v>18</v>
      </c>
      <c r="C16" s="5" t="s">
        <v>19</v>
      </c>
    </row>
    <row r="18" customFormat="false" ht="15" hidden="false" customHeight="false" outlineLevel="0" collapsed="false">
      <c r="B18" s="3" t="s">
        <v>20</v>
      </c>
    </row>
    <row r="19" customFormat="false" ht="27.75" hidden="false" customHeight="true" outlineLevel="0" collapsed="false">
      <c r="B19" s="6" t="s">
        <v>21</v>
      </c>
      <c r="C19" s="5" t="s">
        <v>22</v>
      </c>
    </row>
    <row r="20" customFormat="false" ht="27.75" hidden="false" customHeight="true" outlineLevel="0" collapsed="false">
      <c r="B20" s="7" t="s">
        <v>23</v>
      </c>
      <c r="C20" s="5" t="s">
        <v>24</v>
      </c>
    </row>
    <row r="21" customFormat="false" ht="27.75" hidden="false" customHeight="true" outlineLevel="0" collapsed="false">
      <c r="B21" s="8" t="s">
        <v>25</v>
      </c>
      <c r="C21" s="5" t="s">
        <v>26</v>
      </c>
    </row>
    <row r="22" customFormat="false" ht="27.75" hidden="false" customHeight="true" outlineLevel="0" collapsed="false">
      <c r="B22" s="9" t="s">
        <v>27</v>
      </c>
      <c r="C22" s="5" t="s">
        <v>28</v>
      </c>
    </row>
    <row r="23" customFormat="false" ht="27.75" hidden="false" customHeight="true" outlineLevel="0" collapsed="false">
      <c r="B23" s="10" t="s">
        <v>29</v>
      </c>
      <c r="C23" s="5" t="s">
        <v>30</v>
      </c>
    </row>
    <row r="25" customFormat="false" ht="15" hidden="false" customHeight="false" outlineLevel="0" collapsed="false">
      <c r="B25" s="3" t="s">
        <v>31</v>
      </c>
    </row>
    <row r="26" customFormat="false" ht="27.75" hidden="false" customHeight="true" outlineLevel="0" collapsed="false">
      <c r="B26" s="4" t="s">
        <v>32</v>
      </c>
      <c r="C26" s="5" t="s">
        <v>33</v>
      </c>
    </row>
    <row r="27" customFormat="false" ht="27.75" hidden="false" customHeight="true" outlineLevel="0" collapsed="false">
      <c r="B27" s="4" t="s">
        <v>34</v>
      </c>
      <c r="C27" s="5" t="s">
        <v>35</v>
      </c>
    </row>
    <row r="28" customFormat="false" ht="27.75" hidden="false" customHeight="true" outlineLevel="0" collapsed="false">
      <c r="B28" s="4" t="s">
        <v>36</v>
      </c>
      <c r="C28" s="5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40"/>
  </cols>
  <sheetData>
    <row r="2" customFormat="false" ht="19.7" hidden="false" customHeight="false" outlineLevel="0" collapsed="false">
      <c r="B2" s="11" t="s">
        <v>38</v>
      </c>
    </row>
    <row r="3" customFormat="false" ht="15" hidden="false" customHeight="false" outlineLevel="0" collapsed="false">
      <c r="B3" s="2" t="s">
        <v>39</v>
      </c>
    </row>
    <row r="5" customFormat="false" ht="15" hidden="false" customHeight="false" outlineLevel="0" collapsed="false">
      <c r="B5" s="12" t="s">
        <v>40</v>
      </c>
      <c r="C5" s="13" t="s">
        <v>41</v>
      </c>
    </row>
    <row r="6" customFormat="false" ht="15" hidden="false" customHeight="false" outlineLevel="0" collapsed="false">
      <c r="B6" s="12" t="s">
        <v>42</v>
      </c>
      <c r="C6" s="14" t="n">
        <v>46272</v>
      </c>
      <c r="D6" s="15" t="s">
        <v>43</v>
      </c>
    </row>
    <row r="9" customFormat="false" ht="15" hidden="false" customHeight="false" outlineLevel="0" collapsed="false">
      <c r="B9" s="16" t="s">
        <v>44</v>
      </c>
      <c r="E9" s="16" t="s">
        <v>45</v>
      </c>
    </row>
    <row r="10" customFormat="false" ht="15" hidden="false" customHeight="false" outlineLevel="0" collapsed="false">
      <c r="B10" s="17" t="s">
        <v>46</v>
      </c>
      <c r="C10" s="17" t="s">
        <v>47</v>
      </c>
      <c r="E10" s="17" t="s">
        <v>48</v>
      </c>
      <c r="F10" s="17" t="s">
        <v>49</v>
      </c>
    </row>
    <row r="11" customFormat="false" ht="15" hidden="false" customHeight="false" outlineLevel="0" collapsed="false">
      <c r="B11" s="13" t="s">
        <v>50</v>
      </c>
      <c r="C11" s="13" t="s">
        <v>51</v>
      </c>
      <c r="E11" s="18" t="s">
        <v>21</v>
      </c>
      <c r="F11" s="13" t="s">
        <v>52</v>
      </c>
    </row>
    <row r="12" customFormat="false" ht="15" hidden="false" customHeight="false" outlineLevel="0" collapsed="false">
      <c r="B12" s="13" t="s">
        <v>53</v>
      </c>
      <c r="C12" s="13" t="s">
        <v>54</v>
      </c>
      <c r="E12" s="18" t="s">
        <v>23</v>
      </c>
      <c r="F12" s="13" t="s">
        <v>55</v>
      </c>
    </row>
    <row r="13" customFormat="false" ht="15" hidden="false" customHeight="false" outlineLevel="0" collapsed="false">
      <c r="B13" s="13" t="s">
        <v>56</v>
      </c>
      <c r="C13" s="13" t="s">
        <v>54</v>
      </c>
      <c r="E13" s="18" t="s">
        <v>25</v>
      </c>
      <c r="F13" s="13" t="s">
        <v>57</v>
      </c>
    </row>
    <row r="14" customFormat="false" ht="15" hidden="false" customHeight="false" outlineLevel="0" collapsed="false">
      <c r="B14" s="13" t="s">
        <v>58</v>
      </c>
      <c r="C14" s="13" t="s">
        <v>59</v>
      </c>
      <c r="E14" s="18" t="s">
        <v>27</v>
      </c>
      <c r="F14" s="13" t="s">
        <v>60</v>
      </c>
    </row>
    <row r="15" customFormat="false" ht="15" hidden="false" customHeight="false" outlineLevel="0" collapsed="false">
      <c r="B15" s="13" t="s">
        <v>61</v>
      </c>
      <c r="C15" s="13" t="s">
        <v>59</v>
      </c>
      <c r="E15" s="18" t="s">
        <v>29</v>
      </c>
      <c r="F15" s="13" t="s">
        <v>62</v>
      </c>
    </row>
    <row r="16" customFormat="false" ht="15" hidden="false" customHeight="false" outlineLevel="0" collapsed="false">
      <c r="B16" s="13" t="s">
        <v>63</v>
      </c>
      <c r="C16" s="13" t="s">
        <v>64</v>
      </c>
    </row>
    <row r="17" customFormat="false" ht="15" hidden="false" customHeight="false" outlineLevel="0" collapsed="false">
      <c r="B17" s="13" t="s">
        <v>65</v>
      </c>
      <c r="C17" s="13" t="s">
        <v>66</v>
      </c>
      <c r="E17" s="15" t="s">
        <v>67</v>
      </c>
    </row>
    <row r="18" customFormat="false" ht="15" hidden="false" customHeight="false" outlineLevel="0" collapsed="false">
      <c r="B18" s="13" t="s">
        <v>68</v>
      </c>
      <c r="C18" s="13" t="s">
        <v>59</v>
      </c>
    </row>
    <row r="19" customFormat="false" ht="15" hidden="false" customHeight="false" outlineLevel="0" collapsed="false">
      <c r="B19" s="13"/>
      <c r="C19" s="13"/>
    </row>
    <row r="20" customFormat="false" ht="15" hidden="false" customHeight="false" outlineLevel="0" collapsed="false">
      <c r="B20" s="13"/>
      <c r="C20" s="13"/>
    </row>
    <row r="21" customFormat="false" ht="15" hidden="false" customHeight="false" outlineLevel="0" collapsed="false">
      <c r="B21" s="13"/>
      <c r="C21" s="13"/>
    </row>
    <row r="22" customFormat="false" ht="15" hidden="false" customHeight="false" outlineLevel="0" collapsed="false">
      <c r="B22" s="13"/>
      <c r="C22" s="13"/>
    </row>
    <row r="23" customFormat="false" ht="15" hidden="false" customHeight="false" outlineLevel="0" collapsed="false">
      <c r="B23" s="13"/>
      <c r="C23" s="13"/>
    </row>
    <row r="24" customFormat="false" ht="15" hidden="false" customHeight="false" outlineLevel="0" collapsed="false">
      <c r="B24" s="13"/>
      <c r="C24" s="13"/>
    </row>
    <row r="25" customFormat="false" ht="15" hidden="false" customHeight="false" outlineLevel="0" collapsed="false">
      <c r="B25" s="13"/>
      <c r="C25" s="13"/>
    </row>
    <row r="26" customFormat="false" ht="15" hidden="false" customHeight="false" outlineLevel="0" collapsed="false">
      <c r="B26" s="13"/>
      <c r="C26" s="13"/>
    </row>
    <row r="27" customFormat="false" ht="15" hidden="false" customHeight="false" outlineLevel="0" collapsed="false">
      <c r="B27" s="13"/>
      <c r="C27" s="13"/>
    </row>
    <row r="28" customFormat="false" ht="15" hidden="false" customHeight="false" outlineLevel="0" collapsed="false">
      <c r="B28" s="13"/>
      <c r="C28" s="13"/>
    </row>
    <row r="29" customFormat="false" ht="15" hidden="false" customHeight="false" outlineLevel="0" collapsed="false">
      <c r="B29" s="13"/>
      <c r="C29" s="13"/>
    </row>
    <row r="30" customFormat="false" ht="15" hidden="false" customHeight="false" outlineLevel="0" collapsed="false">
      <c r="B30" s="13"/>
      <c r="C30" s="13"/>
    </row>
    <row r="31" customFormat="false" ht="15" hidden="false" customHeight="false" outlineLevel="0" collapsed="false">
      <c r="B31" s="13"/>
      <c r="C31" s="13"/>
    </row>
    <row r="32" customFormat="false" ht="15" hidden="false" customHeight="false" outlineLevel="0" collapsed="false">
      <c r="B32" s="13"/>
      <c r="C32" s="13"/>
    </row>
    <row r="33" customFormat="false" ht="15" hidden="false" customHeight="false" outlineLevel="0" collapsed="false">
      <c r="B33" s="13"/>
      <c r="C33" s="13"/>
    </row>
    <row r="34" customFormat="false" ht="15" hidden="false" customHeight="false" outlineLevel="0" collapsed="false">
      <c r="B34" s="13"/>
      <c r="C34" s="13"/>
    </row>
    <row r="35" customFormat="false" ht="15" hidden="false" customHeight="false" outlineLevel="0" collapsed="false">
      <c r="B35" s="13"/>
      <c r="C35" s="13"/>
    </row>
    <row r="36" customFormat="false" ht="15" hidden="false" customHeight="false" outlineLevel="0" collapsed="false">
      <c r="B36" s="13"/>
      <c r="C36" s="13"/>
    </row>
    <row r="37" customFormat="false" ht="15" hidden="false" customHeight="false" outlineLevel="0" collapsed="false">
      <c r="B37" s="13"/>
      <c r="C37" s="13"/>
    </row>
    <row r="38" customFormat="false" ht="15" hidden="false" customHeight="false" outlineLevel="0" collapsed="false">
      <c r="B38" s="13"/>
      <c r="C38" s="13"/>
    </row>
    <row r="39" customFormat="false" ht="15" hidden="false" customHeight="false" outlineLevel="0" collapsed="false">
      <c r="B39" s="13"/>
      <c r="C39" s="13"/>
    </row>
    <row r="40" customFormat="false" ht="15" hidden="false" customHeight="false" outlineLevel="0" collapsed="false">
      <c r="B40" s="13"/>
      <c r="C4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M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6" topLeftCell="L7" activePane="bottomRight" state="frozen"/>
      <selection pane="topLeft" activeCell="A1" activeCellId="0" sqref="A1"/>
      <selection pane="topRight" activeCell="L1" activeCellId="0" sqref="L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7"/>
    <col collapsed="false" customWidth="true" hidden="false" outlineLevel="0" max="9" min="7" style="0" width="12"/>
    <col collapsed="false" customWidth="true" hidden="false" outlineLevel="0" max="10" min="10" style="0" width="8"/>
    <col collapsed="false" customWidth="true" hidden="false" outlineLevel="0" max="11" min="11" style="0" width="30"/>
    <col collapsed="false" customWidth="true" hidden="false" outlineLevel="0" max="63" min="12" style="0" width="3.2"/>
    <col collapsed="false" customWidth="true" hidden="true" outlineLevel="0" max="65" min="65" style="0" width="13"/>
  </cols>
  <sheetData>
    <row r="1" customFormat="false" ht="22.05" hidden="false" customHeight="false" outlineLevel="0" collapsed="false">
      <c r="A1" s="19" t="str">
        <f aca="false">Setup!C5</f>
        <v>Engineering Portfolio 2026-27</v>
      </c>
    </row>
    <row r="2" customFormat="false" ht="15" hidden="false" customHeight="false" outlineLevel="0" collapsed="false">
      <c r="A2" s="2" t="s">
        <v>69</v>
      </c>
    </row>
    <row r="3" customFormat="false" ht="15" hidden="true" customHeight="false" outlineLevel="0" collapsed="false">
      <c r="L3" s="20" t="n">
        <f aca="false">PlanStart</f>
        <v>46272</v>
      </c>
      <c r="M3" s="20" t="n">
        <f aca="false">L3+7</f>
        <v>46279</v>
      </c>
      <c r="N3" s="20" t="n">
        <f aca="false">M3+7</f>
        <v>46286</v>
      </c>
      <c r="O3" s="20" t="n">
        <f aca="false">N3+7</f>
        <v>46293</v>
      </c>
      <c r="P3" s="20" t="n">
        <f aca="false">O3+7</f>
        <v>46300</v>
      </c>
      <c r="Q3" s="20" t="n">
        <f aca="false">P3+7</f>
        <v>46307</v>
      </c>
      <c r="R3" s="20" t="n">
        <f aca="false">Q3+7</f>
        <v>46314</v>
      </c>
      <c r="S3" s="20" t="n">
        <f aca="false">R3+7</f>
        <v>46321</v>
      </c>
      <c r="T3" s="20" t="n">
        <f aca="false">S3+7</f>
        <v>46328</v>
      </c>
      <c r="U3" s="20" t="n">
        <f aca="false">T3+7</f>
        <v>46335</v>
      </c>
      <c r="V3" s="20" t="n">
        <f aca="false">U3+7</f>
        <v>46342</v>
      </c>
      <c r="W3" s="20" t="n">
        <f aca="false">V3+7</f>
        <v>46349</v>
      </c>
      <c r="X3" s="20" t="n">
        <f aca="false">W3+7</f>
        <v>46356</v>
      </c>
      <c r="Y3" s="20" t="n">
        <f aca="false">X3+7</f>
        <v>46363</v>
      </c>
      <c r="Z3" s="20" t="n">
        <f aca="false">Y3+7</f>
        <v>46370</v>
      </c>
      <c r="AA3" s="20" t="n">
        <f aca="false">Z3+7</f>
        <v>46377</v>
      </c>
      <c r="AB3" s="20" t="n">
        <f aca="false">AA3+7</f>
        <v>46384</v>
      </c>
      <c r="AC3" s="20" t="n">
        <f aca="false">AB3+7</f>
        <v>46391</v>
      </c>
      <c r="AD3" s="20" t="n">
        <f aca="false">AC3+7</f>
        <v>46398</v>
      </c>
      <c r="AE3" s="20" t="n">
        <f aca="false">AD3+7</f>
        <v>46405</v>
      </c>
      <c r="AF3" s="20" t="n">
        <f aca="false">AE3+7</f>
        <v>46412</v>
      </c>
      <c r="AG3" s="20" t="n">
        <f aca="false">AF3+7</f>
        <v>46419</v>
      </c>
      <c r="AH3" s="20" t="n">
        <f aca="false">AG3+7</f>
        <v>46426</v>
      </c>
      <c r="AI3" s="20" t="n">
        <f aca="false">AH3+7</f>
        <v>46433</v>
      </c>
      <c r="AJ3" s="20" t="n">
        <f aca="false">AI3+7</f>
        <v>46440</v>
      </c>
      <c r="AK3" s="20" t="n">
        <f aca="false">AJ3+7</f>
        <v>46447</v>
      </c>
      <c r="AL3" s="20" t="n">
        <f aca="false">AK3+7</f>
        <v>46454</v>
      </c>
      <c r="AM3" s="20" t="n">
        <f aca="false">AL3+7</f>
        <v>46461</v>
      </c>
      <c r="AN3" s="20" t="n">
        <f aca="false">AM3+7</f>
        <v>46468</v>
      </c>
      <c r="AO3" s="20" t="n">
        <f aca="false">AN3+7</f>
        <v>46475</v>
      </c>
      <c r="AP3" s="20" t="n">
        <f aca="false">AO3+7</f>
        <v>46482</v>
      </c>
      <c r="AQ3" s="20" t="n">
        <f aca="false">AP3+7</f>
        <v>46489</v>
      </c>
      <c r="AR3" s="20" t="n">
        <f aca="false">AQ3+7</f>
        <v>46496</v>
      </c>
      <c r="AS3" s="20" t="n">
        <f aca="false">AR3+7</f>
        <v>46503</v>
      </c>
      <c r="AT3" s="20" t="n">
        <f aca="false">AS3+7</f>
        <v>46510</v>
      </c>
      <c r="AU3" s="20" t="n">
        <f aca="false">AT3+7</f>
        <v>46517</v>
      </c>
      <c r="AV3" s="20" t="n">
        <f aca="false">AU3+7</f>
        <v>46524</v>
      </c>
      <c r="AW3" s="20" t="n">
        <f aca="false">AV3+7</f>
        <v>46531</v>
      </c>
      <c r="AX3" s="20" t="n">
        <f aca="false">AW3+7</f>
        <v>46538</v>
      </c>
      <c r="AY3" s="20" t="n">
        <f aca="false">AX3+7</f>
        <v>46545</v>
      </c>
      <c r="AZ3" s="20" t="n">
        <f aca="false">AY3+7</f>
        <v>46552</v>
      </c>
      <c r="BA3" s="20" t="n">
        <f aca="false">AZ3+7</f>
        <v>46559</v>
      </c>
      <c r="BB3" s="20" t="n">
        <f aca="false">BA3+7</f>
        <v>46566</v>
      </c>
      <c r="BC3" s="20" t="n">
        <f aca="false">BB3+7</f>
        <v>46573</v>
      </c>
      <c r="BD3" s="20" t="n">
        <f aca="false">BC3+7</f>
        <v>46580</v>
      </c>
      <c r="BE3" s="20" t="n">
        <f aca="false">BD3+7</f>
        <v>46587</v>
      </c>
      <c r="BF3" s="20" t="n">
        <f aca="false">BE3+7</f>
        <v>46594</v>
      </c>
      <c r="BG3" s="20" t="n">
        <f aca="false">BF3+7</f>
        <v>46601</v>
      </c>
      <c r="BH3" s="20" t="n">
        <f aca="false">BG3+7</f>
        <v>46608</v>
      </c>
      <c r="BI3" s="20" t="n">
        <f aca="false">BH3+7</f>
        <v>46615</v>
      </c>
      <c r="BJ3" s="20" t="n">
        <f aca="false">BI3+7</f>
        <v>46622</v>
      </c>
      <c r="BK3" s="20" t="n">
        <f aca="false">BJ3+7</f>
        <v>46629</v>
      </c>
    </row>
    <row r="4" customFormat="false" ht="15" hidden="false" customHeight="false" outlineLevel="0" collapsed="false">
      <c r="L4" s="21" t="s">
        <v>70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2" t="s">
        <v>71</v>
      </c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1" t="s">
        <v>72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2" t="s">
        <v>73</v>
      </c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</row>
    <row r="5" customFormat="false" ht="13.5" hidden="false" customHeight="true" outlineLevel="0" collapsed="false">
      <c r="L5" s="23" t="str">
        <f aca="false">TEXT(L3,"mmm")</f>
        <v>Sep</v>
      </c>
      <c r="M5" s="23" t="str">
        <f aca="false">TEXT(M3,"mmm")</f>
        <v>Sep</v>
      </c>
      <c r="N5" s="23" t="str">
        <f aca="false">TEXT(N3,"mmm")</f>
        <v>Sep</v>
      </c>
      <c r="O5" s="23" t="str">
        <f aca="false">TEXT(O3,"mmm")</f>
        <v>Sep</v>
      </c>
      <c r="P5" s="23" t="str">
        <f aca="false">TEXT(P3,"mmm")</f>
        <v>Oct</v>
      </c>
      <c r="Q5" s="23" t="str">
        <f aca="false">TEXT(Q3,"mmm")</f>
        <v>Oct</v>
      </c>
      <c r="R5" s="23" t="str">
        <f aca="false">TEXT(R3,"mmm")</f>
        <v>Oct</v>
      </c>
      <c r="S5" s="23" t="str">
        <f aca="false">TEXT(S3,"mmm")</f>
        <v>Oct</v>
      </c>
      <c r="T5" s="23" t="str">
        <f aca="false">TEXT(T3,"mmm")</f>
        <v>Nov</v>
      </c>
      <c r="U5" s="23" t="str">
        <f aca="false">TEXT(U3,"mmm")</f>
        <v>Nov</v>
      </c>
      <c r="V5" s="23" t="str">
        <f aca="false">TEXT(V3,"mmm")</f>
        <v>Nov</v>
      </c>
      <c r="W5" s="23" t="str">
        <f aca="false">TEXT(W3,"mmm")</f>
        <v>Nov</v>
      </c>
      <c r="X5" s="23" t="str">
        <f aca="false">TEXT(X3,"mmm")</f>
        <v>Nov</v>
      </c>
      <c r="Y5" s="23" t="str">
        <f aca="false">TEXT(Y3,"mmm")</f>
        <v>Dec</v>
      </c>
      <c r="Z5" s="23" t="str">
        <f aca="false">TEXT(Z3,"mmm")</f>
        <v>Dec</v>
      </c>
      <c r="AA5" s="23" t="str">
        <f aca="false">TEXT(AA3,"mmm")</f>
        <v>Dec</v>
      </c>
      <c r="AB5" s="23" t="str">
        <f aca="false">TEXT(AB3,"mmm")</f>
        <v>Dec</v>
      </c>
      <c r="AC5" s="23" t="str">
        <f aca="false">TEXT(AC3,"mmm")</f>
        <v>Jan</v>
      </c>
      <c r="AD5" s="23" t="str">
        <f aca="false">TEXT(AD3,"mmm")</f>
        <v>Jan</v>
      </c>
      <c r="AE5" s="23" t="str">
        <f aca="false">TEXT(AE3,"mmm")</f>
        <v>Jan</v>
      </c>
      <c r="AF5" s="23" t="str">
        <f aca="false">TEXT(AF3,"mmm")</f>
        <v>Jan</v>
      </c>
      <c r="AG5" s="23" t="str">
        <f aca="false">TEXT(AG3,"mmm")</f>
        <v>Feb</v>
      </c>
      <c r="AH5" s="23" t="str">
        <f aca="false">TEXT(AH3,"mmm")</f>
        <v>Feb</v>
      </c>
      <c r="AI5" s="23" t="str">
        <f aca="false">TEXT(AI3,"mmm")</f>
        <v>Feb</v>
      </c>
      <c r="AJ5" s="23" t="str">
        <f aca="false">TEXT(AJ3,"mmm")</f>
        <v>Feb</v>
      </c>
      <c r="AK5" s="23" t="str">
        <f aca="false">TEXT(AK3,"mmm")</f>
        <v>Mar</v>
      </c>
      <c r="AL5" s="23" t="str">
        <f aca="false">TEXT(AL3,"mmm")</f>
        <v>Mar</v>
      </c>
      <c r="AM5" s="23" t="str">
        <f aca="false">TEXT(AM3,"mmm")</f>
        <v>Mar</v>
      </c>
      <c r="AN5" s="23" t="str">
        <f aca="false">TEXT(AN3,"mmm")</f>
        <v>Mar</v>
      </c>
      <c r="AO5" s="23" t="str">
        <f aca="false">TEXT(AO3,"mmm")</f>
        <v>Mar</v>
      </c>
      <c r="AP5" s="23" t="str">
        <f aca="false">TEXT(AP3,"mmm")</f>
        <v>Apr</v>
      </c>
      <c r="AQ5" s="23" t="str">
        <f aca="false">TEXT(AQ3,"mmm")</f>
        <v>Apr</v>
      </c>
      <c r="AR5" s="23" t="str">
        <f aca="false">TEXT(AR3,"mmm")</f>
        <v>Apr</v>
      </c>
      <c r="AS5" s="23" t="str">
        <f aca="false">TEXT(AS3,"mmm")</f>
        <v>Apr</v>
      </c>
      <c r="AT5" s="23" t="str">
        <f aca="false">TEXT(AT3,"mmm")</f>
        <v>May</v>
      </c>
      <c r="AU5" s="23" t="str">
        <f aca="false">TEXT(AU3,"mmm")</f>
        <v>May</v>
      </c>
      <c r="AV5" s="23" t="str">
        <f aca="false">TEXT(AV3,"mmm")</f>
        <v>May</v>
      </c>
      <c r="AW5" s="23" t="str">
        <f aca="false">TEXT(AW3,"mmm")</f>
        <v>May</v>
      </c>
      <c r="AX5" s="23" t="str">
        <f aca="false">TEXT(AX3,"mmm")</f>
        <v>May</v>
      </c>
      <c r="AY5" s="23" t="str">
        <f aca="false">TEXT(AY3,"mmm")</f>
        <v>Jun</v>
      </c>
      <c r="AZ5" s="23" t="str">
        <f aca="false">TEXT(AZ3,"mmm")</f>
        <v>Jun</v>
      </c>
      <c r="BA5" s="23" t="str">
        <f aca="false">TEXT(BA3,"mmm")</f>
        <v>Jun</v>
      </c>
      <c r="BB5" s="23" t="str">
        <f aca="false">TEXT(BB3,"mmm")</f>
        <v>Jun</v>
      </c>
      <c r="BC5" s="23" t="str">
        <f aca="false">TEXT(BC3,"mmm")</f>
        <v>Jul</v>
      </c>
      <c r="BD5" s="23" t="str">
        <f aca="false">TEXT(BD3,"mmm")</f>
        <v>Jul</v>
      </c>
      <c r="BE5" s="23" t="str">
        <f aca="false">TEXT(BE3,"mmm")</f>
        <v>Jul</v>
      </c>
      <c r="BF5" s="23" t="str">
        <f aca="false">TEXT(BF3,"mmm")</f>
        <v>Jul</v>
      </c>
      <c r="BG5" s="23" t="str">
        <f aca="false">TEXT(BG3,"mmm")</f>
        <v>Aug</v>
      </c>
      <c r="BH5" s="23" t="str">
        <f aca="false">TEXT(BH3,"mmm")</f>
        <v>Aug</v>
      </c>
      <c r="BI5" s="23" t="str">
        <f aca="false">TEXT(BI3,"mmm")</f>
        <v>Aug</v>
      </c>
      <c r="BJ5" s="23" t="str">
        <f aca="false">TEXT(BJ3,"mmm")</f>
        <v>Aug</v>
      </c>
      <c r="BK5" s="23" t="str">
        <f aca="false">TEXT(BK3,"mmm")</f>
        <v>Aug</v>
      </c>
    </row>
    <row r="6" customFormat="false" ht="25.5" hidden="false" customHeight="true" outlineLevel="0" collapsed="false">
      <c r="A6" s="24" t="s">
        <v>74</v>
      </c>
      <c r="B6" s="24" t="s">
        <v>75</v>
      </c>
      <c r="C6" s="24" t="s">
        <v>76</v>
      </c>
      <c r="D6" s="24" t="s">
        <v>77</v>
      </c>
      <c r="E6" s="24" t="s">
        <v>78</v>
      </c>
      <c r="F6" s="24" t="s">
        <v>79</v>
      </c>
      <c r="G6" s="24" t="s">
        <v>48</v>
      </c>
      <c r="H6" s="24" t="s">
        <v>80</v>
      </c>
      <c r="I6" s="24" t="s">
        <v>81</v>
      </c>
      <c r="J6" s="24" t="s">
        <v>82</v>
      </c>
      <c r="K6" s="24" t="s">
        <v>83</v>
      </c>
      <c r="L6" s="25" t="s">
        <v>84</v>
      </c>
      <c r="M6" s="25" t="s">
        <v>85</v>
      </c>
      <c r="N6" s="25" t="s">
        <v>86</v>
      </c>
      <c r="O6" s="25" t="s">
        <v>87</v>
      </c>
      <c r="P6" s="25" t="s">
        <v>88</v>
      </c>
      <c r="Q6" s="25" t="s">
        <v>89</v>
      </c>
      <c r="R6" s="25" t="s">
        <v>90</v>
      </c>
      <c r="S6" s="25" t="s">
        <v>91</v>
      </c>
      <c r="T6" s="25" t="s">
        <v>92</v>
      </c>
      <c r="U6" s="25" t="s">
        <v>93</v>
      </c>
      <c r="V6" s="25" t="s">
        <v>94</v>
      </c>
      <c r="W6" s="25" t="s">
        <v>95</v>
      </c>
      <c r="X6" s="25" t="s">
        <v>96</v>
      </c>
      <c r="Y6" s="25" t="s">
        <v>97</v>
      </c>
      <c r="Z6" s="25" t="s">
        <v>98</v>
      </c>
      <c r="AA6" s="25" t="s">
        <v>99</v>
      </c>
      <c r="AB6" s="25" t="s">
        <v>100</v>
      </c>
      <c r="AC6" s="25" t="s">
        <v>101</v>
      </c>
      <c r="AD6" s="25" t="s">
        <v>102</v>
      </c>
      <c r="AE6" s="25" t="s">
        <v>103</v>
      </c>
      <c r="AF6" s="25" t="s">
        <v>104</v>
      </c>
      <c r="AG6" s="25" t="s">
        <v>105</v>
      </c>
      <c r="AH6" s="25" t="s">
        <v>106</v>
      </c>
      <c r="AI6" s="25" t="s">
        <v>107</v>
      </c>
      <c r="AJ6" s="25" t="s">
        <v>108</v>
      </c>
      <c r="AK6" s="25" t="s">
        <v>109</v>
      </c>
      <c r="AL6" s="25" t="s">
        <v>110</v>
      </c>
      <c r="AM6" s="25" t="s">
        <v>111</v>
      </c>
      <c r="AN6" s="25" t="s">
        <v>112</v>
      </c>
      <c r="AO6" s="25" t="s">
        <v>113</v>
      </c>
      <c r="AP6" s="25" t="s">
        <v>114</v>
      </c>
      <c r="AQ6" s="25" t="s">
        <v>115</v>
      </c>
      <c r="AR6" s="25" t="s">
        <v>116</v>
      </c>
      <c r="AS6" s="25" t="s">
        <v>117</v>
      </c>
      <c r="AT6" s="25" t="s">
        <v>118</v>
      </c>
      <c r="AU6" s="25" t="s">
        <v>119</v>
      </c>
      <c r="AV6" s="25" t="s">
        <v>120</v>
      </c>
      <c r="AW6" s="25" t="s">
        <v>121</v>
      </c>
      <c r="AX6" s="25" t="s">
        <v>122</v>
      </c>
      <c r="AY6" s="25" t="s">
        <v>123</v>
      </c>
      <c r="AZ6" s="25" t="s">
        <v>124</v>
      </c>
      <c r="BA6" s="25" t="s">
        <v>125</v>
      </c>
      <c r="BB6" s="25" t="s">
        <v>126</v>
      </c>
      <c r="BC6" s="25" t="s">
        <v>127</v>
      </c>
      <c r="BD6" s="25" t="s">
        <v>128</v>
      </c>
      <c r="BE6" s="25" t="s">
        <v>129</v>
      </c>
      <c r="BF6" s="25" t="s">
        <v>130</v>
      </c>
      <c r="BG6" s="25" t="s">
        <v>131</v>
      </c>
      <c r="BH6" s="25" t="s">
        <v>132</v>
      </c>
      <c r="BI6" s="25" t="s">
        <v>133</v>
      </c>
      <c r="BJ6" s="25" t="s">
        <v>134</v>
      </c>
      <c r="BK6" s="25" t="s">
        <v>135</v>
      </c>
    </row>
    <row r="7" customFormat="false" ht="21.75" hidden="false" customHeight="true" outlineLevel="0" collapsed="false">
      <c r="A7" s="26" t="n">
        <f aca="false">IF(B7="","",COUNTA($B$7:B7))</f>
        <v>1</v>
      </c>
      <c r="B7" s="27" t="s">
        <v>136</v>
      </c>
      <c r="C7" s="28" t="s">
        <v>52</v>
      </c>
      <c r="D7" s="28" t="s">
        <v>50</v>
      </c>
      <c r="E7" s="27" t="s">
        <v>137</v>
      </c>
      <c r="F7" s="29" t="n">
        <v>4</v>
      </c>
      <c r="G7" s="28" t="s">
        <v>25</v>
      </c>
      <c r="H7" s="30" t="n">
        <f aca="false">PlanStart+0</f>
        <v>46272</v>
      </c>
      <c r="I7" s="30" t="n">
        <f aca="false">PlanStart+179</f>
        <v>46451</v>
      </c>
      <c r="J7" s="31" t="n">
        <v>0.45</v>
      </c>
      <c r="K7" s="27" t="s">
        <v>138</v>
      </c>
      <c r="L7" s="32" t="n">
        <f aca="false">IF(OR($B7="",$H7="",$I7=""),"",IF(AND(L$3+6&gt;=$H7,L$3&lt;=$I7),1,""))</f>
        <v>1</v>
      </c>
      <c r="M7" s="32" t="n">
        <f aca="false">IF(OR($B7="",$H7="",$I7=""),"",IF(AND(M$3+6&gt;=$H7,M$3&lt;=$I7),1,""))</f>
        <v>1</v>
      </c>
      <c r="N7" s="32" t="n">
        <f aca="false">IF(OR($B7="",$H7="",$I7=""),"",IF(AND(N$3+6&gt;=$H7,N$3&lt;=$I7),1,""))</f>
        <v>1</v>
      </c>
      <c r="O7" s="32" t="n">
        <f aca="false">IF(OR($B7="",$H7="",$I7=""),"",IF(AND(O$3+6&gt;=$H7,O$3&lt;=$I7),1,""))</f>
        <v>1</v>
      </c>
      <c r="P7" s="32" t="n">
        <f aca="false">IF(OR($B7="",$H7="",$I7=""),"",IF(AND(P$3+6&gt;=$H7,P$3&lt;=$I7),1,""))</f>
        <v>1</v>
      </c>
      <c r="Q7" s="32" t="n">
        <f aca="false">IF(OR($B7="",$H7="",$I7=""),"",IF(AND(Q$3+6&gt;=$H7,Q$3&lt;=$I7),1,""))</f>
        <v>1</v>
      </c>
      <c r="R7" s="32" t="n">
        <f aca="false">IF(OR($B7="",$H7="",$I7=""),"",IF(AND(R$3+6&gt;=$H7,R$3&lt;=$I7),1,""))</f>
        <v>1</v>
      </c>
      <c r="S7" s="32" t="n">
        <f aca="false">IF(OR($B7="",$H7="",$I7=""),"",IF(AND(S$3+6&gt;=$H7,S$3&lt;=$I7),1,""))</f>
        <v>1</v>
      </c>
      <c r="T7" s="32" t="n">
        <f aca="false">IF(OR($B7="",$H7="",$I7=""),"",IF(AND(T$3+6&gt;=$H7,T$3&lt;=$I7),1,""))</f>
        <v>1</v>
      </c>
      <c r="U7" s="32" t="n">
        <f aca="false">IF(OR($B7="",$H7="",$I7=""),"",IF(AND(U$3+6&gt;=$H7,U$3&lt;=$I7),1,""))</f>
        <v>1</v>
      </c>
      <c r="V7" s="32" t="n">
        <f aca="false">IF(OR($B7="",$H7="",$I7=""),"",IF(AND(V$3+6&gt;=$H7,V$3&lt;=$I7),1,""))</f>
        <v>1</v>
      </c>
      <c r="W7" s="32" t="n">
        <f aca="false">IF(OR($B7="",$H7="",$I7=""),"",IF(AND(W$3+6&gt;=$H7,W$3&lt;=$I7),1,""))</f>
        <v>1</v>
      </c>
      <c r="X7" s="32" t="n">
        <f aca="false">IF(OR($B7="",$H7="",$I7=""),"",IF(AND(X$3+6&gt;=$H7,X$3&lt;=$I7),1,""))</f>
        <v>1</v>
      </c>
      <c r="Y7" s="32" t="n">
        <f aca="false">IF(OR($B7="",$H7="",$I7=""),"",IF(AND(Y$3+6&gt;=$H7,Y$3&lt;=$I7),1,""))</f>
        <v>1</v>
      </c>
      <c r="Z7" s="32" t="n">
        <f aca="false">IF(OR($B7="",$H7="",$I7=""),"",IF(AND(Z$3+6&gt;=$H7,Z$3&lt;=$I7),1,""))</f>
        <v>1</v>
      </c>
      <c r="AA7" s="32" t="n">
        <f aca="false">IF(OR($B7="",$H7="",$I7=""),"",IF(AND(AA$3+6&gt;=$H7,AA$3&lt;=$I7),1,""))</f>
        <v>1</v>
      </c>
      <c r="AB7" s="32" t="n">
        <f aca="false">IF(OR($B7="",$H7="",$I7=""),"",IF(AND(AB$3+6&gt;=$H7,AB$3&lt;=$I7),1,""))</f>
        <v>1</v>
      </c>
      <c r="AC7" s="32" t="n">
        <f aca="false">IF(OR($B7="",$H7="",$I7=""),"",IF(AND(AC$3+6&gt;=$H7,AC$3&lt;=$I7),1,""))</f>
        <v>1</v>
      </c>
      <c r="AD7" s="32" t="n">
        <f aca="false">IF(OR($B7="",$H7="",$I7=""),"",IF(AND(AD$3+6&gt;=$H7,AD$3&lt;=$I7),1,""))</f>
        <v>1</v>
      </c>
      <c r="AE7" s="32" t="n">
        <f aca="false">IF(OR($B7="",$H7="",$I7=""),"",IF(AND(AE$3+6&gt;=$H7,AE$3&lt;=$I7),1,""))</f>
        <v>1</v>
      </c>
      <c r="AF7" s="32" t="n">
        <f aca="false">IF(OR($B7="",$H7="",$I7=""),"",IF(AND(AF$3+6&gt;=$H7,AF$3&lt;=$I7),1,""))</f>
        <v>1</v>
      </c>
      <c r="AG7" s="32" t="n">
        <f aca="false">IF(OR($B7="",$H7="",$I7=""),"",IF(AND(AG$3+6&gt;=$H7,AG$3&lt;=$I7),1,""))</f>
        <v>1</v>
      </c>
      <c r="AH7" s="32" t="n">
        <f aca="false">IF(OR($B7="",$H7="",$I7=""),"",IF(AND(AH$3+6&gt;=$H7,AH$3&lt;=$I7),1,""))</f>
        <v>1</v>
      </c>
      <c r="AI7" s="32" t="n">
        <f aca="false">IF(OR($B7="",$H7="",$I7=""),"",IF(AND(AI$3+6&gt;=$H7,AI$3&lt;=$I7),1,""))</f>
        <v>1</v>
      </c>
      <c r="AJ7" s="32" t="n">
        <f aca="false">IF(OR($B7="",$H7="",$I7=""),"",IF(AND(AJ$3+6&gt;=$H7,AJ$3&lt;=$I7),1,""))</f>
        <v>1</v>
      </c>
      <c r="AK7" s="32" t="n">
        <f aca="false">IF(OR($B7="",$H7="",$I7=""),"",IF(AND(AK$3+6&gt;=$H7,AK$3&lt;=$I7),1,""))</f>
        <v>1</v>
      </c>
      <c r="AL7" s="32" t="str">
        <f aca="false">IF(OR($B7="",$H7="",$I7=""),"",IF(AND(AL$3+6&gt;=$H7,AL$3&lt;=$I7),1,""))</f>
        <v/>
      </c>
      <c r="AM7" s="32" t="str">
        <f aca="false">IF(OR($B7="",$H7="",$I7=""),"",IF(AND(AM$3+6&gt;=$H7,AM$3&lt;=$I7),1,""))</f>
        <v/>
      </c>
      <c r="AN7" s="32" t="str">
        <f aca="false">IF(OR($B7="",$H7="",$I7=""),"",IF(AND(AN$3+6&gt;=$H7,AN$3&lt;=$I7),1,""))</f>
        <v/>
      </c>
      <c r="AO7" s="32" t="str">
        <f aca="false">IF(OR($B7="",$H7="",$I7=""),"",IF(AND(AO$3+6&gt;=$H7,AO$3&lt;=$I7),1,""))</f>
        <v/>
      </c>
      <c r="AP7" s="32" t="str">
        <f aca="false">IF(OR($B7="",$H7="",$I7=""),"",IF(AND(AP$3+6&gt;=$H7,AP$3&lt;=$I7),1,""))</f>
        <v/>
      </c>
      <c r="AQ7" s="32" t="str">
        <f aca="false">IF(OR($B7="",$H7="",$I7=""),"",IF(AND(AQ$3+6&gt;=$H7,AQ$3&lt;=$I7),1,""))</f>
        <v/>
      </c>
      <c r="AR7" s="32" t="str">
        <f aca="false">IF(OR($B7="",$H7="",$I7=""),"",IF(AND(AR$3+6&gt;=$H7,AR$3&lt;=$I7),1,""))</f>
        <v/>
      </c>
      <c r="AS7" s="32" t="str">
        <f aca="false">IF(OR($B7="",$H7="",$I7=""),"",IF(AND(AS$3+6&gt;=$H7,AS$3&lt;=$I7),1,""))</f>
        <v/>
      </c>
      <c r="AT7" s="32" t="str">
        <f aca="false">IF(OR($B7="",$H7="",$I7=""),"",IF(AND(AT$3+6&gt;=$H7,AT$3&lt;=$I7),1,""))</f>
        <v/>
      </c>
      <c r="AU7" s="32" t="str">
        <f aca="false">IF(OR($B7="",$H7="",$I7=""),"",IF(AND(AU$3+6&gt;=$H7,AU$3&lt;=$I7),1,""))</f>
        <v/>
      </c>
      <c r="AV7" s="32" t="str">
        <f aca="false">IF(OR($B7="",$H7="",$I7=""),"",IF(AND(AV$3+6&gt;=$H7,AV$3&lt;=$I7),1,""))</f>
        <v/>
      </c>
      <c r="AW7" s="32" t="str">
        <f aca="false">IF(OR($B7="",$H7="",$I7=""),"",IF(AND(AW$3+6&gt;=$H7,AW$3&lt;=$I7),1,""))</f>
        <v/>
      </c>
      <c r="AX7" s="32" t="str">
        <f aca="false">IF(OR($B7="",$H7="",$I7=""),"",IF(AND(AX$3+6&gt;=$H7,AX$3&lt;=$I7),1,""))</f>
        <v/>
      </c>
      <c r="AY7" s="32" t="str">
        <f aca="false">IF(OR($B7="",$H7="",$I7=""),"",IF(AND(AY$3+6&gt;=$H7,AY$3&lt;=$I7),1,""))</f>
        <v/>
      </c>
      <c r="AZ7" s="32" t="str">
        <f aca="false">IF(OR($B7="",$H7="",$I7=""),"",IF(AND(AZ$3+6&gt;=$H7,AZ$3&lt;=$I7),1,""))</f>
        <v/>
      </c>
      <c r="BA7" s="32" t="str">
        <f aca="false">IF(OR($B7="",$H7="",$I7=""),"",IF(AND(BA$3+6&gt;=$H7,BA$3&lt;=$I7),1,""))</f>
        <v/>
      </c>
      <c r="BB7" s="32" t="str">
        <f aca="false">IF(OR($B7="",$H7="",$I7=""),"",IF(AND(BB$3+6&gt;=$H7,BB$3&lt;=$I7),1,""))</f>
        <v/>
      </c>
      <c r="BC7" s="32" t="str">
        <f aca="false">IF(OR($B7="",$H7="",$I7=""),"",IF(AND(BC$3+6&gt;=$H7,BC$3&lt;=$I7),1,""))</f>
        <v/>
      </c>
      <c r="BD7" s="32" t="str">
        <f aca="false">IF(OR($B7="",$H7="",$I7=""),"",IF(AND(BD$3+6&gt;=$H7,BD$3&lt;=$I7),1,""))</f>
        <v/>
      </c>
      <c r="BE7" s="32" t="str">
        <f aca="false">IF(OR($B7="",$H7="",$I7=""),"",IF(AND(BE$3+6&gt;=$H7,BE$3&lt;=$I7),1,""))</f>
        <v/>
      </c>
      <c r="BF7" s="32" t="str">
        <f aca="false">IF(OR($B7="",$H7="",$I7=""),"",IF(AND(BF$3+6&gt;=$H7,BF$3&lt;=$I7),1,""))</f>
        <v/>
      </c>
      <c r="BG7" s="32" t="str">
        <f aca="false">IF(OR($B7="",$H7="",$I7=""),"",IF(AND(BG$3+6&gt;=$H7,BG$3&lt;=$I7),1,""))</f>
        <v/>
      </c>
      <c r="BH7" s="32" t="str">
        <f aca="false">IF(OR($B7="",$H7="",$I7=""),"",IF(AND(BH$3+6&gt;=$H7,BH$3&lt;=$I7),1,""))</f>
        <v/>
      </c>
      <c r="BI7" s="32" t="str">
        <f aca="false">IF(OR($B7="",$H7="",$I7=""),"",IF(AND(BI$3+6&gt;=$H7,BI$3&lt;=$I7),1,""))</f>
        <v/>
      </c>
      <c r="BJ7" s="32" t="str">
        <f aca="false">IF(OR($B7="",$H7="",$I7=""),"",IF(AND(BJ$3+6&gt;=$H7,BJ$3&lt;=$I7),1,""))</f>
        <v/>
      </c>
      <c r="BK7" s="32" t="str">
        <f aca="false">IF(OR($B7="",$H7="",$I7=""),"",IF(AND(BK$3+6&gt;=$H7,BK$3&lt;=$I7),1,""))</f>
        <v/>
      </c>
      <c r="BM7" s="0" t="str">
        <f aca="false">IF($E7="",",,",","&amp;SUBSTITUTE($E7," ","")&amp;",")</f>
        <v>,PriyaNathan,MarcusBell,DanaOkafor,TomWhitfield,</v>
      </c>
    </row>
    <row r="8" customFormat="false" ht="21.75" hidden="false" customHeight="true" outlineLevel="0" collapsed="false">
      <c r="A8" s="26" t="n">
        <f aca="false">IF(B8="","",COUNTA($B$7:B8))</f>
        <v>2</v>
      </c>
      <c r="B8" s="27" t="s">
        <v>139</v>
      </c>
      <c r="C8" s="28" t="s">
        <v>52</v>
      </c>
      <c r="D8" s="28" t="s">
        <v>53</v>
      </c>
      <c r="E8" s="27" t="s">
        <v>140</v>
      </c>
      <c r="F8" s="29" t="n">
        <v>2</v>
      </c>
      <c r="G8" s="28" t="s">
        <v>23</v>
      </c>
      <c r="H8" s="30" t="n">
        <f aca="false">PlanStart+0</f>
        <v>46272</v>
      </c>
      <c r="I8" s="30" t="n">
        <f aca="false">PlanStart+88</f>
        <v>46360</v>
      </c>
      <c r="J8" s="31" t="n">
        <v>0.6</v>
      </c>
      <c r="K8" s="27" t="s">
        <v>141</v>
      </c>
      <c r="L8" s="32" t="n">
        <f aca="false">IF(OR($B8="",$H8="",$I8=""),"",IF(AND(L$3+6&gt;=$H8,L$3&lt;=$I8),1,""))</f>
        <v>1</v>
      </c>
      <c r="M8" s="32" t="n">
        <f aca="false">IF(OR($B8="",$H8="",$I8=""),"",IF(AND(M$3+6&gt;=$H8,M$3&lt;=$I8),1,""))</f>
        <v>1</v>
      </c>
      <c r="N8" s="32" t="n">
        <f aca="false">IF(OR($B8="",$H8="",$I8=""),"",IF(AND(N$3+6&gt;=$H8,N$3&lt;=$I8),1,""))</f>
        <v>1</v>
      </c>
      <c r="O8" s="32" t="n">
        <f aca="false">IF(OR($B8="",$H8="",$I8=""),"",IF(AND(O$3+6&gt;=$H8,O$3&lt;=$I8),1,""))</f>
        <v>1</v>
      </c>
      <c r="P8" s="32" t="n">
        <f aca="false">IF(OR($B8="",$H8="",$I8=""),"",IF(AND(P$3+6&gt;=$H8,P$3&lt;=$I8),1,""))</f>
        <v>1</v>
      </c>
      <c r="Q8" s="32" t="n">
        <f aca="false">IF(OR($B8="",$H8="",$I8=""),"",IF(AND(Q$3+6&gt;=$H8,Q$3&lt;=$I8),1,""))</f>
        <v>1</v>
      </c>
      <c r="R8" s="32" t="n">
        <f aca="false">IF(OR($B8="",$H8="",$I8=""),"",IF(AND(R$3+6&gt;=$H8,R$3&lt;=$I8),1,""))</f>
        <v>1</v>
      </c>
      <c r="S8" s="32" t="n">
        <f aca="false">IF(OR($B8="",$H8="",$I8=""),"",IF(AND(S$3+6&gt;=$H8,S$3&lt;=$I8),1,""))</f>
        <v>1</v>
      </c>
      <c r="T8" s="32" t="n">
        <f aca="false">IF(OR($B8="",$H8="",$I8=""),"",IF(AND(T$3+6&gt;=$H8,T$3&lt;=$I8),1,""))</f>
        <v>1</v>
      </c>
      <c r="U8" s="32" t="n">
        <f aca="false">IF(OR($B8="",$H8="",$I8=""),"",IF(AND(U$3+6&gt;=$H8,U$3&lt;=$I8),1,""))</f>
        <v>1</v>
      </c>
      <c r="V8" s="32" t="n">
        <f aca="false">IF(OR($B8="",$H8="",$I8=""),"",IF(AND(V$3+6&gt;=$H8,V$3&lt;=$I8),1,""))</f>
        <v>1</v>
      </c>
      <c r="W8" s="32" t="n">
        <f aca="false">IF(OR($B8="",$H8="",$I8=""),"",IF(AND(W$3+6&gt;=$H8,W$3&lt;=$I8),1,""))</f>
        <v>1</v>
      </c>
      <c r="X8" s="32" t="n">
        <f aca="false">IF(OR($B8="",$H8="",$I8=""),"",IF(AND(X$3+6&gt;=$H8,X$3&lt;=$I8),1,""))</f>
        <v>1</v>
      </c>
      <c r="Y8" s="32" t="str">
        <f aca="false">IF(OR($B8="",$H8="",$I8=""),"",IF(AND(Y$3+6&gt;=$H8,Y$3&lt;=$I8),1,""))</f>
        <v/>
      </c>
      <c r="Z8" s="32" t="str">
        <f aca="false">IF(OR($B8="",$H8="",$I8=""),"",IF(AND(Z$3+6&gt;=$H8,Z$3&lt;=$I8),1,""))</f>
        <v/>
      </c>
      <c r="AA8" s="32" t="str">
        <f aca="false">IF(OR($B8="",$H8="",$I8=""),"",IF(AND(AA$3+6&gt;=$H8,AA$3&lt;=$I8),1,""))</f>
        <v/>
      </c>
      <c r="AB8" s="32" t="str">
        <f aca="false">IF(OR($B8="",$H8="",$I8=""),"",IF(AND(AB$3+6&gt;=$H8,AB$3&lt;=$I8),1,""))</f>
        <v/>
      </c>
      <c r="AC8" s="32" t="str">
        <f aca="false">IF(OR($B8="",$H8="",$I8=""),"",IF(AND(AC$3+6&gt;=$H8,AC$3&lt;=$I8),1,""))</f>
        <v/>
      </c>
      <c r="AD8" s="32" t="str">
        <f aca="false">IF(OR($B8="",$H8="",$I8=""),"",IF(AND(AD$3+6&gt;=$H8,AD$3&lt;=$I8),1,""))</f>
        <v/>
      </c>
      <c r="AE8" s="32" t="str">
        <f aca="false">IF(OR($B8="",$H8="",$I8=""),"",IF(AND(AE$3+6&gt;=$H8,AE$3&lt;=$I8),1,""))</f>
        <v/>
      </c>
      <c r="AF8" s="32" t="str">
        <f aca="false">IF(OR($B8="",$H8="",$I8=""),"",IF(AND(AF$3+6&gt;=$H8,AF$3&lt;=$I8),1,""))</f>
        <v/>
      </c>
      <c r="AG8" s="32" t="str">
        <f aca="false">IF(OR($B8="",$H8="",$I8=""),"",IF(AND(AG$3+6&gt;=$H8,AG$3&lt;=$I8),1,""))</f>
        <v/>
      </c>
      <c r="AH8" s="32" t="str">
        <f aca="false">IF(OR($B8="",$H8="",$I8=""),"",IF(AND(AH$3+6&gt;=$H8,AH$3&lt;=$I8),1,""))</f>
        <v/>
      </c>
      <c r="AI8" s="32" t="str">
        <f aca="false">IF(OR($B8="",$H8="",$I8=""),"",IF(AND(AI$3+6&gt;=$H8,AI$3&lt;=$I8),1,""))</f>
        <v/>
      </c>
      <c r="AJ8" s="32" t="str">
        <f aca="false">IF(OR($B8="",$H8="",$I8=""),"",IF(AND(AJ$3+6&gt;=$H8,AJ$3&lt;=$I8),1,""))</f>
        <v/>
      </c>
      <c r="AK8" s="32" t="str">
        <f aca="false">IF(OR($B8="",$H8="",$I8=""),"",IF(AND(AK$3+6&gt;=$H8,AK$3&lt;=$I8),1,""))</f>
        <v/>
      </c>
      <c r="AL8" s="32" t="str">
        <f aca="false">IF(OR($B8="",$H8="",$I8=""),"",IF(AND(AL$3+6&gt;=$H8,AL$3&lt;=$I8),1,""))</f>
        <v/>
      </c>
      <c r="AM8" s="32" t="str">
        <f aca="false">IF(OR($B8="",$H8="",$I8=""),"",IF(AND(AM$3+6&gt;=$H8,AM$3&lt;=$I8),1,""))</f>
        <v/>
      </c>
      <c r="AN8" s="32" t="str">
        <f aca="false">IF(OR($B8="",$H8="",$I8=""),"",IF(AND(AN$3+6&gt;=$H8,AN$3&lt;=$I8),1,""))</f>
        <v/>
      </c>
      <c r="AO8" s="32" t="str">
        <f aca="false">IF(OR($B8="",$H8="",$I8=""),"",IF(AND(AO$3+6&gt;=$H8,AO$3&lt;=$I8),1,""))</f>
        <v/>
      </c>
      <c r="AP8" s="32" t="str">
        <f aca="false">IF(OR($B8="",$H8="",$I8=""),"",IF(AND(AP$3+6&gt;=$H8,AP$3&lt;=$I8),1,""))</f>
        <v/>
      </c>
      <c r="AQ8" s="32" t="str">
        <f aca="false">IF(OR($B8="",$H8="",$I8=""),"",IF(AND(AQ$3+6&gt;=$H8,AQ$3&lt;=$I8),1,""))</f>
        <v/>
      </c>
      <c r="AR8" s="32" t="str">
        <f aca="false">IF(OR($B8="",$H8="",$I8=""),"",IF(AND(AR$3+6&gt;=$H8,AR$3&lt;=$I8),1,""))</f>
        <v/>
      </c>
      <c r="AS8" s="32" t="str">
        <f aca="false">IF(OR($B8="",$H8="",$I8=""),"",IF(AND(AS$3+6&gt;=$H8,AS$3&lt;=$I8),1,""))</f>
        <v/>
      </c>
      <c r="AT8" s="32" t="str">
        <f aca="false">IF(OR($B8="",$H8="",$I8=""),"",IF(AND(AT$3+6&gt;=$H8,AT$3&lt;=$I8),1,""))</f>
        <v/>
      </c>
      <c r="AU8" s="32" t="str">
        <f aca="false">IF(OR($B8="",$H8="",$I8=""),"",IF(AND(AU$3+6&gt;=$H8,AU$3&lt;=$I8),1,""))</f>
        <v/>
      </c>
      <c r="AV8" s="32" t="str">
        <f aca="false">IF(OR($B8="",$H8="",$I8=""),"",IF(AND(AV$3+6&gt;=$H8,AV$3&lt;=$I8),1,""))</f>
        <v/>
      </c>
      <c r="AW8" s="32" t="str">
        <f aca="false">IF(OR($B8="",$H8="",$I8=""),"",IF(AND(AW$3+6&gt;=$H8,AW$3&lt;=$I8),1,""))</f>
        <v/>
      </c>
      <c r="AX8" s="32" t="str">
        <f aca="false">IF(OR($B8="",$H8="",$I8=""),"",IF(AND(AX$3+6&gt;=$H8,AX$3&lt;=$I8),1,""))</f>
        <v/>
      </c>
      <c r="AY8" s="32" t="str">
        <f aca="false">IF(OR($B8="",$H8="",$I8=""),"",IF(AND(AY$3+6&gt;=$H8,AY$3&lt;=$I8),1,""))</f>
        <v/>
      </c>
      <c r="AZ8" s="32" t="str">
        <f aca="false">IF(OR($B8="",$H8="",$I8=""),"",IF(AND(AZ$3+6&gt;=$H8,AZ$3&lt;=$I8),1,""))</f>
        <v/>
      </c>
      <c r="BA8" s="32" t="str">
        <f aca="false">IF(OR($B8="",$H8="",$I8=""),"",IF(AND(BA$3+6&gt;=$H8,BA$3&lt;=$I8),1,""))</f>
        <v/>
      </c>
      <c r="BB8" s="32" t="str">
        <f aca="false">IF(OR($B8="",$H8="",$I8=""),"",IF(AND(BB$3+6&gt;=$H8,BB$3&lt;=$I8),1,""))</f>
        <v/>
      </c>
      <c r="BC8" s="32" t="str">
        <f aca="false">IF(OR($B8="",$H8="",$I8=""),"",IF(AND(BC$3+6&gt;=$H8,BC$3&lt;=$I8),1,""))</f>
        <v/>
      </c>
      <c r="BD8" s="32" t="str">
        <f aca="false">IF(OR($B8="",$H8="",$I8=""),"",IF(AND(BD$3+6&gt;=$H8,BD$3&lt;=$I8),1,""))</f>
        <v/>
      </c>
      <c r="BE8" s="32" t="str">
        <f aca="false">IF(OR($B8="",$H8="",$I8=""),"",IF(AND(BE$3+6&gt;=$H8,BE$3&lt;=$I8),1,""))</f>
        <v/>
      </c>
      <c r="BF8" s="32" t="str">
        <f aca="false">IF(OR($B8="",$H8="",$I8=""),"",IF(AND(BF$3+6&gt;=$H8,BF$3&lt;=$I8),1,""))</f>
        <v/>
      </c>
      <c r="BG8" s="32" t="str">
        <f aca="false">IF(OR($B8="",$H8="",$I8=""),"",IF(AND(BG$3+6&gt;=$H8,BG$3&lt;=$I8),1,""))</f>
        <v/>
      </c>
      <c r="BH8" s="32" t="str">
        <f aca="false">IF(OR($B8="",$H8="",$I8=""),"",IF(AND(BH$3+6&gt;=$H8,BH$3&lt;=$I8),1,""))</f>
        <v/>
      </c>
      <c r="BI8" s="32" t="str">
        <f aca="false">IF(OR($B8="",$H8="",$I8=""),"",IF(AND(BI$3+6&gt;=$H8,BI$3&lt;=$I8),1,""))</f>
        <v/>
      </c>
      <c r="BJ8" s="32" t="str">
        <f aca="false">IF(OR($B8="",$H8="",$I8=""),"",IF(AND(BJ$3+6&gt;=$H8,BJ$3&lt;=$I8),1,""))</f>
        <v/>
      </c>
      <c r="BK8" s="32" t="str">
        <f aca="false">IF(OR($B8="",$H8="",$I8=""),"",IF(AND(BK$3+6&gt;=$H8,BK$3&lt;=$I8),1,""))</f>
        <v/>
      </c>
      <c r="BM8" s="0" t="str">
        <f aca="false">IF($E8="",",,",","&amp;SUBSTITUTE($E8," ","")&amp;",")</f>
        <v>,MarcusBell,RaviMenon,</v>
      </c>
    </row>
    <row r="9" customFormat="false" ht="21.75" hidden="false" customHeight="true" outlineLevel="0" collapsed="false">
      <c r="A9" s="26" t="n">
        <f aca="false">IF(B9="","",COUNTA($B$7:B9))</f>
        <v>3</v>
      </c>
      <c r="B9" s="27" t="s">
        <v>142</v>
      </c>
      <c r="C9" s="28" t="s">
        <v>62</v>
      </c>
      <c r="D9" s="28" t="s">
        <v>56</v>
      </c>
      <c r="E9" s="27" t="s">
        <v>143</v>
      </c>
      <c r="F9" s="29" t="n">
        <v>1.5</v>
      </c>
      <c r="G9" s="28" t="s">
        <v>23</v>
      </c>
      <c r="H9" s="30" t="n">
        <f aca="false">PlanStart+14</f>
        <v>46286</v>
      </c>
      <c r="I9" s="30" t="n">
        <f aca="false">PlanStart+74</f>
        <v>46346</v>
      </c>
      <c r="J9" s="31" t="n">
        <v>0.7</v>
      </c>
      <c r="K9" s="27" t="s">
        <v>144</v>
      </c>
      <c r="L9" s="32" t="str">
        <f aca="false">IF(OR($B9="",$H9="",$I9=""),"",IF(AND(L$3+6&gt;=$H9,L$3&lt;=$I9),1,""))</f>
        <v/>
      </c>
      <c r="M9" s="32" t="str">
        <f aca="false">IF(OR($B9="",$H9="",$I9=""),"",IF(AND(M$3+6&gt;=$H9,M$3&lt;=$I9),1,""))</f>
        <v/>
      </c>
      <c r="N9" s="32" t="n">
        <f aca="false">IF(OR($B9="",$H9="",$I9=""),"",IF(AND(N$3+6&gt;=$H9,N$3&lt;=$I9),1,""))</f>
        <v>1</v>
      </c>
      <c r="O9" s="32" t="n">
        <f aca="false">IF(OR($B9="",$H9="",$I9=""),"",IF(AND(O$3+6&gt;=$H9,O$3&lt;=$I9),1,""))</f>
        <v>1</v>
      </c>
      <c r="P9" s="32" t="n">
        <f aca="false">IF(OR($B9="",$H9="",$I9=""),"",IF(AND(P$3+6&gt;=$H9,P$3&lt;=$I9),1,""))</f>
        <v>1</v>
      </c>
      <c r="Q9" s="32" t="n">
        <f aca="false">IF(OR($B9="",$H9="",$I9=""),"",IF(AND(Q$3+6&gt;=$H9,Q$3&lt;=$I9),1,""))</f>
        <v>1</v>
      </c>
      <c r="R9" s="32" t="n">
        <f aca="false">IF(OR($B9="",$H9="",$I9=""),"",IF(AND(R$3+6&gt;=$H9,R$3&lt;=$I9),1,""))</f>
        <v>1</v>
      </c>
      <c r="S9" s="32" t="n">
        <f aca="false">IF(OR($B9="",$H9="",$I9=""),"",IF(AND(S$3+6&gt;=$H9,S$3&lt;=$I9),1,""))</f>
        <v>1</v>
      </c>
      <c r="T9" s="32" t="n">
        <f aca="false">IF(OR($B9="",$H9="",$I9=""),"",IF(AND(T$3+6&gt;=$H9,T$3&lt;=$I9),1,""))</f>
        <v>1</v>
      </c>
      <c r="U9" s="32" t="n">
        <f aca="false">IF(OR($B9="",$H9="",$I9=""),"",IF(AND(U$3+6&gt;=$H9,U$3&lt;=$I9),1,""))</f>
        <v>1</v>
      </c>
      <c r="V9" s="32" t="n">
        <f aca="false">IF(OR($B9="",$H9="",$I9=""),"",IF(AND(V$3+6&gt;=$H9,V$3&lt;=$I9),1,""))</f>
        <v>1</v>
      </c>
      <c r="W9" s="32" t="str">
        <f aca="false">IF(OR($B9="",$H9="",$I9=""),"",IF(AND(W$3+6&gt;=$H9,W$3&lt;=$I9),1,""))</f>
        <v/>
      </c>
      <c r="X9" s="32" t="str">
        <f aca="false">IF(OR($B9="",$H9="",$I9=""),"",IF(AND(X$3+6&gt;=$H9,X$3&lt;=$I9),1,""))</f>
        <v/>
      </c>
      <c r="Y9" s="32" t="str">
        <f aca="false">IF(OR($B9="",$H9="",$I9=""),"",IF(AND(Y$3+6&gt;=$H9,Y$3&lt;=$I9),1,""))</f>
        <v/>
      </c>
      <c r="Z9" s="32" t="str">
        <f aca="false">IF(OR($B9="",$H9="",$I9=""),"",IF(AND(Z$3+6&gt;=$H9,Z$3&lt;=$I9),1,""))</f>
        <v/>
      </c>
      <c r="AA9" s="32" t="str">
        <f aca="false">IF(OR($B9="",$H9="",$I9=""),"",IF(AND(AA$3+6&gt;=$H9,AA$3&lt;=$I9),1,""))</f>
        <v/>
      </c>
      <c r="AB9" s="32" t="str">
        <f aca="false">IF(OR($B9="",$H9="",$I9=""),"",IF(AND(AB$3+6&gt;=$H9,AB$3&lt;=$I9),1,""))</f>
        <v/>
      </c>
      <c r="AC9" s="32" t="str">
        <f aca="false">IF(OR($B9="",$H9="",$I9=""),"",IF(AND(AC$3+6&gt;=$H9,AC$3&lt;=$I9),1,""))</f>
        <v/>
      </c>
      <c r="AD9" s="32" t="str">
        <f aca="false">IF(OR($B9="",$H9="",$I9=""),"",IF(AND(AD$3+6&gt;=$H9,AD$3&lt;=$I9),1,""))</f>
        <v/>
      </c>
      <c r="AE9" s="32" t="str">
        <f aca="false">IF(OR($B9="",$H9="",$I9=""),"",IF(AND(AE$3+6&gt;=$H9,AE$3&lt;=$I9),1,""))</f>
        <v/>
      </c>
      <c r="AF9" s="32" t="str">
        <f aca="false">IF(OR($B9="",$H9="",$I9=""),"",IF(AND(AF$3+6&gt;=$H9,AF$3&lt;=$I9),1,""))</f>
        <v/>
      </c>
      <c r="AG9" s="32" t="str">
        <f aca="false">IF(OR($B9="",$H9="",$I9=""),"",IF(AND(AG$3+6&gt;=$H9,AG$3&lt;=$I9),1,""))</f>
        <v/>
      </c>
      <c r="AH9" s="32" t="str">
        <f aca="false">IF(OR($B9="",$H9="",$I9=""),"",IF(AND(AH$3+6&gt;=$H9,AH$3&lt;=$I9),1,""))</f>
        <v/>
      </c>
      <c r="AI9" s="32" t="str">
        <f aca="false">IF(OR($B9="",$H9="",$I9=""),"",IF(AND(AI$3+6&gt;=$H9,AI$3&lt;=$I9),1,""))</f>
        <v/>
      </c>
      <c r="AJ9" s="32" t="str">
        <f aca="false">IF(OR($B9="",$H9="",$I9=""),"",IF(AND(AJ$3+6&gt;=$H9,AJ$3&lt;=$I9),1,""))</f>
        <v/>
      </c>
      <c r="AK9" s="32" t="str">
        <f aca="false">IF(OR($B9="",$H9="",$I9=""),"",IF(AND(AK$3+6&gt;=$H9,AK$3&lt;=$I9),1,""))</f>
        <v/>
      </c>
      <c r="AL9" s="32" t="str">
        <f aca="false">IF(OR($B9="",$H9="",$I9=""),"",IF(AND(AL$3+6&gt;=$H9,AL$3&lt;=$I9),1,""))</f>
        <v/>
      </c>
      <c r="AM9" s="32" t="str">
        <f aca="false">IF(OR($B9="",$H9="",$I9=""),"",IF(AND(AM$3+6&gt;=$H9,AM$3&lt;=$I9),1,""))</f>
        <v/>
      </c>
      <c r="AN9" s="32" t="str">
        <f aca="false">IF(OR($B9="",$H9="",$I9=""),"",IF(AND(AN$3+6&gt;=$H9,AN$3&lt;=$I9),1,""))</f>
        <v/>
      </c>
      <c r="AO9" s="32" t="str">
        <f aca="false">IF(OR($B9="",$H9="",$I9=""),"",IF(AND(AO$3+6&gt;=$H9,AO$3&lt;=$I9),1,""))</f>
        <v/>
      </c>
      <c r="AP9" s="32" t="str">
        <f aca="false">IF(OR($B9="",$H9="",$I9=""),"",IF(AND(AP$3+6&gt;=$H9,AP$3&lt;=$I9),1,""))</f>
        <v/>
      </c>
      <c r="AQ9" s="32" t="str">
        <f aca="false">IF(OR($B9="",$H9="",$I9=""),"",IF(AND(AQ$3+6&gt;=$H9,AQ$3&lt;=$I9),1,""))</f>
        <v/>
      </c>
      <c r="AR9" s="32" t="str">
        <f aca="false">IF(OR($B9="",$H9="",$I9=""),"",IF(AND(AR$3+6&gt;=$H9,AR$3&lt;=$I9),1,""))</f>
        <v/>
      </c>
      <c r="AS9" s="32" t="str">
        <f aca="false">IF(OR($B9="",$H9="",$I9=""),"",IF(AND(AS$3+6&gt;=$H9,AS$3&lt;=$I9),1,""))</f>
        <v/>
      </c>
      <c r="AT9" s="32" t="str">
        <f aca="false">IF(OR($B9="",$H9="",$I9=""),"",IF(AND(AT$3+6&gt;=$H9,AT$3&lt;=$I9),1,""))</f>
        <v/>
      </c>
      <c r="AU9" s="32" t="str">
        <f aca="false">IF(OR($B9="",$H9="",$I9=""),"",IF(AND(AU$3+6&gt;=$H9,AU$3&lt;=$I9),1,""))</f>
        <v/>
      </c>
      <c r="AV9" s="32" t="str">
        <f aca="false">IF(OR($B9="",$H9="",$I9=""),"",IF(AND(AV$3+6&gt;=$H9,AV$3&lt;=$I9),1,""))</f>
        <v/>
      </c>
      <c r="AW9" s="32" t="str">
        <f aca="false">IF(OR($B9="",$H9="",$I9=""),"",IF(AND(AW$3+6&gt;=$H9,AW$3&lt;=$I9),1,""))</f>
        <v/>
      </c>
      <c r="AX9" s="32" t="str">
        <f aca="false">IF(OR($B9="",$H9="",$I9=""),"",IF(AND(AX$3+6&gt;=$H9,AX$3&lt;=$I9),1,""))</f>
        <v/>
      </c>
      <c r="AY9" s="32" t="str">
        <f aca="false">IF(OR($B9="",$H9="",$I9=""),"",IF(AND(AY$3+6&gt;=$H9,AY$3&lt;=$I9),1,""))</f>
        <v/>
      </c>
      <c r="AZ9" s="32" t="str">
        <f aca="false">IF(OR($B9="",$H9="",$I9=""),"",IF(AND(AZ$3+6&gt;=$H9,AZ$3&lt;=$I9),1,""))</f>
        <v/>
      </c>
      <c r="BA9" s="32" t="str">
        <f aca="false">IF(OR($B9="",$H9="",$I9=""),"",IF(AND(BA$3+6&gt;=$H9,BA$3&lt;=$I9),1,""))</f>
        <v/>
      </c>
      <c r="BB9" s="32" t="str">
        <f aca="false">IF(OR($B9="",$H9="",$I9=""),"",IF(AND(BB$3+6&gt;=$H9,BB$3&lt;=$I9),1,""))</f>
        <v/>
      </c>
      <c r="BC9" s="32" t="str">
        <f aca="false">IF(OR($B9="",$H9="",$I9=""),"",IF(AND(BC$3+6&gt;=$H9,BC$3&lt;=$I9),1,""))</f>
        <v/>
      </c>
      <c r="BD9" s="32" t="str">
        <f aca="false">IF(OR($B9="",$H9="",$I9=""),"",IF(AND(BD$3+6&gt;=$H9,BD$3&lt;=$I9),1,""))</f>
        <v/>
      </c>
      <c r="BE9" s="32" t="str">
        <f aca="false">IF(OR($B9="",$H9="",$I9=""),"",IF(AND(BE$3+6&gt;=$H9,BE$3&lt;=$I9),1,""))</f>
        <v/>
      </c>
      <c r="BF9" s="32" t="str">
        <f aca="false">IF(OR($B9="",$H9="",$I9=""),"",IF(AND(BF$3+6&gt;=$H9,BF$3&lt;=$I9),1,""))</f>
        <v/>
      </c>
      <c r="BG9" s="32" t="str">
        <f aca="false">IF(OR($B9="",$H9="",$I9=""),"",IF(AND(BG$3+6&gt;=$H9,BG$3&lt;=$I9),1,""))</f>
        <v/>
      </c>
      <c r="BH9" s="32" t="str">
        <f aca="false">IF(OR($B9="",$H9="",$I9=""),"",IF(AND(BH$3+6&gt;=$H9,BH$3&lt;=$I9),1,""))</f>
        <v/>
      </c>
      <c r="BI9" s="32" t="str">
        <f aca="false">IF(OR($B9="",$H9="",$I9=""),"",IF(AND(BI$3+6&gt;=$H9,BI$3&lt;=$I9),1,""))</f>
        <v/>
      </c>
      <c r="BJ9" s="32" t="str">
        <f aca="false">IF(OR($B9="",$H9="",$I9=""),"",IF(AND(BJ$3+6&gt;=$H9,BJ$3&lt;=$I9),1,""))</f>
        <v/>
      </c>
      <c r="BK9" s="32" t="str">
        <f aca="false">IF(OR($B9="",$H9="",$I9=""),"",IF(AND(BK$3+6&gt;=$H9,BK$3&lt;=$I9),1,""))</f>
        <v/>
      </c>
      <c r="BM9" s="0" t="str">
        <f aca="false">IF($E9="",",,",","&amp;SUBSTITUTE($E9," ","")&amp;",")</f>
        <v>,DanaOkafor,EllenVargas,</v>
      </c>
    </row>
    <row r="10" customFormat="false" ht="21.75" hidden="false" customHeight="true" outlineLevel="0" collapsed="false">
      <c r="A10" s="26" t="n">
        <f aca="false">IF(B10="","",COUNTA($B$7:B10))</f>
        <v>4</v>
      </c>
      <c r="B10" s="27" t="s">
        <v>145</v>
      </c>
      <c r="C10" s="28" t="s">
        <v>57</v>
      </c>
      <c r="D10" s="28" t="s">
        <v>65</v>
      </c>
      <c r="E10" s="27" t="s">
        <v>146</v>
      </c>
      <c r="F10" s="29" t="n">
        <v>1</v>
      </c>
      <c r="G10" s="28" t="s">
        <v>21</v>
      </c>
      <c r="H10" s="30" t="n">
        <f aca="false">PlanStart+98</f>
        <v>46370</v>
      </c>
      <c r="I10" s="30" t="n">
        <f aca="false">PlanStart+214</f>
        <v>46486</v>
      </c>
      <c r="J10" s="31" t="n">
        <v>0</v>
      </c>
      <c r="K10" s="27" t="s">
        <v>147</v>
      </c>
      <c r="L10" s="32" t="str">
        <f aca="false">IF(OR($B10="",$H10="",$I10=""),"",IF(AND(L$3+6&gt;=$H10,L$3&lt;=$I10),1,""))</f>
        <v/>
      </c>
      <c r="M10" s="32" t="str">
        <f aca="false">IF(OR($B10="",$H10="",$I10=""),"",IF(AND(M$3+6&gt;=$H10,M$3&lt;=$I10),1,""))</f>
        <v/>
      </c>
      <c r="N10" s="32" t="str">
        <f aca="false">IF(OR($B10="",$H10="",$I10=""),"",IF(AND(N$3+6&gt;=$H10,N$3&lt;=$I10),1,""))</f>
        <v/>
      </c>
      <c r="O10" s="32" t="str">
        <f aca="false">IF(OR($B10="",$H10="",$I10=""),"",IF(AND(O$3+6&gt;=$H10,O$3&lt;=$I10),1,""))</f>
        <v/>
      </c>
      <c r="P10" s="32" t="str">
        <f aca="false">IF(OR($B10="",$H10="",$I10=""),"",IF(AND(P$3+6&gt;=$H10,P$3&lt;=$I10),1,""))</f>
        <v/>
      </c>
      <c r="Q10" s="32" t="str">
        <f aca="false">IF(OR($B10="",$H10="",$I10=""),"",IF(AND(Q$3+6&gt;=$H10,Q$3&lt;=$I10),1,""))</f>
        <v/>
      </c>
      <c r="R10" s="32" t="str">
        <f aca="false">IF(OR($B10="",$H10="",$I10=""),"",IF(AND(R$3+6&gt;=$H10,R$3&lt;=$I10),1,""))</f>
        <v/>
      </c>
      <c r="S10" s="32" t="str">
        <f aca="false">IF(OR($B10="",$H10="",$I10=""),"",IF(AND(S$3+6&gt;=$H10,S$3&lt;=$I10),1,""))</f>
        <v/>
      </c>
      <c r="T10" s="32" t="str">
        <f aca="false">IF(OR($B10="",$H10="",$I10=""),"",IF(AND(T$3+6&gt;=$H10,T$3&lt;=$I10),1,""))</f>
        <v/>
      </c>
      <c r="U10" s="32" t="str">
        <f aca="false">IF(OR($B10="",$H10="",$I10=""),"",IF(AND(U$3+6&gt;=$H10,U$3&lt;=$I10),1,""))</f>
        <v/>
      </c>
      <c r="V10" s="32" t="str">
        <f aca="false">IF(OR($B10="",$H10="",$I10=""),"",IF(AND(V$3+6&gt;=$H10,V$3&lt;=$I10),1,""))</f>
        <v/>
      </c>
      <c r="W10" s="32" t="str">
        <f aca="false">IF(OR($B10="",$H10="",$I10=""),"",IF(AND(W$3+6&gt;=$H10,W$3&lt;=$I10),1,""))</f>
        <v/>
      </c>
      <c r="X10" s="32" t="str">
        <f aca="false">IF(OR($B10="",$H10="",$I10=""),"",IF(AND(X$3+6&gt;=$H10,X$3&lt;=$I10),1,""))</f>
        <v/>
      </c>
      <c r="Y10" s="32" t="str">
        <f aca="false">IF(OR($B10="",$H10="",$I10=""),"",IF(AND(Y$3+6&gt;=$H10,Y$3&lt;=$I10),1,""))</f>
        <v/>
      </c>
      <c r="Z10" s="32" t="n">
        <f aca="false">IF(OR($B10="",$H10="",$I10=""),"",IF(AND(Z$3+6&gt;=$H10,Z$3&lt;=$I10),1,""))</f>
        <v>1</v>
      </c>
      <c r="AA10" s="32" t="n">
        <f aca="false">IF(OR($B10="",$H10="",$I10=""),"",IF(AND(AA$3+6&gt;=$H10,AA$3&lt;=$I10),1,""))</f>
        <v>1</v>
      </c>
      <c r="AB10" s="32" t="n">
        <f aca="false">IF(OR($B10="",$H10="",$I10=""),"",IF(AND(AB$3+6&gt;=$H10,AB$3&lt;=$I10),1,""))</f>
        <v>1</v>
      </c>
      <c r="AC10" s="32" t="n">
        <f aca="false">IF(OR($B10="",$H10="",$I10=""),"",IF(AND(AC$3+6&gt;=$H10,AC$3&lt;=$I10),1,""))</f>
        <v>1</v>
      </c>
      <c r="AD10" s="32" t="n">
        <f aca="false">IF(OR($B10="",$H10="",$I10=""),"",IF(AND(AD$3+6&gt;=$H10,AD$3&lt;=$I10),1,""))</f>
        <v>1</v>
      </c>
      <c r="AE10" s="32" t="n">
        <f aca="false">IF(OR($B10="",$H10="",$I10=""),"",IF(AND(AE$3+6&gt;=$H10,AE$3&lt;=$I10),1,""))</f>
        <v>1</v>
      </c>
      <c r="AF10" s="32" t="n">
        <f aca="false">IF(OR($B10="",$H10="",$I10=""),"",IF(AND(AF$3+6&gt;=$H10,AF$3&lt;=$I10),1,""))</f>
        <v>1</v>
      </c>
      <c r="AG10" s="32" t="n">
        <f aca="false">IF(OR($B10="",$H10="",$I10=""),"",IF(AND(AG$3+6&gt;=$H10,AG$3&lt;=$I10),1,""))</f>
        <v>1</v>
      </c>
      <c r="AH10" s="32" t="n">
        <f aca="false">IF(OR($B10="",$H10="",$I10=""),"",IF(AND(AH$3+6&gt;=$H10,AH$3&lt;=$I10),1,""))</f>
        <v>1</v>
      </c>
      <c r="AI10" s="32" t="n">
        <f aca="false">IF(OR($B10="",$H10="",$I10=""),"",IF(AND(AI$3+6&gt;=$H10,AI$3&lt;=$I10),1,""))</f>
        <v>1</v>
      </c>
      <c r="AJ10" s="32" t="n">
        <f aca="false">IF(OR($B10="",$H10="",$I10=""),"",IF(AND(AJ$3+6&gt;=$H10,AJ$3&lt;=$I10),1,""))</f>
        <v>1</v>
      </c>
      <c r="AK10" s="32" t="n">
        <f aca="false">IF(OR($B10="",$H10="",$I10=""),"",IF(AND(AK$3+6&gt;=$H10,AK$3&lt;=$I10),1,""))</f>
        <v>1</v>
      </c>
      <c r="AL10" s="32" t="n">
        <f aca="false">IF(OR($B10="",$H10="",$I10=""),"",IF(AND(AL$3+6&gt;=$H10,AL$3&lt;=$I10),1,""))</f>
        <v>1</v>
      </c>
      <c r="AM10" s="32" t="n">
        <f aca="false">IF(OR($B10="",$H10="",$I10=""),"",IF(AND(AM$3+6&gt;=$H10,AM$3&lt;=$I10),1,""))</f>
        <v>1</v>
      </c>
      <c r="AN10" s="32" t="n">
        <f aca="false">IF(OR($B10="",$H10="",$I10=""),"",IF(AND(AN$3+6&gt;=$H10,AN$3&lt;=$I10),1,""))</f>
        <v>1</v>
      </c>
      <c r="AO10" s="32" t="n">
        <f aca="false">IF(OR($B10="",$H10="",$I10=""),"",IF(AND(AO$3+6&gt;=$H10,AO$3&lt;=$I10),1,""))</f>
        <v>1</v>
      </c>
      <c r="AP10" s="32" t="n">
        <f aca="false">IF(OR($B10="",$H10="",$I10=""),"",IF(AND(AP$3+6&gt;=$H10,AP$3&lt;=$I10),1,""))</f>
        <v>1</v>
      </c>
      <c r="AQ10" s="32" t="str">
        <f aca="false">IF(OR($B10="",$H10="",$I10=""),"",IF(AND(AQ$3+6&gt;=$H10,AQ$3&lt;=$I10),1,""))</f>
        <v/>
      </c>
      <c r="AR10" s="32" t="str">
        <f aca="false">IF(OR($B10="",$H10="",$I10=""),"",IF(AND(AR$3+6&gt;=$H10,AR$3&lt;=$I10),1,""))</f>
        <v/>
      </c>
      <c r="AS10" s="32" t="str">
        <f aca="false">IF(OR($B10="",$H10="",$I10=""),"",IF(AND(AS$3+6&gt;=$H10,AS$3&lt;=$I10),1,""))</f>
        <v/>
      </c>
      <c r="AT10" s="32" t="str">
        <f aca="false">IF(OR($B10="",$H10="",$I10=""),"",IF(AND(AT$3+6&gt;=$H10,AT$3&lt;=$I10),1,""))</f>
        <v/>
      </c>
      <c r="AU10" s="32" t="str">
        <f aca="false">IF(OR($B10="",$H10="",$I10=""),"",IF(AND(AU$3+6&gt;=$H10,AU$3&lt;=$I10),1,""))</f>
        <v/>
      </c>
      <c r="AV10" s="32" t="str">
        <f aca="false">IF(OR($B10="",$H10="",$I10=""),"",IF(AND(AV$3+6&gt;=$H10,AV$3&lt;=$I10),1,""))</f>
        <v/>
      </c>
      <c r="AW10" s="32" t="str">
        <f aca="false">IF(OR($B10="",$H10="",$I10=""),"",IF(AND(AW$3+6&gt;=$H10,AW$3&lt;=$I10),1,""))</f>
        <v/>
      </c>
      <c r="AX10" s="32" t="str">
        <f aca="false">IF(OR($B10="",$H10="",$I10=""),"",IF(AND(AX$3+6&gt;=$H10,AX$3&lt;=$I10),1,""))</f>
        <v/>
      </c>
      <c r="AY10" s="32" t="str">
        <f aca="false">IF(OR($B10="",$H10="",$I10=""),"",IF(AND(AY$3+6&gt;=$H10,AY$3&lt;=$I10),1,""))</f>
        <v/>
      </c>
      <c r="AZ10" s="32" t="str">
        <f aca="false">IF(OR($B10="",$H10="",$I10=""),"",IF(AND(AZ$3+6&gt;=$H10,AZ$3&lt;=$I10),1,""))</f>
        <v/>
      </c>
      <c r="BA10" s="32" t="str">
        <f aca="false">IF(OR($B10="",$H10="",$I10=""),"",IF(AND(BA$3+6&gt;=$H10,BA$3&lt;=$I10),1,""))</f>
        <v/>
      </c>
      <c r="BB10" s="32" t="str">
        <f aca="false">IF(OR($B10="",$H10="",$I10=""),"",IF(AND(BB$3+6&gt;=$H10,BB$3&lt;=$I10),1,""))</f>
        <v/>
      </c>
      <c r="BC10" s="32" t="str">
        <f aca="false">IF(OR($B10="",$H10="",$I10=""),"",IF(AND(BC$3+6&gt;=$H10,BC$3&lt;=$I10),1,""))</f>
        <v/>
      </c>
      <c r="BD10" s="32" t="str">
        <f aca="false">IF(OR($B10="",$H10="",$I10=""),"",IF(AND(BD$3+6&gt;=$H10,BD$3&lt;=$I10),1,""))</f>
        <v/>
      </c>
      <c r="BE10" s="32" t="str">
        <f aca="false">IF(OR($B10="",$H10="",$I10=""),"",IF(AND(BE$3+6&gt;=$H10,BE$3&lt;=$I10),1,""))</f>
        <v/>
      </c>
      <c r="BF10" s="32" t="str">
        <f aca="false">IF(OR($B10="",$H10="",$I10=""),"",IF(AND(BF$3+6&gt;=$H10,BF$3&lt;=$I10),1,""))</f>
        <v/>
      </c>
      <c r="BG10" s="32" t="str">
        <f aca="false">IF(OR($B10="",$H10="",$I10=""),"",IF(AND(BG$3+6&gt;=$H10,BG$3&lt;=$I10),1,""))</f>
        <v/>
      </c>
      <c r="BH10" s="32" t="str">
        <f aca="false">IF(OR($B10="",$H10="",$I10=""),"",IF(AND(BH$3+6&gt;=$H10,BH$3&lt;=$I10),1,""))</f>
        <v/>
      </c>
      <c r="BI10" s="32" t="str">
        <f aca="false">IF(OR($B10="",$H10="",$I10=""),"",IF(AND(BI$3+6&gt;=$H10,BI$3&lt;=$I10),1,""))</f>
        <v/>
      </c>
      <c r="BJ10" s="32" t="str">
        <f aca="false">IF(OR($B10="",$H10="",$I10=""),"",IF(AND(BJ$3+6&gt;=$H10,BJ$3&lt;=$I10),1,""))</f>
        <v/>
      </c>
      <c r="BK10" s="32" t="str">
        <f aca="false">IF(OR($B10="",$H10="",$I10=""),"",IF(AND(BK$3+6&gt;=$H10,BK$3&lt;=$I10),1,""))</f>
        <v/>
      </c>
      <c r="BM10" s="0" t="str">
        <f aca="false">IF($E10="",",,",","&amp;SUBSTITUTE($E10," ","")&amp;",")</f>
        <v>,GraceLin,OmarHaddad,</v>
      </c>
    </row>
    <row r="11" customFormat="false" ht="21.75" hidden="false" customHeight="true" outlineLevel="0" collapsed="false">
      <c r="A11" s="26" t="n">
        <f aca="false">IF(B11="","",COUNTA($B$7:B11))</f>
        <v>5</v>
      </c>
      <c r="B11" s="27" t="s">
        <v>148</v>
      </c>
      <c r="C11" s="28" t="s">
        <v>60</v>
      </c>
      <c r="D11" s="28" t="s">
        <v>63</v>
      </c>
      <c r="E11" s="27" t="s">
        <v>149</v>
      </c>
      <c r="F11" s="29" t="n">
        <v>1</v>
      </c>
      <c r="G11" s="28" t="s">
        <v>23</v>
      </c>
      <c r="H11" s="30" t="n">
        <f aca="false">PlanStart+0</f>
        <v>46272</v>
      </c>
      <c r="I11" s="30" t="n">
        <f aca="false">PlanStart+144</f>
        <v>46416</v>
      </c>
      <c r="J11" s="31" t="n">
        <v>0.3</v>
      </c>
      <c r="K11" s="27" t="s">
        <v>150</v>
      </c>
      <c r="L11" s="32" t="n">
        <f aca="false">IF(OR($B11="",$H11="",$I11=""),"",IF(AND(L$3+6&gt;=$H11,L$3&lt;=$I11),1,""))</f>
        <v>1</v>
      </c>
      <c r="M11" s="32" t="n">
        <f aca="false">IF(OR($B11="",$H11="",$I11=""),"",IF(AND(M$3+6&gt;=$H11,M$3&lt;=$I11),1,""))</f>
        <v>1</v>
      </c>
      <c r="N11" s="32" t="n">
        <f aca="false">IF(OR($B11="",$H11="",$I11=""),"",IF(AND(N$3+6&gt;=$H11,N$3&lt;=$I11),1,""))</f>
        <v>1</v>
      </c>
      <c r="O11" s="32" t="n">
        <f aca="false">IF(OR($B11="",$H11="",$I11=""),"",IF(AND(O$3+6&gt;=$H11,O$3&lt;=$I11),1,""))</f>
        <v>1</v>
      </c>
      <c r="P11" s="32" t="n">
        <f aca="false">IF(OR($B11="",$H11="",$I11=""),"",IF(AND(P$3+6&gt;=$H11,P$3&lt;=$I11),1,""))</f>
        <v>1</v>
      </c>
      <c r="Q11" s="32" t="n">
        <f aca="false">IF(OR($B11="",$H11="",$I11=""),"",IF(AND(Q$3+6&gt;=$H11,Q$3&lt;=$I11),1,""))</f>
        <v>1</v>
      </c>
      <c r="R11" s="32" t="n">
        <f aca="false">IF(OR($B11="",$H11="",$I11=""),"",IF(AND(R$3+6&gt;=$H11,R$3&lt;=$I11),1,""))</f>
        <v>1</v>
      </c>
      <c r="S11" s="32" t="n">
        <f aca="false">IF(OR($B11="",$H11="",$I11=""),"",IF(AND(S$3+6&gt;=$H11,S$3&lt;=$I11),1,""))</f>
        <v>1</v>
      </c>
      <c r="T11" s="32" t="n">
        <f aca="false">IF(OR($B11="",$H11="",$I11=""),"",IF(AND(T$3+6&gt;=$H11,T$3&lt;=$I11),1,""))</f>
        <v>1</v>
      </c>
      <c r="U11" s="32" t="n">
        <f aca="false">IF(OR($B11="",$H11="",$I11=""),"",IF(AND(U$3+6&gt;=$H11,U$3&lt;=$I11),1,""))</f>
        <v>1</v>
      </c>
      <c r="V11" s="32" t="n">
        <f aca="false">IF(OR($B11="",$H11="",$I11=""),"",IF(AND(V$3+6&gt;=$H11,V$3&lt;=$I11),1,""))</f>
        <v>1</v>
      </c>
      <c r="W11" s="32" t="n">
        <f aca="false">IF(OR($B11="",$H11="",$I11=""),"",IF(AND(W$3+6&gt;=$H11,W$3&lt;=$I11),1,""))</f>
        <v>1</v>
      </c>
      <c r="X11" s="32" t="n">
        <f aca="false">IF(OR($B11="",$H11="",$I11=""),"",IF(AND(X$3+6&gt;=$H11,X$3&lt;=$I11),1,""))</f>
        <v>1</v>
      </c>
      <c r="Y11" s="32" t="n">
        <f aca="false">IF(OR($B11="",$H11="",$I11=""),"",IF(AND(Y$3+6&gt;=$H11,Y$3&lt;=$I11),1,""))</f>
        <v>1</v>
      </c>
      <c r="Z11" s="32" t="n">
        <f aca="false">IF(OR($B11="",$H11="",$I11=""),"",IF(AND(Z$3+6&gt;=$H11,Z$3&lt;=$I11),1,""))</f>
        <v>1</v>
      </c>
      <c r="AA11" s="32" t="n">
        <f aca="false">IF(OR($B11="",$H11="",$I11=""),"",IF(AND(AA$3+6&gt;=$H11,AA$3&lt;=$I11),1,""))</f>
        <v>1</v>
      </c>
      <c r="AB11" s="32" t="n">
        <f aca="false">IF(OR($B11="",$H11="",$I11=""),"",IF(AND(AB$3+6&gt;=$H11,AB$3&lt;=$I11),1,""))</f>
        <v>1</v>
      </c>
      <c r="AC11" s="32" t="n">
        <f aca="false">IF(OR($B11="",$H11="",$I11=""),"",IF(AND(AC$3+6&gt;=$H11,AC$3&lt;=$I11),1,""))</f>
        <v>1</v>
      </c>
      <c r="AD11" s="32" t="n">
        <f aca="false">IF(OR($B11="",$H11="",$I11=""),"",IF(AND(AD$3+6&gt;=$H11,AD$3&lt;=$I11),1,""))</f>
        <v>1</v>
      </c>
      <c r="AE11" s="32" t="n">
        <f aca="false">IF(OR($B11="",$H11="",$I11=""),"",IF(AND(AE$3+6&gt;=$H11,AE$3&lt;=$I11),1,""))</f>
        <v>1</v>
      </c>
      <c r="AF11" s="32" t="n">
        <f aca="false">IF(OR($B11="",$H11="",$I11=""),"",IF(AND(AF$3+6&gt;=$H11,AF$3&lt;=$I11),1,""))</f>
        <v>1</v>
      </c>
      <c r="AG11" s="32" t="str">
        <f aca="false">IF(OR($B11="",$H11="",$I11=""),"",IF(AND(AG$3+6&gt;=$H11,AG$3&lt;=$I11),1,""))</f>
        <v/>
      </c>
      <c r="AH11" s="32" t="str">
        <f aca="false">IF(OR($B11="",$H11="",$I11=""),"",IF(AND(AH$3+6&gt;=$H11,AH$3&lt;=$I11),1,""))</f>
        <v/>
      </c>
      <c r="AI11" s="32" t="str">
        <f aca="false">IF(OR($B11="",$H11="",$I11=""),"",IF(AND(AI$3+6&gt;=$H11,AI$3&lt;=$I11),1,""))</f>
        <v/>
      </c>
      <c r="AJ11" s="32" t="str">
        <f aca="false">IF(OR($B11="",$H11="",$I11=""),"",IF(AND(AJ$3+6&gt;=$H11,AJ$3&lt;=$I11),1,""))</f>
        <v/>
      </c>
      <c r="AK11" s="32" t="str">
        <f aca="false">IF(OR($B11="",$H11="",$I11=""),"",IF(AND(AK$3+6&gt;=$H11,AK$3&lt;=$I11),1,""))</f>
        <v/>
      </c>
      <c r="AL11" s="32" t="str">
        <f aca="false">IF(OR($B11="",$H11="",$I11=""),"",IF(AND(AL$3+6&gt;=$H11,AL$3&lt;=$I11),1,""))</f>
        <v/>
      </c>
      <c r="AM11" s="32" t="str">
        <f aca="false">IF(OR($B11="",$H11="",$I11=""),"",IF(AND(AM$3+6&gt;=$H11,AM$3&lt;=$I11),1,""))</f>
        <v/>
      </c>
      <c r="AN11" s="32" t="str">
        <f aca="false">IF(OR($B11="",$H11="",$I11=""),"",IF(AND(AN$3+6&gt;=$H11,AN$3&lt;=$I11),1,""))</f>
        <v/>
      </c>
      <c r="AO11" s="32" t="str">
        <f aca="false">IF(OR($B11="",$H11="",$I11=""),"",IF(AND(AO$3+6&gt;=$H11,AO$3&lt;=$I11),1,""))</f>
        <v/>
      </c>
      <c r="AP11" s="32" t="str">
        <f aca="false">IF(OR($B11="",$H11="",$I11=""),"",IF(AND(AP$3+6&gt;=$H11,AP$3&lt;=$I11),1,""))</f>
        <v/>
      </c>
      <c r="AQ11" s="32" t="str">
        <f aca="false">IF(OR($B11="",$H11="",$I11=""),"",IF(AND(AQ$3+6&gt;=$H11,AQ$3&lt;=$I11),1,""))</f>
        <v/>
      </c>
      <c r="AR11" s="32" t="str">
        <f aca="false">IF(OR($B11="",$H11="",$I11=""),"",IF(AND(AR$3+6&gt;=$H11,AR$3&lt;=$I11),1,""))</f>
        <v/>
      </c>
      <c r="AS11" s="32" t="str">
        <f aca="false">IF(OR($B11="",$H11="",$I11=""),"",IF(AND(AS$3+6&gt;=$H11,AS$3&lt;=$I11),1,""))</f>
        <v/>
      </c>
      <c r="AT11" s="32" t="str">
        <f aca="false">IF(OR($B11="",$H11="",$I11=""),"",IF(AND(AT$3+6&gt;=$H11,AT$3&lt;=$I11),1,""))</f>
        <v/>
      </c>
      <c r="AU11" s="32" t="str">
        <f aca="false">IF(OR($B11="",$H11="",$I11=""),"",IF(AND(AU$3+6&gt;=$H11,AU$3&lt;=$I11),1,""))</f>
        <v/>
      </c>
      <c r="AV11" s="32" t="str">
        <f aca="false">IF(OR($B11="",$H11="",$I11=""),"",IF(AND(AV$3+6&gt;=$H11,AV$3&lt;=$I11),1,""))</f>
        <v/>
      </c>
      <c r="AW11" s="32" t="str">
        <f aca="false">IF(OR($B11="",$H11="",$I11=""),"",IF(AND(AW$3+6&gt;=$H11,AW$3&lt;=$I11),1,""))</f>
        <v/>
      </c>
      <c r="AX11" s="32" t="str">
        <f aca="false">IF(OR($B11="",$H11="",$I11=""),"",IF(AND(AX$3+6&gt;=$H11,AX$3&lt;=$I11),1,""))</f>
        <v/>
      </c>
      <c r="AY11" s="32" t="str">
        <f aca="false">IF(OR($B11="",$H11="",$I11=""),"",IF(AND(AY$3+6&gt;=$H11,AY$3&lt;=$I11),1,""))</f>
        <v/>
      </c>
      <c r="AZ11" s="32" t="str">
        <f aca="false">IF(OR($B11="",$H11="",$I11=""),"",IF(AND(AZ$3+6&gt;=$H11,AZ$3&lt;=$I11),1,""))</f>
        <v/>
      </c>
      <c r="BA11" s="32" t="str">
        <f aca="false">IF(OR($B11="",$H11="",$I11=""),"",IF(AND(BA$3+6&gt;=$H11,BA$3&lt;=$I11),1,""))</f>
        <v/>
      </c>
      <c r="BB11" s="32" t="str">
        <f aca="false">IF(OR($B11="",$H11="",$I11=""),"",IF(AND(BB$3+6&gt;=$H11,BB$3&lt;=$I11),1,""))</f>
        <v/>
      </c>
      <c r="BC11" s="32" t="str">
        <f aca="false">IF(OR($B11="",$H11="",$I11=""),"",IF(AND(BC$3+6&gt;=$H11,BC$3&lt;=$I11),1,""))</f>
        <v/>
      </c>
      <c r="BD11" s="32" t="str">
        <f aca="false">IF(OR($B11="",$H11="",$I11=""),"",IF(AND(BD$3+6&gt;=$H11,BD$3&lt;=$I11),1,""))</f>
        <v/>
      </c>
      <c r="BE11" s="32" t="str">
        <f aca="false">IF(OR($B11="",$H11="",$I11=""),"",IF(AND(BE$3+6&gt;=$H11,BE$3&lt;=$I11),1,""))</f>
        <v/>
      </c>
      <c r="BF11" s="32" t="str">
        <f aca="false">IF(OR($B11="",$H11="",$I11=""),"",IF(AND(BF$3+6&gt;=$H11,BF$3&lt;=$I11),1,""))</f>
        <v/>
      </c>
      <c r="BG11" s="32" t="str">
        <f aca="false">IF(OR($B11="",$H11="",$I11=""),"",IF(AND(BG$3+6&gt;=$H11,BG$3&lt;=$I11),1,""))</f>
        <v/>
      </c>
      <c r="BH11" s="32" t="str">
        <f aca="false">IF(OR($B11="",$H11="",$I11=""),"",IF(AND(BH$3+6&gt;=$H11,BH$3&lt;=$I11),1,""))</f>
        <v/>
      </c>
      <c r="BI11" s="32" t="str">
        <f aca="false">IF(OR($B11="",$H11="",$I11=""),"",IF(AND(BI$3+6&gt;=$H11,BI$3&lt;=$I11),1,""))</f>
        <v/>
      </c>
      <c r="BJ11" s="32" t="str">
        <f aca="false">IF(OR($B11="",$H11="",$I11=""),"",IF(AND(BJ$3+6&gt;=$H11,BJ$3&lt;=$I11),1,""))</f>
        <v/>
      </c>
      <c r="BK11" s="32" t="str">
        <f aca="false">IF(OR($B11="",$H11="",$I11=""),"",IF(AND(BK$3+6&gt;=$H11,BK$3&lt;=$I11),1,""))</f>
        <v/>
      </c>
      <c r="BM11" s="0" t="str">
        <f aca="false">IF($E11="",",,",","&amp;SUBSTITUTE($E11," ","")&amp;",")</f>
        <v>,TomWhitfield,RaviMenon,</v>
      </c>
    </row>
    <row r="12" customFormat="false" ht="21.75" hidden="false" customHeight="true" outlineLevel="0" collapsed="false">
      <c r="A12" s="26" t="n">
        <f aca="false">IF(B12="","",COUNTA($B$7:B12))</f>
        <v>6</v>
      </c>
      <c r="B12" s="27" t="s">
        <v>151</v>
      </c>
      <c r="C12" s="28" t="s">
        <v>55</v>
      </c>
      <c r="D12" s="28" t="s">
        <v>61</v>
      </c>
      <c r="E12" s="27" t="s">
        <v>152</v>
      </c>
      <c r="F12" s="29" t="n">
        <v>0.5</v>
      </c>
      <c r="G12" s="28" t="s">
        <v>29</v>
      </c>
      <c r="H12" s="30" t="n">
        <f aca="false">PlanStart+0</f>
        <v>46272</v>
      </c>
      <c r="I12" s="30" t="n">
        <f aca="false">PlanStart+46</f>
        <v>46318</v>
      </c>
      <c r="J12" s="31" t="n">
        <v>1</v>
      </c>
      <c r="K12" s="27" t="s">
        <v>153</v>
      </c>
      <c r="L12" s="32" t="n">
        <f aca="false">IF(OR($B12="",$H12="",$I12=""),"",IF(AND(L$3+6&gt;=$H12,L$3&lt;=$I12),1,""))</f>
        <v>1</v>
      </c>
      <c r="M12" s="32" t="n">
        <f aca="false">IF(OR($B12="",$H12="",$I12=""),"",IF(AND(M$3+6&gt;=$H12,M$3&lt;=$I12),1,""))</f>
        <v>1</v>
      </c>
      <c r="N12" s="32" t="n">
        <f aca="false">IF(OR($B12="",$H12="",$I12=""),"",IF(AND(N$3+6&gt;=$H12,N$3&lt;=$I12),1,""))</f>
        <v>1</v>
      </c>
      <c r="O12" s="32" t="n">
        <f aca="false">IF(OR($B12="",$H12="",$I12=""),"",IF(AND(O$3+6&gt;=$H12,O$3&lt;=$I12),1,""))</f>
        <v>1</v>
      </c>
      <c r="P12" s="32" t="n">
        <f aca="false">IF(OR($B12="",$H12="",$I12=""),"",IF(AND(P$3+6&gt;=$H12,P$3&lt;=$I12),1,""))</f>
        <v>1</v>
      </c>
      <c r="Q12" s="32" t="n">
        <f aca="false">IF(OR($B12="",$H12="",$I12=""),"",IF(AND(Q$3+6&gt;=$H12,Q$3&lt;=$I12),1,""))</f>
        <v>1</v>
      </c>
      <c r="R12" s="32" t="n">
        <f aca="false">IF(OR($B12="",$H12="",$I12=""),"",IF(AND(R$3+6&gt;=$H12,R$3&lt;=$I12),1,""))</f>
        <v>1</v>
      </c>
      <c r="S12" s="32" t="str">
        <f aca="false">IF(OR($B12="",$H12="",$I12=""),"",IF(AND(S$3+6&gt;=$H12,S$3&lt;=$I12),1,""))</f>
        <v/>
      </c>
      <c r="T12" s="32" t="str">
        <f aca="false">IF(OR($B12="",$H12="",$I12=""),"",IF(AND(T$3+6&gt;=$H12,T$3&lt;=$I12),1,""))</f>
        <v/>
      </c>
      <c r="U12" s="32" t="str">
        <f aca="false">IF(OR($B12="",$H12="",$I12=""),"",IF(AND(U$3+6&gt;=$H12,U$3&lt;=$I12),1,""))</f>
        <v/>
      </c>
      <c r="V12" s="32" t="str">
        <f aca="false">IF(OR($B12="",$H12="",$I12=""),"",IF(AND(V$3+6&gt;=$H12,V$3&lt;=$I12),1,""))</f>
        <v/>
      </c>
      <c r="W12" s="32" t="str">
        <f aca="false">IF(OR($B12="",$H12="",$I12=""),"",IF(AND(W$3+6&gt;=$H12,W$3&lt;=$I12),1,""))</f>
        <v/>
      </c>
      <c r="X12" s="32" t="str">
        <f aca="false">IF(OR($B12="",$H12="",$I12=""),"",IF(AND(X$3+6&gt;=$H12,X$3&lt;=$I12),1,""))</f>
        <v/>
      </c>
      <c r="Y12" s="32" t="str">
        <f aca="false">IF(OR($B12="",$H12="",$I12=""),"",IF(AND(Y$3+6&gt;=$H12,Y$3&lt;=$I12),1,""))</f>
        <v/>
      </c>
      <c r="Z12" s="32" t="str">
        <f aca="false">IF(OR($B12="",$H12="",$I12=""),"",IF(AND(Z$3+6&gt;=$H12,Z$3&lt;=$I12),1,""))</f>
        <v/>
      </c>
      <c r="AA12" s="32" t="str">
        <f aca="false">IF(OR($B12="",$H12="",$I12=""),"",IF(AND(AA$3+6&gt;=$H12,AA$3&lt;=$I12),1,""))</f>
        <v/>
      </c>
      <c r="AB12" s="32" t="str">
        <f aca="false">IF(OR($B12="",$H12="",$I12=""),"",IF(AND(AB$3+6&gt;=$H12,AB$3&lt;=$I12),1,""))</f>
        <v/>
      </c>
      <c r="AC12" s="32" t="str">
        <f aca="false">IF(OR($B12="",$H12="",$I12=""),"",IF(AND(AC$3+6&gt;=$H12,AC$3&lt;=$I12),1,""))</f>
        <v/>
      </c>
      <c r="AD12" s="32" t="str">
        <f aca="false">IF(OR($B12="",$H12="",$I12=""),"",IF(AND(AD$3+6&gt;=$H12,AD$3&lt;=$I12),1,""))</f>
        <v/>
      </c>
      <c r="AE12" s="32" t="str">
        <f aca="false">IF(OR($B12="",$H12="",$I12=""),"",IF(AND(AE$3+6&gt;=$H12,AE$3&lt;=$I12),1,""))</f>
        <v/>
      </c>
      <c r="AF12" s="32" t="str">
        <f aca="false">IF(OR($B12="",$H12="",$I12=""),"",IF(AND(AF$3+6&gt;=$H12,AF$3&lt;=$I12),1,""))</f>
        <v/>
      </c>
      <c r="AG12" s="32" t="str">
        <f aca="false">IF(OR($B12="",$H12="",$I12=""),"",IF(AND(AG$3+6&gt;=$H12,AG$3&lt;=$I12),1,""))</f>
        <v/>
      </c>
      <c r="AH12" s="32" t="str">
        <f aca="false">IF(OR($B12="",$H12="",$I12=""),"",IF(AND(AH$3+6&gt;=$H12,AH$3&lt;=$I12),1,""))</f>
        <v/>
      </c>
      <c r="AI12" s="32" t="str">
        <f aca="false">IF(OR($B12="",$H12="",$I12=""),"",IF(AND(AI$3+6&gt;=$H12,AI$3&lt;=$I12),1,""))</f>
        <v/>
      </c>
      <c r="AJ12" s="32" t="str">
        <f aca="false">IF(OR($B12="",$H12="",$I12=""),"",IF(AND(AJ$3+6&gt;=$H12,AJ$3&lt;=$I12),1,""))</f>
        <v/>
      </c>
      <c r="AK12" s="32" t="str">
        <f aca="false">IF(OR($B12="",$H12="",$I12=""),"",IF(AND(AK$3+6&gt;=$H12,AK$3&lt;=$I12),1,""))</f>
        <v/>
      </c>
      <c r="AL12" s="32" t="str">
        <f aca="false">IF(OR($B12="",$H12="",$I12=""),"",IF(AND(AL$3+6&gt;=$H12,AL$3&lt;=$I12),1,""))</f>
        <v/>
      </c>
      <c r="AM12" s="32" t="str">
        <f aca="false">IF(OR($B12="",$H12="",$I12=""),"",IF(AND(AM$3+6&gt;=$H12,AM$3&lt;=$I12),1,""))</f>
        <v/>
      </c>
      <c r="AN12" s="32" t="str">
        <f aca="false">IF(OR($B12="",$H12="",$I12=""),"",IF(AND(AN$3+6&gt;=$H12,AN$3&lt;=$I12),1,""))</f>
        <v/>
      </c>
      <c r="AO12" s="32" t="str">
        <f aca="false">IF(OR($B12="",$H12="",$I12=""),"",IF(AND(AO$3+6&gt;=$H12,AO$3&lt;=$I12),1,""))</f>
        <v/>
      </c>
      <c r="AP12" s="32" t="str">
        <f aca="false">IF(OR($B12="",$H12="",$I12=""),"",IF(AND(AP$3+6&gt;=$H12,AP$3&lt;=$I12),1,""))</f>
        <v/>
      </c>
      <c r="AQ12" s="32" t="str">
        <f aca="false">IF(OR($B12="",$H12="",$I12=""),"",IF(AND(AQ$3+6&gt;=$H12,AQ$3&lt;=$I12),1,""))</f>
        <v/>
      </c>
      <c r="AR12" s="32" t="str">
        <f aca="false">IF(OR($B12="",$H12="",$I12=""),"",IF(AND(AR$3+6&gt;=$H12,AR$3&lt;=$I12),1,""))</f>
        <v/>
      </c>
      <c r="AS12" s="32" t="str">
        <f aca="false">IF(OR($B12="",$H12="",$I12=""),"",IF(AND(AS$3+6&gt;=$H12,AS$3&lt;=$I12),1,""))</f>
        <v/>
      </c>
      <c r="AT12" s="32" t="str">
        <f aca="false">IF(OR($B12="",$H12="",$I12=""),"",IF(AND(AT$3+6&gt;=$H12,AT$3&lt;=$I12),1,""))</f>
        <v/>
      </c>
      <c r="AU12" s="32" t="str">
        <f aca="false">IF(OR($B12="",$H12="",$I12=""),"",IF(AND(AU$3+6&gt;=$H12,AU$3&lt;=$I12),1,""))</f>
        <v/>
      </c>
      <c r="AV12" s="32" t="str">
        <f aca="false">IF(OR($B12="",$H12="",$I12=""),"",IF(AND(AV$3+6&gt;=$H12,AV$3&lt;=$I12),1,""))</f>
        <v/>
      </c>
      <c r="AW12" s="32" t="str">
        <f aca="false">IF(OR($B12="",$H12="",$I12=""),"",IF(AND(AW$3+6&gt;=$H12,AW$3&lt;=$I12),1,""))</f>
        <v/>
      </c>
      <c r="AX12" s="32" t="str">
        <f aca="false">IF(OR($B12="",$H12="",$I12=""),"",IF(AND(AX$3+6&gt;=$H12,AX$3&lt;=$I12),1,""))</f>
        <v/>
      </c>
      <c r="AY12" s="32" t="str">
        <f aca="false">IF(OR($B12="",$H12="",$I12=""),"",IF(AND(AY$3+6&gt;=$H12,AY$3&lt;=$I12),1,""))</f>
        <v/>
      </c>
      <c r="AZ12" s="32" t="str">
        <f aca="false">IF(OR($B12="",$H12="",$I12=""),"",IF(AND(AZ$3+6&gt;=$H12,AZ$3&lt;=$I12),1,""))</f>
        <v/>
      </c>
      <c r="BA12" s="32" t="str">
        <f aca="false">IF(OR($B12="",$H12="",$I12=""),"",IF(AND(BA$3+6&gt;=$H12,BA$3&lt;=$I12),1,""))</f>
        <v/>
      </c>
      <c r="BB12" s="32" t="str">
        <f aca="false">IF(OR($B12="",$H12="",$I12=""),"",IF(AND(BB$3+6&gt;=$H12,BB$3&lt;=$I12),1,""))</f>
        <v/>
      </c>
      <c r="BC12" s="32" t="str">
        <f aca="false">IF(OR($B12="",$H12="",$I12=""),"",IF(AND(BC$3+6&gt;=$H12,BC$3&lt;=$I12),1,""))</f>
        <v/>
      </c>
      <c r="BD12" s="32" t="str">
        <f aca="false">IF(OR($B12="",$H12="",$I12=""),"",IF(AND(BD$3+6&gt;=$H12,BD$3&lt;=$I12),1,""))</f>
        <v/>
      </c>
      <c r="BE12" s="32" t="str">
        <f aca="false">IF(OR($B12="",$H12="",$I12=""),"",IF(AND(BE$3+6&gt;=$H12,BE$3&lt;=$I12),1,""))</f>
        <v/>
      </c>
      <c r="BF12" s="32" t="str">
        <f aca="false">IF(OR($B12="",$H12="",$I12=""),"",IF(AND(BF$3+6&gt;=$H12,BF$3&lt;=$I12),1,""))</f>
        <v/>
      </c>
      <c r="BG12" s="32" t="str">
        <f aca="false">IF(OR($B12="",$H12="",$I12=""),"",IF(AND(BG$3+6&gt;=$H12,BG$3&lt;=$I12),1,""))</f>
        <v/>
      </c>
      <c r="BH12" s="32" t="str">
        <f aca="false">IF(OR($B12="",$H12="",$I12=""),"",IF(AND(BH$3+6&gt;=$H12,BH$3&lt;=$I12),1,""))</f>
        <v/>
      </c>
      <c r="BI12" s="32" t="str">
        <f aca="false">IF(OR($B12="",$H12="",$I12=""),"",IF(AND(BI$3+6&gt;=$H12,BI$3&lt;=$I12),1,""))</f>
        <v/>
      </c>
      <c r="BJ12" s="32" t="str">
        <f aca="false">IF(OR($B12="",$H12="",$I12=""),"",IF(AND(BJ$3+6&gt;=$H12,BJ$3&lt;=$I12),1,""))</f>
        <v/>
      </c>
      <c r="BK12" s="32" t="str">
        <f aca="false">IF(OR($B12="",$H12="",$I12=""),"",IF(AND(BK$3+6&gt;=$H12,BK$3&lt;=$I12),1,""))</f>
        <v/>
      </c>
      <c r="BM12" s="0" t="str">
        <f aca="false">IF($E12="",",,",","&amp;SUBSTITUTE($E12," ","")&amp;",")</f>
        <v>,EllenVargas,OmarHaddad,</v>
      </c>
    </row>
    <row r="13" customFormat="false" ht="21.75" hidden="false" customHeight="true" outlineLevel="0" collapsed="false">
      <c r="A13" s="26" t="str">
        <f aca="false">IF(B13="","",COUNTA($B$7:B13))</f>
        <v/>
      </c>
      <c r="B13" s="27"/>
      <c r="C13" s="28"/>
      <c r="D13" s="28"/>
      <c r="E13" s="27"/>
      <c r="F13" s="29"/>
      <c r="G13" s="28"/>
      <c r="H13" s="30"/>
      <c r="I13" s="30"/>
      <c r="J13" s="31"/>
      <c r="K13" s="27"/>
      <c r="L13" s="32" t="str">
        <f aca="false">IF(OR($B13="",$H13="",$I13=""),"",IF(AND(L$3+6&gt;=$H13,L$3&lt;=$I13),1,""))</f>
        <v/>
      </c>
      <c r="M13" s="32" t="str">
        <f aca="false">IF(OR($B13="",$H13="",$I13=""),"",IF(AND(M$3+6&gt;=$H13,M$3&lt;=$I13),1,""))</f>
        <v/>
      </c>
      <c r="N13" s="32" t="str">
        <f aca="false">IF(OR($B13="",$H13="",$I13=""),"",IF(AND(N$3+6&gt;=$H13,N$3&lt;=$I13),1,""))</f>
        <v/>
      </c>
      <c r="O13" s="32" t="str">
        <f aca="false">IF(OR($B13="",$H13="",$I13=""),"",IF(AND(O$3+6&gt;=$H13,O$3&lt;=$I13),1,""))</f>
        <v/>
      </c>
      <c r="P13" s="32" t="str">
        <f aca="false">IF(OR($B13="",$H13="",$I13=""),"",IF(AND(P$3+6&gt;=$H13,P$3&lt;=$I13),1,""))</f>
        <v/>
      </c>
      <c r="Q13" s="32" t="str">
        <f aca="false">IF(OR($B13="",$H13="",$I13=""),"",IF(AND(Q$3+6&gt;=$H13,Q$3&lt;=$I13),1,""))</f>
        <v/>
      </c>
      <c r="R13" s="32" t="str">
        <f aca="false">IF(OR($B13="",$H13="",$I13=""),"",IF(AND(R$3+6&gt;=$H13,R$3&lt;=$I13),1,""))</f>
        <v/>
      </c>
      <c r="S13" s="32" t="str">
        <f aca="false">IF(OR($B13="",$H13="",$I13=""),"",IF(AND(S$3+6&gt;=$H13,S$3&lt;=$I13),1,""))</f>
        <v/>
      </c>
      <c r="T13" s="32" t="str">
        <f aca="false">IF(OR($B13="",$H13="",$I13=""),"",IF(AND(T$3+6&gt;=$H13,T$3&lt;=$I13),1,""))</f>
        <v/>
      </c>
      <c r="U13" s="32" t="str">
        <f aca="false">IF(OR($B13="",$H13="",$I13=""),"",IF(AND(U$3+6&gt;=$H13,U$3&lt;=$I13),1,""))</f>
        <v/>
      </c>
      <c r="V13" s="32" t="str">
        <f aca="false">IF(OR($B13="",$H13="",$I13=""),"",IF(AND(V$3+6&gt;=$H13,V$3&lt;=$I13),1,""))</f>
        <v/>
      </c>
      <c r="W13" s="32" t="str">
        <f aca="false">IF(OR($B13="",$H13="",$I13=""),"",IF(AND(W$3+6&gt;=$H13,W$3&lt;=$I13),1,""))</f>
        <v/>
      </c>
      <c r="X13" s="32" t="str">
        <f aca="false">IF(OR($B13="",$H13="",$I13=""),"",IF(AND(X$3+6&gt;=$H13,X$3&lt;=$I13),1,""))</f>
        <v/>
      </c>
      <c r="Y13" s="32" t="str">
        <f aca="false">IF(OR($B13="",$H13="",$I13=""),"",IF(AND(Y$3+6&gt;=$H13,Y$3&lt;=$I13),1,""))</f>
        <v/>
      </c>
      <c r="Z13" s="32" t="str">
        <f aca="false">IF(OR($B13="",$H13="",$I13=""),"",IF(AND(Z$3+6&gt;=$H13,Z$3&lt;=$I13),1,""))</f>
        <v/>
      </c>
      <c r="AA13" s="32" t="str">
        <f aca="false">IF(OR($B13="",$H13="",$I13=""),"",IF(AND(AA$3+6&gt;=$H13,AA$3&lt;=$I13),1,""))</f>
        <v/>
      </c>
      <c r="AB13" s="32" t="str">
        <f aca="false">IF(OR($B13="",$H13="",$I13=""),"",IF(AND(AB$3+6&gt;=$H13,AB$3&lt;=$I13),1,""))</f>
        <v/>
      </c>
      <c r="AC13" s="32" t="str">
        <f aca="false">IF(OR($B13="",$H13="",$I13=""),"",IF(AND(AC$3+6&gt;=$H13,AC$3&lt;=$I13),1,""))</f>
        <v/>
      </c>
      <c r="AD13" s="32" t="str">
        <f aca="false">IF(OR($B13="",$H13="",$I13=""),"",IF(AND(AD$3+6&gt;=$H13,AD$3&lt;=$I13),1,""))</f>
        <v/>
      </c>
      <c r="AE13" s="32" t="str">
        <f aca="false">IF(OR($B13="",$H13="",$I13=""),"",IF(AND(AE$3+6&gt;=$H13,AE$3&lt;=$I13),1,""))</f>
        <v/>
      </c>
      <c r="AF13" s="32" t="str">
        <f aca="false">IF(OR($B13="",$H13="",$I13=""),"",IF(AND(AF$3+6&gt;=$H13,AF$3&lt;=$I13),1,""))</f>
        <v/>
      </c>
      <c r="AG13" s="32" t="str">
        <f aca="false">IF(OR($B13="",$H13="",$I13=""),"",IF(AND(AG$3+6&gt;=$H13,AG$3&lt;=$I13),1,""))</f>
        <v/>
      </c>
      <c r="AH13" s="32" t="str">
        <f aca="false">IF(OR($B13="",$H13="",$I13=""),"",IF(AND(AH$3+6&gt;=$H13,AH$3&lt;=$I13),1,""))</f>
        <v/>
      </c>
      <c r="AI13" s="32" t="str">
        <f aca="false">IF(OR($B13="",$H13="",$I13=""),"",IF(AND(AI$3+6&gt;=$H13,AI$3&lt;=$I13),1,""))</f>
        <v/>
      </c>
      <c r="AJ13" s="32" t="str">
        <f aca="false">IF(OR($B13="",$H13="",$I13=""),"",IF(AND(AJ$3+6&gt;=$H13,AJ$3&lt;=$I13),1,""))</f>
        <v/>
      </c>
      <c r="AK13" s="32" t="str">
        <f aca="false">IF(OR($B13="",$H13="",$I13=""),"",IF(AND(AK$3+6&gt;=$H13,AK$3&lt;=$I13),1,""))</f>
        <v/>
      </c>
      <c r="AL13" s="32" t="str">
        <f aca="false">IF(OR($B13="",$H13="",$I13=""),"",IF(AND(AL$3+6&gt;=$H13,AL$3&lt;=$I13),1,""))</f>
        <v/>
      </c>
      <c r="AM13" s="32" t="str">
        <f aca="false">IF(OR($B13="",$H13="",$I13=""),"",IF(AND(AM$3+6&gt;=$H13,AM$3&lt;=$I13),1,""))</f>
        <v/>
      </c>
      <c r="AN13" s="32" t="str">
        <f aca="false">IF(OR($B13="",$H13="",$I13=""),"",IF(AND(AN$3+6&gt;=$H13,AN$3&lt;=$I13),1,""))</f>
        <v/>
      </c>
      <c r="AO13" s="32" t="str">
        <f aca="false">IF(OR($B13="",$H13="",$I13=""),"",IF(AND(AO$3+6&gt;=$H13,AO$3&lt;=$I13),1,""))</f>
        <v/>
      </c>
      <c r="AP13" s="32" t="str">
        <f aca="false">IF(OR($B13="",$H13="",$I13=""),"",IF(AND(AP$3+6&gt;=$H13,AP$3&lt;=$I13),1,""))</f>
        <v/>
      </c>
      <c r="AQ13" s="32" t="str">
        <f aca="false">IF(OR($B13="",$H13="",$I13=""),"",IF(AND(AQ$3+6&gt;=$H13,AQ$3&lt;=$I13),1,""))</f>
        <v/>
      </c>
      <c r="AR13" s="32" t="str">
        <f aca="false">IF(OR($B13="",$H13="",$I13=""),"",IF(AND(AR$3+6&gt;=$H13,AR$3&lt;=$I13),1,""))</f>
        <v/>
      </c>
      <c r="AS13" s="32" t="str">
        <f aca="false">IF(OR($B13="",$H13="",$I13=""),"",IF(AND(AS$3+6&gt;=$H13,AS$3&lt;=$I13),1,""))</f>
        <v/>
      </c>
      <c r="AT13" s="32" t="str">
        <f aca="false">IF(OR($B13="",$H13="",$I13=""),"",IF(AND(AT$3+6&gt;=$H13,AT$3&lt;=$I13),1,""))</f>
        <v/>
      </c>
      <c r="AU13" s="32" t="str">
        <f aca="false">IF(OR($B13="",$H13="",$I13=""),"",IF(AND(AU$3+6&gt;=$H13,AU$3&lt;=$I13),1,""))</f>
        <v/>
      </c>
      <c r="AV13" s="32" t="str">
        <f aca="false">IF(OR($B13="",$H13="",$I13=""),"",IF(AND(AV$3+6&gt;=$H13,AV$3&lt;=$I13),1,""))</f>
        <v/>
      </c>
      <c r="AW13" s="32" t="str">
        <f aca="false">IF(OR($B13="",$H13="",$I13=""),"",IF(AND(AW$3+6&gt;=$H13,AW$3&lt;=$I13),1,""))</f>
        <v/>
      </c>
      <c r="AX13" s="32" t="str">
        <f aca="false">IF(OR($B13="",$H13="",$I13=""),"",IF(AND(AX$3+6&gt;=$H13,AX$3&lt;=$I13),1,""))</f>
        <v/>
      </c>
      <c r="AY13" s="32" t="str">
        <f aca="false">IF(OR($B13="",$H13="",$I13=""),"",IF(AND(AY$3+6&gt;=$H13,AY$3&lt;=$I13),1,""))</f>
        <v/>
      </c>
      <c r="AZ13" s="32" t="str">
        <f aca="false">IF(OR($B13="",$H13="",$I13=""),"",IF(AND(AZ$3+6&gt;=$H13,AZ$3&lt;=$I13),1,""))</f>
        <v/>
      </c>
      <c r="BA13" s="32" t="str">
        <f aca="false">IF(OR($B13="",$H13="",$I13=""),"",IF(AND(BA$3+6&gt;=$H13,BA$3&lt;=$I13),1,""))</f>
        <v/>
      </c>
      <c r="BB13" s="32" t="str">
        <f aca="false">IF(OR($B13="",$H13="",$I13=""),"",IF(AND(BB$3+6&gt;=$H13,BB$3&lt;=$I13),1,""))</f>
        <v/>
      </c>
      <c r="BC13" s="32" t="str">
        <f aca="false">IF(OR($B13="",$H13="",$I13=""),"",IF(AND(BC$3+6&gt;=$H13,BC$3&lt;=$I13),1,""))</f>
        <v/>
      </c>
      <c r="BD13" s="32" t="str">
        <f aca="false">IF(OR($B13="",$H13="",$I13=""),"",IF(AND(BD$3+6&gt;=$H13,BD$3&lt;=$I13),1,""))</f>
        <v/>
      </c>
      <c r="BE13" s="32" t="str">
        <f aca="false">IF(OR($B13="",$H13="",$I13=""),"",IF(AND(BE$3+6&gt;=$H13,BE$3&lt;=$I13),1,""))</f>
        <v/>
      </c>
      <c r="BF13" s="32" t="str">
        <f aca="false">IF(OR($B13="",$H13="",$I13=""),"",IF(AND(BF$3+6&gt;=$H13,BF$3&lt;=$I13),1,""))</f>
        <v/>
      </c>
      <c r="BG13" s="32" t="str">
        <f aca="false">IF(OR($B13="",$H13="",$I13=""),"",IF(AND(BG$3+6&gt;=$H13,BG$3&lt;=$I13),1,""))</f>
        <v/>
      </c>
      <c r="BH13" s="32" t="str">
        <f aca="false">IF(OR($B13="",$H13="",$I13=""),"",IF(AND(BH$3+6&gt;=$H13,BH$3&lt;=$I13),1,""))</f>
        <v/>
      </c>
      <c r="BI13" s="32" t="str">
        <f aca="false">IF(OR($B13="",$H13="",$I13=""),"",IF(AND(BI$3+6&gt;=$H13,BI$3&lt;=$I13),1,""))</f>
        <v/>
      </c>
      <c r="BJ13" s="32" t="str">
        <f aca="false">IF(OR($B13="",$H13="",$I13=""),"",IF(AND(BJ$3+6&gt;=$H13,BJ$3&lt;=$I13),1,""))</f>
        <v/>
      </c>
      <c r="BK13" s="32" t="str">
        <f aca="false">IF(OR($B13="",$H13="",$I13=""),"",IF(AND(BK$3+6&gt;=$H13,BK$3&lt;=$I13),1,""))</f>
        <v/>
      </c>
      <c r="BM13" s="0" t="str">
        <f aca="false">IF($E13="",",,",","&amp;SUBSTITUTE($E13," ","")&amp;",")</f>
        <v>,,</v>
      </c>
    </row>
    <row r="14" customFormat="false" ht="21.75" hidden="false" customHeight="true" outlineLevel="0" collapsed="false">
      <c r="A14" s="26" t="str">
        <f aca="false">IF(B14="","",COUNTA($B$7:B14))</f>
        <v/>
      </c>
      <c r="B14" s="27"/>
      <c r="C14" s="28"/>
      <c r="D14" s="28"/>
      <c r="E14" s="27"/>
      <c r="F14" s="29"/>
      <c r="G14" s="28"/>
      <c r="H14" s="30"/>
      <c r="I14" s="30"/>
      <c r="J14" s="31"/>
      <c r="K14" s="27"/>
      <c r="L14" s="32" t="str">
        <f aca="false">IF(OR($B14="",$H14="",$I14=""),"",IF(AND(L$3+6&gt;=$H14,L$3&lt;=$I14),1,""))</f>
        <v/>
      </c>
      <c r="M14" s="32" t="str">
        <f aca="false">IF(OR($B14="",$H14="",$I14=""),"",IF(AND(M$3+6&gt;=$H14,M$3&lt;=$I14),1,""))</f>
        <v/>
      </c>
      <c r="N14" s="32" t="str">
        <f aca="false">IF(OR($B14="",$H14="",$I14=""),"",IF(AND(N$3+6&gt;=$H14,N$3&lt;=$I14),1,""))</f>
        <v/>
      </c>
      <c r="O14" s="32" t="str">
        <f aca="false">IF(OR($B14="",$H14="",$I14=""),"",IF(AND(O$3+6&gt;=$H14,O$3&lt;=$I14),1,""))</f>
        <v/>
      </c>
      <c r="P14" s="32" t="str">
        <f aca="false">IF(OR($B14="",$H14="",$I14=""),"",IF(AND(P$3+6&gt;=$H14,P$3&lt;=$I14),1,""))</f>
        <v/>
      </c>
      <c r="Q14" s="32" t="str">
        <f aca="false">IF(OR($B14="",$H14="",$I14=""),"",IF(AND(Q$3+6&gt;=$H14,Q$3&lt;=$I14),1,""))</f>
        <v/>
      </c>
      <c r="R14" s="32" t="str">
        <f aca="false">IF(OR($B14="",$H14="",$I14=""),"",IF(AND(R$3+6&gt;=$H14,R$3&lt;=$I14),1,""))</f>
        <v/>
      </c>
      <c r="S14" s="32" t="str">
        <f aca="false">IF(OR($B14="",$H14="",$I14=""),"",IF(AND(S$3+6&gt;=$H14,S$3&lt;=$I14),1,""))</f>
        <v/>
      </c>
      <c r="T14" s="32" t="str">
        <f aca="false">IF(OR($B14="",$H14="",$I14=""),"",IF(AND(T$3+6&gt;=$H14,T$3&lt;=$I14),1,""))</f>
        <v/>
      </c>
      <c r="U14" s="32" t="str">
        <f aca="false">IF(OR($B14="",$H14="",$I14=""),"",IF(AND(U$3+6&gt;=$H14,U$3&lt;=$I14),1,""))</f>
        <v/>
      </c>
      <c r="V14" s="32" t="str">
        <f aca="false">IF(OR($B14="",$H14="",$I14=""),"",IF(AND(V$3+6&gt;=$H14,V$3&lt;=$I14),1,""))</f>
        <v/>
      </c>
      <c r="W14" s="32" t="str">
        <f aca="false">IF(OR($B14="",$H14="",$I14=""),"",IF(AND(W$3+6&gt;=$H14,W$3&lt;=$I14),1,""))</f>
        <v/>
      </c>
      <c r="X14" s="32" t="str">
        <f aca="false">IF(OR($B14="",$H14="",$I14=""),"",IF(AND(X$3+6&gt;=$H14,X$3&lt;=$I14),1,""))</f>
        <v/>
      </c>
      <c r="Y14" s="32" t="str">
        <f aca="false">IF(OR($B14="",$H14="",$I14=""),"",IF(AND(Y$3+6&gt;=$H14,Y$3&lt;=$I14),1,""))</f>
        <v/>
      </c>
      <c r="Z14" s="32" t="str">
        <f aca="false">IF(OR($B14="",$H14="",$I14=""),"",IF(AND(Z$3+6&gt;=$H14,Z$3&lt;=$I14),1,""))</f>
        <v/>
      </c>
      <c r="AA14" s="32" t="str">
        <f aca="false">IF(OR($B14="",$H14="",$I14=""),"",IF(AND(AA$3+6&gt;=$H14,AA$3&lt;=$I14),1,""))</f>
        <v/>
      </c>
      <c r="AB14" s="32" t="str">
        <f aca="false">IF(OR($B14="",$H14="",$I14=""),"",IF(AND(AB$3+6&gt;=$H14,AB$3&lt;=$I14),1,""))</f>
        <v/>
      </c>
      <c r="AC14" s="32" t="str">
        <f aca="false">IF(OR($B14="",$H14="",$I14=""),"",IF(AND(AC$3+6&gt;=$H14,AC$3&lt;=$I14),1,""))</f>
        <v/>
      </c>
      <c r="AD14" s="32" t="str">
        <f aca="false">IF(OR($B14="",$H14="",$I14=""),"",IF(AND(AD$3+6&gt;=$H14,AD$3&lt;=$I14),1,""))</f>
        <v/>
      </c>
      <c r="AE14" s="32" t="str">
        <f aca="false">IF(OR($B14="",$H14="",$I14=""),"",IF(AND(AE$3+6&gt;=$H14,AE$3&lt;=$I14),1,""))</f>
        <v/>
      </c>
      <c r="AF14" s="32" t="str">
        <f aca="false">IF(OR($B14="",$H14="",$I14=""),"",IF(AND(AF$3+6&gt;=$H14,AF$3&lt;=$I14),1,""))</f>
        <v/>
      </c>
      <c r="AG14" s="32" t="str">
        <f aca="false">IF(OR($B14="",$H14="",$I14=""),"",IF(AND(AG$3+6&gt;=$H14,AG$3&lt;=$I14),1,""))</f>
        <v/>
      </c>
      <c r="AH14" s="32" t="str">
        <f aca="false">IF(OR($B14="",$H14="",$I14=""),"",IF(AND(AH$3+6&gt;=$H14,AH$3&lt;=$I14),1,""))</f>
        <v/>
      </c>
      <c r="AI14" s="32" t="str">
        <f aca="false">IF(OR($B14="",$H14="",$I14=""),"",IF(AND(AI$3+6&gt;=$H14,AI$3&lt;=$I14),1,""))</f>
        <v/>
      </c>
      <c r="AJ14" s="32" t="str">
        <f aca="false">IF(OR($B14="",$H14="",$I14=""),"",IF(AND(AJ$3+6&gt;=$H14,AJ$3&lt;=$I14),1,""))</f>
        <v/>
      </c>
      <c r="AK14" s="32" t="str">
        <f aca="false">IF(OR($B14="",$H14="",$I14=""),"",IF(AND(AK$3+6&gt;=$H14,AK$3&lt;=$I14),1,""))</f>
        <v/>
      </c>
      <c r="AL14" s="32" t="str">
        <f aca="false">IF(OR($B14="",$H14="",$I14=""),"",IF(AND(AL$3+6&gt;=$H14,AL$3&lt;=$I14),1,""))</f>
        <v/>
      </c>
      <c r="AM14" s="32" t="str">
        <f aca="false">IF(OR($B14="",$H14="",$I14=""),"",IF(AND(AM$3+6&gt;=$H14,AM$3&lt;=$I14),1,""))</f>
        <v/>
      </c>
      <c r="AN14" s="32" t="str">
        <f aca="false">IF(OR($B14="",$H14="",$I14=""),"",IF(AND(AN$3+6&gt;=$H14,AN$3&lt;=$I14),1,""))</f>
        <v/>
      </c>
      <c r="AO14" s="32" t="str">
        <f aca="false">IF(OR($B14="",$H14="",$I14=""),"",IF(AND(AO$3+6&gt;=$H14,AO$3&lt;=$I14),1,""))</f>
        <v/>
      </c>
      <c r="AP14" s="32" t="str">
        <f aca="false">IF(OR($B14="",$H14="",$I14=""),"",IF(AND(AP$3+6&gt;=$H14,AP$3&lt;=$I14),1,""))</f>
        <v/>
      </c>
      <c r="AQ14" s="32" t="str">
        <f aca="false">IF(OR($B14="",$H14="",$I14=""),"",IF(AND(AQ$3+6&gt;=$H14,AQ$3&lt;=$I14),1,""))</f>
        <v/>
      </c>
      <c r="AR14" s="32" t="str">
        <f aca="false">IF(OR($B14="",$H14="",$I14=""),"",IF(AND(AR$3+6&gt;=$H14,AR$3&lt;=$I14),1,""))</f>
        <v/>
      </c>
      <c r="AS14" s="32" t="str">
        <f aca="false">IF(OR($B14="",$H14="",$I14=""),"",IF(AND(AS$3+6&gt;=$H14,AS$3&lt;=$I14),1,""))</f>
        <v/>
      </c>
      <c r="AT14" s="32" t="str">
        <f aca="false">IF(OR($B14="",$H14="",$I14=""),"",IF(AND(AT$3+6&gt;=$H14,AT$3&lt;=$I14),1,""))</f>
        <v/>
      </c>
      <c r="AU14" s="32" t="str">
        <f aca="false">IF(OR($B14="",$H14="",$I14=""),"",IF(AND(AU$3+6&gt;=$H14,AU$3&lt;=$I14),1,""))</f>
        <v/>
      </c>
      <c r="AV14" s="32" t="str">
        <f aca="false">IF(OR($B14="",$H14="",$I14=""),"",IF(AND(AV$3+6&gt;=$H14,AV$3&lt;=$I14),1,""))</f>
        <v/>
      </c>
      <c r="AW14" s="32" t="str">
        <f aca="false">IF(OR($B14="",$H14="",$I14=""),"",IF(AND(AW$3+6&gt;=$H14,AW$3&lt;=$I14),1,""))</f>
        <v/>
      </c>
      <c r="AX14" s="32" t="str">
        <f aca="false">IF(OR($B14="",$H14="",$I14=""),"",IF(AND(AX$3+6&gt;=$H14,AX$3&lt;=$I14),1,""))</f>
        <v/>
      </c>
      <c r="AY14" s="32" t="str">
        <f aca="false">IF(OR($B14="",$H14="",$I14=""),"",IF(AND(AY$3+6&gt;=$H14,AY$3&lt;=$I14),1,""))</f>
        <v/>
      </c>
      <c r="AZ14" s="32" t="str">
        <f aca="false">IF(OR($B14="",$H14="",$I14=""),"",IF(AND(AZ$3+6&gt;=$H14,AZ$3&lt;=$I14),1,""))</f>
        <v/>
      </c>
      <c r="BA14" s="32" t="str">
        <f aca="false">IF(OR($B14="",$H14="",$I14=""),"",IF(AND(BA$3+6&gt;=$H14,BA$3&lt;=$I14),1,""))</f>
        <v/>
      </c>
      <c r="BB14" s="32" t="str">
        <f aca="false">IF(OR($B14="",$H14="",$I14=""),"",IF(AND(BB$3+6&gt;=$H14,BB$3&lt;=$I14),1,""))</f>
        <v/>
      </c>
      <c r="BC14" s="32" t="str">
        <f aca="false">IF(OR($B14="",$H14="",$I14=""),"",IF(AND(BC$3+6&gt;=$H14,BC$3&lt;=$I14),1,""))</f>
        <v/>
      </c>
      <c r="BD14" s="32" t="str">
        <f aca="false">IF(OR($B14="",$H14="",$I14=""),"",IF(AND(BD$3+6&gt;=$H14,BD$3&lt;=$I14),1,""))</f>
        <v/>
      </c>
      <c r="BE14" s="32" t="str">
        <f aca="false">IF(OR($B14="",$H14="",$I14=""),"",IF(AND(BE$3+6&gt;=$H14,BE$3&lt;=$I14),1,""))</f>
        <v/>
      </c>
      <c r="BF14" s="32" t="str">
        <f aca="false">IF(OR($B14="",$H14="",$I14=""),"",IF(AND(BF$3+6&gt;=$H14,BF$3&lt;=$I14),1,""))</f>
        <v/>
      </c>
      <c r="BG14" s="32" t="str">
        <f aca="false">IF(OR($B14="",$H14="",$I14=""),"",IF(AND(BG$3+6&gt;=$H14,BG$3&lt;=$I14),1,""))</f>
        <v/>
      </c>
      <c r="BH14" s="32" t="str">
        <f aca="false">IF(OR($B14="",$H14="",$I14=""),"",IF(AND(BH$3+6&gt;=$H14,BH$3&lt;=$I14),1,""))</f>
        <v/>
      </c>
      <c r="BI14" s="32" t="str">
        <f aca="false">IF(OR($B14="",$H14="",$I14=""),"",IF(AND(BI$3+6&gt;=$H14,BI$3&lt;=$I14),1,""))</f>
        <v/>
      </c>
      <c r="BJ14" s="32" t="str">
        <f aca="false">IF(OR($B14="",$H14="",$I14=""),"",IF(AND(BJ$3+6&gt;=$H14,BJ$3&lt;=$I14),1,""))</f>
        <v/>
      </c>
      <c r="BK14" s="32" t="str">
        <f aca="false">IF(OR($B14="",$H14="",$I14=""),"",IF(AND(BK$3+6&gt;=$H14,BK$3&lt;=$I14),1,""))</f>
        <v/>
      </c>
      <c r="BM14" s="0" t="str">
        <f aca="false">IF($E14="",",,",","&amp;SUBSTITUTE($E14," ","")&amp;",")</f>
        <v>,,</v>
      </c>
    </row>
    <row r="15" customFormat="false" ht="21.75" hidden="false" customHeight="true" outlineLevel="0" collapsed="false">
      <c r="A15" s="26" t="str">
        <f aca="false">IF(B15="","",COUNTA($B$7:B15))</f>
        <v/>
      </c>
      <c r="B15" s="27"/>
      <c r="C15" s="28"/>
      <c r="D15" s="28"/>
      <c r="E15" s="27"/>
      <c r="F15" s="29"/>
      <c r="G15" s="28"/>
      <c r="H15" s="30"/>
      <c r="I15" s="30"/>
      <c r="J15" s="31"/>
      <c r="K15" s="27"/>
      <c r="L15" s="32" t="str">
        <f aca="false">IF(OR($B15="",$H15="",$I15=""),"",IF(AND(L$3+6&gt;=$H15,L$3&lt;=$I15),1,""))</f>
        <v/>
      </c>
      <c r="M15" s="32" t="str">
        <f aca="false">IF(OR($B15="",$H15="",$I15=""),"",IF(AND(M$3+6&gt;=$H15,M$3&lt;=$I15),1,""))</f>
        <v/>
      </c>
      <c r="N15" s="32" t="str">
        <f aca="false">IF(OR($B15="",$H15="",$I15=""),"",IF(AND(N$3+6&gt;=$H15,N$3&lt;=$I15),1,""))</f>
        <v/>
      </c>
      <c r="O15" s="32" t="str">
        <f aca="false">IF(OR($B15="",$H15="",$I15=""),"",IF(AND(O$3+6&gt;=$H15,O$3&lt;=$I15),1,""))</f>
        <v/>
      </c>
      <c r="P15" s="32" t="str">
        <f aca="false">IF(OR($B15="",$H15="",$I15=""),"",IF(AND(P$3+6&gt;=$H15,P$3&lt;=$I15),1,""))</f>
        <v/>
      </c>
      <c r="Q15" s="32" t="str">
        <f aca="false">IF(OR($B15="",$H15="",$I15=""),"",IF(AND(Q$3+6&gt;=$H15,Q$3&lt;=$I15),1,""))</f>
        <v/>
      </c>
      <c r="R15" s="32" t="str">
        <f aca="false">IF(OR($B15="",$H15="",$I15=""),"",IF(AND(R$3+6&gt;=$H15,R$3&lt;=$I15),1,""))</f>
        <v/>
      </c>
      <c r="S15" s="32" t="str">
        <f aca="false">IF(OR($B15="",$H15="",$I15=""),"",IF(AND(S$3+6&gt;=$H15,S$3&lt;=$I15),1,""))</f>
        <v/>
      </c>
      <c r="T15" s="32" t="str">
        <f aca="false">IF(OR($B15="",$H15="",$I15=""),"",IF(AND(T$3+6&gt;=$H15,T$3&lt;=$I15),1,""))</f>
        <v/>
      </c>
      <c r="U15" s="32" t="str">
        <f aca="false">IF(OR($B15="",$H15="",$I15=""),"",IF(AND(U$3+6&gt;=$H15,U$3&lt;=$I15),1,""))</f>
        <v/>
      </c>
      <c r="V15" s="32" t="str">
        <f aca="false">IF(OR($B15="",$H15="",$I15=""),"",IF(AND(V$3+6&gt;=$H15,V$3&lt;=$I15),1,""))</f>
        <v/>
      </c>
      <c r="W15" s="32" t="str">
        <f aca="false">IF(OR($B15="",$H15="",$I15=""),"",IF(AND(W$3+6&gt;=$H15,W$3&lt;=$I15),1,""))</f>
        <v/>
      </c>
      <c r="X15" s="32" t="str">
        <f aca="false">IF(OR($B15="",$H15="",$I15=""),"",IF(AND(X$3+6&gt;=$H15,X$3&lt;=$I15),1,""))</f>
        <v/>
      </c>
      <c r="Y15" s="32" t="str">
        <f aca="false">IF(OR($B15="",$H15="",$I15=""),"",IF(AND(Y$3+6&gt;=$H15,Y$3&lt;=$I15),1,""))</f>
        <v/>
      </c>
      <c r="Z15" s="32" t="str">
        <f aca="false">IF(OR($B15="",$H15="",$I15=""),"",IF(AND(Z$3+6&gt;=$H15,Z$3&lt;=$I15),1,""))</f>
        <v/>
      </c>
      <c r="AA15" s="32" t="str">
        <f aca="false">IF(OR($B15="",$H15="",$I15=""),"",IF(AND(AA$3+6&gt;=$H15,AA$3&lt;=$I15),1,""))</f>
        <v/>
      </c>
      <c r="AB15" s="32" t="str">
        <f aca="false">IF(OR($B15="",$H15="",$I15=""),"",IF(AND(AB$3+6&gt;=$H15,AB$3&lt;=$I15),1,""))</f>
        <v/>
      </c>
      <c r="AC15" s="32" t="str">
        <f aca="false">IF(OR($B15="",$H15="",$I15=""),"",IF(AND(AC$3+6&gt;=$H15,AC$3&lt;=$I15),1,""))</f>
        <v/>
      </c>
      <c r="AD15" s="32" t="str">
        <f aca="false">IF(OR($B15="",$H15="",$I15=""),"",IF(AND(AD$3+6&gt;=$H15,AD$3&lt;=$I15),1,""))</f>
        <v/>
      </c>
      <c r="AE15" s="32" t="str">
        <f aca="false">IF(OR($B15="",$H15="",$I15=""),"",IF(AND(AE$3+6&gt;=$H15,AE$3&lt;=$I15),1,""))</f>
        <v/>
      </c>
      <c r="AF15" s="32" t="str">
        <f aca="false">IF(OR($B15="",$H15="",$I15=""),"",IF(AND(AF$3+6&gt;=$H15,AF$3&lt;=$I15),1,""))</f>
        <v/>
      </c>
      <c r="AG15" s="32" t="str">
        <f aca="false">IF(OR($B15="",$H15="",$I15=""),"",IF(AND(AG$3+6&gt;=$H15,AG$3&lt;=$I15),1,""))</f>
        <v/>
      </c>
      <c r="AH15" s="32" t="str">
        <f aca="false">IF(OR($B15="",$H15="",$I15=""),"",IF(AND(AH$3+6&gt;=$H15,AH$3&lt;=$I15),1,""))</f>
        <v/>
      </c>
      <c r="AI15" s="32" t="str">
        <f aca="false">IF(OR($B15="",$H15="",$I15=""),"",IF(AND(AI$3+6&gt;=$H15,AI$3&lt;=$I15),1,""))</f>
        <v/>
      </c>
      <c r="AJ15" s="32" t="str">
        <f aca="false">IF(OR($B15="",$H15="",$I15=""),"",IF(AND(AJ$3+6&gt;=$H15,AJ$3&lt;=$I15),1,""))</f>
        <v/>
      </c>
      <c r="AK15" s="32" t="str">
        <f aca="false">IF(OR($B15="",$H15="",$I15=""),"",IF(AND(AK$3+6&gt;=$H15,AK$3&lt;=$I15),1,""))</f>
        <v/>
      </c>
      <c r="AL15" s="32" t="str">
        <f aca="false">IF(OR($B15="",$H15="",$I15=""),"",IF(AND(AL$3+6&gt;=$H15,AL$3&lt;=$I15),1,""))</f>
        <v/>
      </c>
      <c r="AM15" s="32" t="str">
        <f aca="false">IF(OR($B15="",$H15="",$I15=""),"",IF(AND(AM$3+6&gt;=$H15,AM$3&lt;=$I15),1,""))</f>
        <v/>
      </c>
      <c r="AN15" s="32" t="str">
        <f aca="false">IF(OR($B15="",$H15="",$I15=""),"",IF(AND(AN$3+6&gt;=$H15,AN$3&lt;=$I15),1,""))</f>
        <v/>
      </c>
      <c r="AO15" s="32" t="str">
        <f aca="false">IF(OR($B15="",$H15="",$I15=""),"",IF(AND(AO$3+6&gt;=$H15,AO$3&lt;=$I15),1,""))</f>
        <v/>
      </c>
      <c r="AP15" s="32" t="str">
        <f aca="false">IF(OR($B15="",$H15="",$I15=""),"",IF(AND(AP$3+6&gt;=$H15,AP$3&lt;=$I15),1,""))</f>
        <v/>
      </c>
      <c r="AQ15" s="32" t="str">
        <f aca="false">IF(OR($B15="",$H15="",$I15=""),"",IF(AND(AQ$3+6&gt;=$H15,AQ$3&lt;=$I15),1,""))</f>
        <v/>
      </c>
      <c r="AR15" s="32" t="str">
        <f aca="false">IF(OR($B15="",$H15="",$I15=""),"",IF(AND(AR$3+6&gt;=$H15,AR$3&lt;=$I15),1,""))</f>
        <v/>
      </c>
      <c r="AS15" s="32" t="str">
        <f aca="false">IF(OR($B15="",$H15="",$I15=""),"",IF(AND(AS$3+6&gt;=$H15,AS$3&lt;=$I15),1,""))</f>
        <v/>
      </c>
      <c r="AT15" s="32" t="str">
        <f aca="false">IF(OR($B15="",$H15="",$I15=""),"",IF(AND(AT$3+6&gt;=$H15,AT$3&lt;=$I15),1,""))</f>
        <v/>
      </c>
      <c r="AU15" s="32" t="str">
        <f aca="false">IF(OR($B15="",$H15="",$I15=""),"",IF(AND(AU$3+6&gt;=$H15,AU$3&lt;=$I15),1,""))</f>
        <v/>
      </c>
      <c r="AV15" s="32" t="str">
        <f aca="false">IF(OR($B15="",$H15="",$I15=""),"",IF(AND(AV$3+6&gt;=$H15,AV$3&lt;=$I15),1,""))</f>
        <v/>
      </c>
      <c r="AW15" s="32" t="str">
        <f aca="false">IF(OR($B15="",$H15="",$I15=""),"",IF(AND(AW$3+6&gt;=$H15,AW$3&lt;=$I15),1,""))</f>
        <v/>
      </c>
      <c r="AX15" s="32" t="str">
        <f aca="false">IF(OR($B15="",$H15="",$I15=""),"",IF(AND(AX$3+6&gt;=$H15,AX$3&lt;=$I15),1,""))</f>
        <v/>
      </c>
      <c r="AY15" s="32" t="str">
        <f aca="false">IF(OR($B15="",$H15="",$I15=""),"",IF(AND(AY$3+6&gt;=$H15,AY$3&lt;=$I15),1,""))</f>
        <v/>
      </c>
      <c r="AZ15" s="32" t="str">
        <f aca="false">IF(OR($B15="",$H15="",$I15=""),"",IF(AND(AZ$3+6&gt;=$H15,AZ$3&lt;=$I15),1,""))</f>
        <v/>
      </c>
      <c r="BA15" s="32" t="str">
        <f aca="false">IF(OR($B15="",$H15="",$I15=""),"",IF(AND(BA$3+6&gt;=$H15,BA$3&lt;=$I15),1,""))</f>
        <v/>
      </c>
      <c r="BB15" s="32" t="str">
        <f aca="false">IF(OR($B15="",$H15="",$I15=""),"",IF(AND(BB$3+6&gt;=$H15,BB$3&lt;=$I15),1,""))</f>
        <v/>
      </c>
      <c r="BC15" s="32" t="str">
        <f aca="false">IF(OR($B15="",$H15="",$I15=""),"",IF(AND(BC$3+6&gt;=$H15,BC$3&lt;=$I15),1,""))</f>
        <v/>
      </c>
      <c r="BD15" s="32" t="str">
        <f aca="false">IF(OR($B15="",$H15="",$I15=""),"",IF(AND(BD$3+6&gt;=$H15,BD$3&lt;=$I15),1,""))</f>
        <v/>
      </c>
      <c r="BE15" s="32" t="str">
        <f aca="false">IF(OR($B15="",$H15="",$I15=""),"",IF(AND(BE$3+6&gt;=$H15,BE$3&lt;=$I15),1,""))</f>
        <v/>
      </c>
      <c r="BF15" s="32" t="str">
        <f aca="false">IF(OR($B15="",$H15="",$I15=""),"",IF(AND(BF$3+6&gt;=$H15,BF$3&lt;=$I15),1,""))</f>
        <v/>
      </c>
      <c r="BG15" s="32" t="str">
        <f aca="false">IF(OR($B15="",$H15="",$I15=""),"",IF(AND(BG$3+6&gt;=$H15,BG$3&lt;=$I15),1,""))</f>
        <v/>
      </c>
      <c r="BH15" s="32" t="str">
        <f aca="false">IF(OR($B15="",$H15="",$I15=""),"",IF(AND(BH$3+6&gt;=$H15,BH$3&lt;=$I15),1,""))</f>
        <v/>
      </c>
      <c r="BI15" s="32" t="str">
        <f aca="false">IF(OR($B15="",$H15="",$I15=""),"",IF(AND(BI$3+6&gt;=$H15,BI$3&lt;=$I15),1,""))</f>
        <v/>
      </c>
      <c r="BJ15" s="32" t="str">
        <f aca="false">IF(OR($B15="",$H15="",$I15=""),"",IF(AND(BJ$3+6&gt;=$H15,BJ$3&lt;=$I15),1,""))</f>
        <v/>
      </c>
      <c r="BK15" s="32" t="str">
        <f aca="false">IF(OR($B15="",$H15="",$I15=""),"",IF(AND(BK$3+6&gt;=$H15,BK$3&lt;=$I15),1,""))</f>
        <v/>
      </c>
      <c r="BM15" s="0" t="str">
        <f aca="false">IF($E15="",",,",","&amp;SUBSTITUTE($E15," ","")&amp;",")</f>
        <v>,,</v>
      </c>
    </row>
    <row r="16" customFormat="false" ht="21.75" hidden="false" customHeight="true" outlineLevel="0" collapsed="false">
      <c r="A16" s="26" t="str">
        <f aca="false">IF(B16="","",COUNTA($B$7:B16))</f>
        <v/>
      </c>
      <c r="B16" s="27"/>
      <c r="C16" s="28"/>
      <c r="D16" s="28"/>
      <c r="E16" s="27"/>
      <c r="F16" s="29"/>
      <c r="G16" s="28"/>
      <c r="H16" s="30"/>
      <c r="I16" s="30"/>
      <c r="J16" s="31"/>
      <c r="K16" s="27"/>
      <c r="L16" s="32" t="str">
        <f aca="false">IF(OR($B16="",$H16="",$I16=""),"",IF(AND(L$3+6&gt;=$H16,L$3&lt;=$I16),1,""))</f>
        <v/>
      </c>
      <c r="M16" s="32" t="str">
        <f aca="false">IF(OR($B16="",$H16="",$I16=""),"",IF(AND(M$3+6&gt;=$H16,M$3&lt;=$I16),1,""))</f>
        <v/>
      </c>
      <c r="N16" s="32" t="str">
        <f aca="false">IF(OR($B16="",$H16="",$I16=""),"",IF(AND(N$3+6&gt;=$H16,N$3&lt;=$I16),1,""))</f>
        <v/>
      </c>
      <c r="O16" s="32" t="str">
        <f aca="false">IF(OR($B16="",$H16="",$I16=""),"",IF(AND(O$3+6&gt;=$H16,O$3&lt;=$I16),1,""))</f>
        <v/>
      </c>
      <c r="P16" s="32" t="str">
        <f aca="false">IF(OR($B16="",$H16="",$I16=""),"",IF(AND(P$3+6&gt;=$H16,P$3&lt;=$I16),1,""))</f>
        <v/>
      </c>
      <c r="Q16" s="32" t="str">
        <f aca="false">IF(OR($B16="",$H16="",$I16=""),"",IF(AND(Q$3+6&gt;=$H16,Q$3&lt;=$I16),1,""))</f>
        <v/>
      </c>
      <c r="R16" s="32" t="str">
        <f aca="false">IF(OR($B16="",$H16="",$I16=""),"",IF(AND(R$3+6&gt;=$H16,R$3&lt;=$I16),1,""))</f>
        <v/>
      </c>
      <c r="S16" s="32" t="str">
        <f aca="false">IF(OR($B16="",$H16="",$I16=""),"",IF(AND(S$3+6&gt;=$H16,S$3&lt;=$I16),1,""))</f>
        <v/>
      </c>
      <c r="T16" s="32" t="str">
        <f aca="false">IF(OR($B16="",$H16="",$I16=""),"",IF(AND(T$3+6&gt;=$H16,T$3&lt;=$I16),1,""))</f>
        <v/>
      </c>
      <c r="U16" s="32" t="str">
        <f aca="false">IF(OR($B16="",$H16="",$I16=""),"",IF(AND(U$3+6&gt;=$H16,U$3&lt;=$I16),1,""))</f>
        <v/>
      </c>
      <c r="V16" s="32" t="str">
        <f aca="false">IF(OR($B16="",$H16="",$I16=""),"",IF(AND(V$3+6&gt;=$H16,V$3&lt;=$I16),1,""))</f>
        <v/>
      </c>
      <c r="W16" s="32" t="str">
        <f aca="false">IF(OR($B16="",$H16="",$I16=""),"",IF(AND(W$3+6&gt;=$H16,W$3&lt;=$I16),1,""))</f>
        <v/>
      </c>
      <c r="X16" s="32" t="str">
        <f aca="false">IF(OR($B16="",$H16="",$I16=""),"",IF(AND(X$3+6&gt;=$H16,X$3&lt;=$I16),1,""))</f>
        <v/>
      </c>
      <c r="Y16" s="32" t="str">
        <f aca="false">IF(OR($B16="",$H16="",$I16=""),"",IF(AND(Y$3+6&gt;=$H16,Y$3&lt;=$I16),1,""))</f>
        <v/>
      </c>
      <c r="Z16" s="32" t="str">
        <f aca="false">IF(OR($B16="",$H16="",$I16=""),"",IF(AND(Z$3+6&gt;=$H16,Z$3&lt;=$I16),1,""))</f>
        <v/>
      </c>
      <c r="AA16" s="32" t="str">
        <f aca="false">IF(OR($B16="",$H16="",$I16=""),"",IF(AND(AA$3+6&gt;=$H16,AA$3&lt;=$I16),1,""))</f>
        <v/>
      </c>
      <c r="AB16" s="32" t="str">
        <f aca="false">IF(OR($B16="",$H16="",$I16=""),"",IF(AND(AB$3+6&gt;=$H16,AB$3&lt;=$I16),1,""))</f>
        <v/>
      </c>
      <c r="AC16" s="32" t="str">
        <f aca="false">IF(OR($B16="",$H16="",$I16=""),"",IF(AND(AC$3+6&gt;=$H16,AC$3&lt;=$I16),1,""))</f>
        <v/>
      </c>
      <c r="AD16" s="32" t="str">
        <f aca="false">IF(OR($B16="",$H16="",$I16=""),"",IF(AND(AD$3+6&gt;=$H16,AD$3&lt;=$I16),1,""))</f>
        <v/>
      </c>
      <c r="AE16" s="32" t="str">
        <f aca="false">IF(OR($B16="",$H16="",$I16=""),"",IF(AND(AE$3+6&gt;=$H16,AE$3&lt;=$I16),1,""))</f>
        <v/>
      </c>
      <c r="AF16" s="32" t="str">
        <f aca="false">IF(OR($B16="",$H16="",$I16=""),"",IF(AND(AF$3+6&gt;=$H16,AF$3&lt;=$I16),1,""))</f>
        <v/>
      </c>
      <c r="AG16" s="32" t="str">
        <f aca="false">IF(OR($B16="",$H16="",$I16=""),"",IF(AND(AG$3+6&gt;=$H16,AG$3&lt;=$I16),1,""))</f>
        <v/>
      </c>
      <c r="AH16" s="32" t="str">
        <f aca="false">IF(OR($B16="",$H16="",$I16=""),"",IF(AND(AH$3+6&gt;=$H16,AH$3&lt;=$I16),1,""))</f>
        <v/>
      </c>
      <c r="AI16" s="32" t="str">
        <f aca="false">IF(OR($B16="",$H16="",$I16=""),"",IF(AND(AI$3+6&gt;=$H16,AI$3&lt;=$I16),1,""))</f>
        <v/>
      </c>
      <c r="AJ16" s="32" t="str">
        <f aca="false">IF(OR($B16="",$H16="",$I16=""),"",IF(AND(AJ$3+6&gt;=$H16,AJ$3&lt;=$I16),1,""))</f>
        <v/>
      </c>
      <c r="AK16" s="32" t="str">
        <f aca="false">IF(OR($B16="",$H16="",$I16=""),"",IF(AND(AK$3+6&gt;=$H16,AK$3&lt;=$I16),1,""))</f>
        <v/>
      </c>
      <c r="AL16" s="32" t="str">
        <f aca="false">IF(OR($B16="",$H16="",$I16=""),"",IF(AND(AL$3+6&gt;=$H16,AL$3&lt;=$I16),1,""))</f>
        <v/>
      </c>
      <c r="AM16" s="32" t="str">
        <f aca="false">IF(OR($B16="",$H16="",$I16=""),"",IF(AND(AM$3+6&gt;=$H16,AM$3&lt;=$I16),1,""))</f>
        <v/>
      </c>
      <c r="AN16" s="32" t="str">
        <f aca="false">IF(OR($B16="",$H16="",$I16=""),"",IF(AND(AN$3+6&gt;=$H16,AN$3&lt;=$I16),1,""))</f>
        <v/>
      </c>
      <c r="AO16" s="32" t="str">
        <f aca="false">IF(OR($B16="",$H16="",$I16=""),"",IF(AND(AO$3+6&gt;=$H16,AO$3&lt;=$I16),1,""))</f>
        <v/>
      </c>
      <c r="AP16" s="32" t="str">
        <f aca="false">IF(OR($B16="",$H16="",$I16=""),"",IF(AND(AP$3+6&gt;=$H16,AP$3&lt;=$I16),1,""))</f>
        <v/>
      </c>
      <c r="AQ16" s="32" t="str">
        <f aca="false">IF(OR($B16="",$H16="",$I16=""),"",IF(AND(AQ$3+6&gt;=$H16,AQ$3&lt;=$I16),1,""))</f>
        <v/>
      </c>
      <c r="AR16" s="32" t="str">
        <f aca="false">IF(OR($B16="",$H16="",$I16=""),"",IF(AND(AR$3+6&gt;=$H16,AR$3&lt;=$I16),1,""))</f>
        <v/>
      </c>
      <c r="AS16" s="32" t="str">
        <f aca="false">IF(OR($B16="",$H16="",$I16=""),"",IF(AND(AS$3+6&gt;=$H16,AS$3&lt;=$I16),1,""))</f>
        <v/>
      </c>
      <c r="AT16" s="32" t="str">
        <f aca="false">IF(OR($B16="",$H16="",$I16=""),"",IF(AND(AT$3+6&gt;=$H16,AT$3&lt;=$I16),1,""))</f>
        <v/>
      </c>
      <c r="AU16" s="32" t="str">
        <f aca="false">IF(OR($B16="",$H16="",$I16=""),"",IF(AND(AU$3+6&gt;=$H16,AU$3&lt;=$I16),1,""))</f>
        <v/>
      </c>
      <c r="AV16" s="32" t="str">
        <f aca="false">IF(OR($B16="",$H16="",$I16=""),"",IF(AND(AV$3+6&gt;=$H16,AV$3&lt;=$I16),1,""))</f>
        <v/>
      </c>
      <c r="AW16" s="32" t="str">
        <f aca="false">IF(OR($B16="",$H16="",$I16=""),"",IF(AND(AW$3+6&gt;=$H16,AW$3&lt;=$I16),1,""))</f>
        <v/>
      </c>
      <c r="AX16" s="32" t="str">
        <f aca="false">IF(OR($B16="",$H16="",$I16=""),"",IF(AND(AX$3+6&gt;=$H16,AX$3&lt;=$I16),1,""))</f>
        <v/>
      </c>
      <c r="AY16" s="32" t="str">
        <f aca="false">IF(OR($B16="",$H16="",$I16=""),"",IF(AND(AY$3+6&gt;=$H16,AY$3&lt;=$I16),1,""))</f>
        <v/>
      </c>
      <c r="AZ16" s="32" t="str">
        <f aca="false">IF(OR($B16="",$H16="",$I16=""),"",IF(AND(AZ$3+6&gt;=$H16,AZ$3&lt;=$I16),1,""))</f>
        <v/>
      </c>
      <c r="BA16" s="32" t="str">
        <f aca="false">IF(OR($B16="",$H16="",$I16=""),"",IF(AND(BA$3+6&gt;=$H16,BA$3&lt;=$I16),1,""))</f>
        <v/>
      </c>
      <c r="BB16" s="32" t="str">
        <f aca="false">IF(OR($B16="",$H16="",$I16=""),"",IF(AND(BB$3+6&gt;=$H16,BB$3&lt;=$I16),1,""))</f>
        <v/>
      </c>
      <c r="BC16" s="32" t="str">
        <f aca="false">IF(OR($B16="",$H16="",$I16=""),"",IF(AND(BC$3+6&gt;=$H16,BC$3&lt;=$I16),1,""))</f>
        <v/>
      </c>
      <c r="BD16" s="32" t="str">
        <f aca="false">IF(OR($B16="",$H16="",$I16=""),"",IF(AND(BD$3+6&gt;=$H16,BD$3&lt;=$I16),1,""))</f>
        <v/>
      </c>
      <c r="BE16" s="32" t="str">
        <f aca="false">IF(OR($B16="",$H16="",$I16=""),"",IF(AND(BE$3+6&gt;=$H16,BE$3&lt;=$I16),1,""))</f>
        <v/>
      </c>
      <c r="BF16" s="32" t="str">
        <f aca="false">IF(OR($B16="",$H16="",$I16=""),"",IF(AND(BF$3+6&gt;=$H16,BF$3&lt;=$I16),1,""))</f>
        <v/>
      </c>
      <c r="BG16" s="32" t="str">
        <f aca="false">IF(OR($B16="",$H16="",$I16=""),"",IF(AND(BG$3+6&gt;=$H16,BG$3&lt;=$I16),1,""))</f>
        <v/>
      </c>
      <c r="BH16" s="32" t="str">
        <f aca="false">IF(OR($B16="",$H16="",$I16=""),"",IF(AND(BH$3+6&gt;=$H16,BH$3&lt;=$I16),1,""))</f>
        <v/>
      </c>
      <c r="BI16" s="32" t="str">
        <f aca="false">IF(OR($B16="",$H16="",$I16=""),"",IF(AND(BI$3+6&gt;=$H16,BI$3&lt;=$I16),1,""))</f>
        <v/>
      </c>
      <c r="BJ16" s="32" t="str">
        <f aca="false">IF(OR($B16="",$H16="",$I16=""),"",IF(AND(BJ$3+6&gt;=$H16,BJ$3&lt;=$I16),1,""))</f>
        <v/>
      </c>
      <c r="BK16" s="32" t="str">
        <f aca="false">IF(OR($B16="",$H16="",$I16=""),"",IF(AND(BK$3+6&gt;=$H16,BK$3&lt;=$I16),1,""))</f>
        <v/>
      </c>
      <c r="BM16" s="0" t="str">
        <f aca="false">IF($E16="",",,",","&amp;SUBSTITUTE($E16," ","")&amp;",")</f>
        <v>,,</v>
      </c>
    </row>
    <row r="17" customFormat="false" ht="21.75" hidden="false" customHeight="true" outlineLevel="0" collapsed="false">
      <c r="A17" s="26" t="str">
        <f aca="false">IF(B17="","",COUNTA($B$7:B17))</f>
        <v/>
      </c>
      <c r="B17" s="27"/>
      <c r="C17" s="28"/>
      <c r="D17" s="28"/>
      <c r="E17" s="27"/>
      <c r="F17" s="29"/>
      <c r="G17" s="28"/>
      <c r="H17" s="30"/>
      <c r="I17" s="30"/>
      <c r="J17" s="31"/>
      <c r="K17" s="27"/>
      <c r="L17" s="32" t="str">
        <f aca="false">IF(OR($B17="",$H17="",$I17=""),"",IF(AND(L$3+6&gt;=$H17,L$3&lt;=$I17),1,""))</f>
        <v/>
      </c>
      <c r="M17" s="32" t="str">
        <f aca="false">IF(OR($B17="",$H17="",$I17=""),"",IF(AND(M$3+6&gt;=$H17,M$3&lt;=$I17),1,""))</f>
        <v/>
      </c>
      <c r="N17" s="32" t="str">
        <f aca="false">IF(OR($B17="",$H17="",$I17=""),"",IF(AND(N$3+6&gt;=$H17,N$3&lt;=$I17),1,""))</f>
        <v/>
      </c>
      <c r="O17" s="32" t="str">
        <f aca="false">IF(OR($B17="",$H17="",$I17=""),"",IF(AND(O$3+6&gt;=$H17,O$3&lt;=$I17),1,""))</f>
        <v/>
      </c>
      <c r="P17" s="32" t="str">
        <f aca="false">IF(OR($B17="",$H17="",$I17=""),"",IF(AND(P$3+6&gt;=$H17,P$3&lt;=$I17),1,""))</f>
        <v/>
      </c>
      <c r="Q17" s="32" t="str">
        <f aca="false">IF(OR($B17="",$H17="",$I17=""),"",IF(AND(Q$3+6&gt;=$H17,Q$3&lt;=$I17),1,""))</f>
        <v/>
      </c>
      <c r="R17" s="32" t="str">
        <f aca="false">IF(OR($B17="",$H17="",$I17=""),"",IF(AND(R$3+6&gt;=$H17,R$3&lt;=$I17),1,""))</f>
        <v/>
      </c>
      <c r="S17" s="32" t="str">
        <f aca="false">IF(OR($B17="",$H17="",$I17=""),"",IF(AND(S$3+6&gt;=$H17,S$3&lt;=$I17),1,""))</f>
        <v/>
      </c>
      <c r="T17" s="32" t="str">
        <f aca="false">IF(OR($B17="",$H17="",$I17=""),"",IF(AND(T$3+6&gt;=$H17,T$3&lt;=$I17),1,""))</f>
        <v/>
      </c>
      <c r="U17" s="32" t="str">
        <f aca="false">IF(OR($B17="",$H17="",$I17=""),"",IF(AND(U$3+6&gt;=$H17,U$3&lt;=$I17),1,""))</f>
        <v/>
      </c>
      <c r="V17" s="32" t="str">
        <f aca="false">IF(OR($B17="",$H17="",$I17=""),"",IF(AND(V$3+6&gt;=$H17,V$3&lt;=$I17),1,""))</f>
        <v/>
      </c>
      <c r="W17" s="32" t="str">
        <f aca="false">IF(OR($B17="",$H17="",$I17=""),"",IF(AND(W$3+6&gt;=$H17,W$3&lt;=$I17),1,""))</f>
        <v/>
      </c>
      <c r="X17" s="32" t="str">
        <f aca="false">IF(OR($B17="",$H17="",$I17=""),"",IF(AND(X$3+6&gt;=$H17,X$3&lt;=$I17),1,""))</f>
        <v/>
      </c>
      <c r="Y17" s="32" t="str">
        <f aca="false">IF(OR($B17="",$H17="",$I17=""),"",IF(AND(Y$3+6&gt;=$H17,Y$3&lt;=$I17),1,""))</f>
        <v/>
      </c>
      <c r="Z17" s="32" t="str">
        <f aca="false">IF(OR($B17="",$H17="",$I17=""),"",IF(AND(Z$3+6&gt;=$H17,Z$3&lt;=$I17),1,""))</f>
        <v/>
      </c>
      <c r="AA17" s="32" t="str">
        <f aca="false">IF(OR($B17="",$H17="",$I17=""),"",IF(AND(AA$3+6&gt;=$H17,AA$3&lt;=$I17),1,""))</f>
        <v/>
      </c>
      <c r="AB17" s="32" t="str">
        <f aca="false">IF(OR($B17="",$H17="",$I17=""),"",IF(AND(AB$3+6&gt;=$H17,AB$3&lt;=$I17),1,""))</f>
        <v/>
      </c>
      <c r="AC17" s="32" t="str">
        <f aca="false">IF(OR($B17="",$H17="",$I17=""),"",IF(AND(AC$3+6&gt;=$H17,AC$3&lt;=$I17),1,""))</f>
        <v/>
      </c>
      <c r="AD17" s="32" t="str">
        <f aca="false">IF(OR($B17="",$H17="",$I17=""),"",IF(AND(AD$3+6&gt;=$H17,AD$3&lt;=$I17),1,""))</f>
        <v/>
      </c>
      <c r="AE17" s="32" t="str">
        <f aca="false">IF(OR($B17="",$H17="",$I17=""),"",IF(AND(AE$3+6&gt;=$H17,AE$3&lt;=$I17),1,""))</f>
        <v/>
      </c>
      <c r="AF17" s="32" t="str">
        <f aca="false">IF(OR($B17="",$H17="",$I17=""),"",IF(AND(AF$3+6&gt;=$H17,AF$3&lt;=$I17),1,""))</f>
        <v/>
      </c>
      <c r="AG17" s="32" t="str">
        <f aca="false">IF(OR($B17="",$H17="",$I17=""),"",IF(AND(AG$3+6&gt;=$H17,AG$3&lt;=$I17),1,""))</f>
        <v/>
      </c>
      <c r="AH17" s="32" t="str">
        <f aca="false">IF(OR($B17="",$H17="",$I17=""),"",IF(AND(AH$3+6&gt;=$H17,AH$3&lt;=$I17),1,""))</f>
        <v/>
      </c>
      <c r="AI17" s="32" t="str">
        <f aca="false">IF(OR($B17="",$H17="",$I17=""),"",IF(AND(AI$3+6&gt;=$H17,AI$3&lt;=$I17),1,""))</f>
        <v/>
      </c>
      <c r="AJ17" s="32" t="str">
        <f aca="false">IF(OR($B17="",$H17="",$I17=""),"",IF(AND(AJ$3+6&gt;=$H17,AJ$3&lt;=$I17),1,""))</f>
        <v/>
      </c>
      <c r="AK17" s="32" t="str">
        <f aca="false">IF(OR($B17="",$H17="",$I17=""),"",IF(AND(AK$3+6&gt;=$H17,AK$3&lt;=$I17),1,""))</f>
        <v/>
      </c>
      <c r="AL17" s="32" t="str">
        <f aca="false">IF(OR($B17="",$H17="",$I17=""),"",IF(AND(AL$3+6&gt;=$H17,AL$3&lt;=$I17),1,""))</f>
        <v/>
      </c>
      <c r="AM17" s="32" t="str">
        <f aca="false">IF(OR($B17="",$H17="",$I17=""),"",IF(AND(AM$3+6&gt;=$H17,AM$3&lt;=$I17),1,""))</f>
        <v/>
      </c>
      <c r="AN17" s="32" t="str">
        <f aca="false">IF(OR($B17="",$H17="",$I17=""),"",IF(AND(AN$3+6&gt;=$H17,AN$3&lt;=$I17),1,""))</f>
        <v/>
      </c>
      <c r="AO17" s="32" t="str">
        <f aca="false">IF(OR($B17="",$H17="",$I17=""),"",IF(AND(AO$3+6&gt;=$H17,AO$3&lt;=$I17),1,""))</f>
        <v/>
      </c>
      <c r="AP17" s="32" t="str">
        <f aca="false">IF(OR($B17="",$H17="",$I17=""),"",IF(AND(AP$3+6&gt;=$H17,AP$3&lt;=$I17),1,""))</f>
        <v/>
      </c>
      <c r="AQ17" s="32" t="str">
        <f aca="false">IF(OR($B17="",$H17="",$I17=""),"",IF(AND(AQ$3+6&gt;=$H17,AQ$3&lt;=$I17),1,""))</f>
        <v/>
      </c>
      <c r="AR17" s="32" t="str">
        <f aca="false">IF(OR($B17="",$H17="",$I17=""),"",IF(AND(AR$3+6&gt;=$H17,AR$3&lt;=$I17),1,""))</f>
        <v/>
      </c>
      <c r="AS17" s="32" t="str">
        <f aca="false">IF(OR($B17="",$H17="",$I17=""),"",IF(AND(AS$3+6&gt;=$H17,AS$3&lt;=$I17),1,""))</f>
        <v/>
      </c>
      <c r="AT17" s="32" t="str">
        <f aca="false">IF(OR($B17="",$H17="",$I17=""),"",IF(AND(AT$3+6&gt;=$H17,AT$3&lt;=$I17),1,""))</f>
        <v/>
      </c>
      <c r="AU17" s="32" t="str">
        <f aca="false">IF(OR($B17="",$H17="",$I17=""),"",IF(AND(AU$3+6&gt;=$H17,AU$3&lt;=$I17),1,""))</f>
        <v/>
      </c>
      <c r="AV17" s="32" t="str">
        <f aca="false">IF(OR($B17="",$H17="",$I17=""),"",IF(AND(AV$3+6&gt;=$H17,AV$3&lt;=$I17),1,""))</f>
        <v/>
      </c>
      <c r="AW17" s="32" t="str">
        <f aca="false">IF(OR($B17="",$H17="",$I17=""),"",IF(AND(AW$3+6&gt;=$H17,AW$3&lt;=$I17),1,""))</f>
        <v/>
      </c>
      <c r="AX17" s="32" t="str">
        <f aca="false">IF(OR($B17="",$H17="",$I17=""),"",IF(AND(AX$3+6&gt;=$H17,AX$3&lt;=$I17),1,""))</f>
        <v/>
      </c>
      <c r="AY17" s="32" t="str">
        <f aca="false">IF(OR($B17="",$H17="",$I17=""),"",IF(AND(AY$3+6&gt;=$H17,AY$3&lt;=$I17),1,""))</f>
        <v/>
      </c>
      <c r="AZ17" s="32" t="str">
        <f aca="false">IF(OR($B17="",$H17="",$I17=""),"",IF(AND(AZ$3+6&gt;=$H17,AZ$3&lt;=$I17),1,""))</f>
        <v/>
      </c>
      <c r="BA17" s="32" t="str">
        <f aca="false">IF(OR($B17="",$H17="",$I17=""),"",IF(AND(BA$3+6&gt;=$H17,BA$3&lt;=$I17),1,""))</f>
        <v/>
      </c>
      <c r="BB17" s="32" t="str">
        <f aca="false">IF(OR($B17="",$H17="",$I17=""),"",IF(AND(BB$3+6&gt;=$H17,BB$3&lt;=$I17),1,""))</f>
        <v/>
      </c>
      <c r="BC17" s="32" t="str">
        <f aca="false">IF(OR($B17="",$H17="",$I17=""),"",IF(AND(BC$3+6&gt;=$H17,BC$3&lt;=$I17),1,""))</f>
        <v/>
      </c>
      <c r="BD17" s="32" t="str">
        <f aca="false">IF(OR($B17="",$H17="",$I17=""),"",IF(AND(BD$3+6&gt;=$H17,BD$3&lt;=$I17),1,""))</f>
        <v/>
      </c>
      <c r="BE17" s="32" t="str">
        <f aca="false">IF(OR($B17="",$H17="",$I17=""),"",IF(AND(BE$3+6&gt;=$H17,BE$3&lt;=$I17),1,""))</f>
        <v/>
      </c>
      <c r="BF17" s="32" t="str">
        <f aca="false">IF(OR($B17="",$H17="",$I17=""),"",IF(AND(BF$3+6&gt;=$H17,BF$3&lt;=$I17),1,""))</f>
        <v/>
      </c>
      <c r="BG17" s="32" t="str">
        <f aca="false">IF(OR($B17="",$H17="",$I17=""),"",IF(AND(BG$3+6&gt;=$H17,BG$3&lt;=$I17),1,""))</f>
        <v/>
      </c>
      <c r="BH17" s="32" t="str">
        <f aca="false">IF(OR($B17="",$H17="",$I17=""),"",IF(AND(BH$3+6&gt;=$H17,BH$3&lt;=$I17),1,""))</f>
        <v/>
      </c>
      <c r="BI17" s="32" t="str">
        <f aca="false">IF(OR($B17="",$H17="",$I17=""),"",IF(AND(BI$3+6&gt;=$H17,BI$3&lt;=$I17),1,""))</f>
        <v/>
      </c>
      <c r="BJ17" s="32" t="str">
        <f aca="false">IF(OR($B17="",$H17="",$I17=""),"",IF(AND(BJ$3+6&gt;=$H17,BJ$3&lt;=$I17),1,""))</f>
        <v/>
      </c>
      <c r="BK17" s="32" t="str">
        <f aca="false">IF(OR($B17="",$H17="",$I17=""),"",IF(AND(BK$3+6&gt;=$H17,BK$3&lt;=$I17),1,""))</f>
        <v/>
      </c>
      <c r="BM17" s="0" t="str">
        <f aca="false">IF($E17="",",,",","&amp;SUBSTITUTE($E17," ","")&amp;",")</f>
        <v>,,</v>
      </c>
    </row>
    <row r="18" customFormat="false" ht="21.75" hidden="false" customHeight="true" outlineLevel="0" collapsed="false">
      <c r="A18" s="26" t="str">
        <f aca="false">IF(B18="","",COUNTA($B$7:B18))</f>
        <v/>
      </c>
      <c r="B18" s="27"/>
      <c r="C18" s="28"/>
      <c r="D18" s="28"/>
      <c r="E18" s="27"/>
      <c r="F18" s="29"/>
      <c r="G18" s="28"/>
      <c r="H18" s="30"/>
      <c r="I18" s="30"/>
      <c r="J18" s="31"/>
      <c r="K18" s="27"/>
      <c r="L18" s="32" t="str">
        <f aca="false">IF(OR($B18="",$H18="",$I18=""),"",IF(AND(L$3+6&gt;=$H18,L$3&lt;=$I18),1,""))</f>
        <v/>
      </c>
      <c r="M18" s="32" t="str">
        <f aca="false">IF(OR($B18="",$H18="",$I18=""),"",IF(AND(M$3+6&gt;=$H18,M$3&lt;=$I18),1,""))</f>
        <v/>
      </c>
      <c r="N18" s="32" t="str">
        <f aca="false">IF(OR($B18="",$H18="",$I18=""),"",IF(AND(N$3+6&gt;=$H18,N$3&lt;=$I18),1,""))</f>
        <v/>
      </c>
      <c r="O18" s="32" t="str">
        <f aca="false">IF(OR($B18="",$H18="",$I18=""),"",IF(AND(O$3+6&gt;=$H18,O$3&lt;=$I18),1,""))</f>
        <v/>
      </c>
      <c r="P18" s="32" t="str">
        <f aca="false">IF(OR($B18="",$H18="",$I18=""),"",IF(AND(P$3+6&gt;=$H18,P$3&lt;=$I18),1,""))</f>
        <v/>
      </c>
      <c r="Q18" s="32" t="str">
        <f aca="false">IF(OR($B18="",$H18="",$I18=""),"",IF(AND(Q$3+6&gt;=$H18,Q$3&lt;=$I18),1,""))</f>
        <v/>
      </c>
      <c r="R18" s="32" t="str">
        <f aca="false">IF(OR($B18="",$H18="",$I18=""),"",IF(AND(R$3+6&gt;=$H18,R$3&lt;=$I18),1,""))</f>
        <v/>
      </c>
      <c r="S18" s="32" t="str">
        <f aca="false">IF(OR($B18="",$H18="",$I18=""),"",IF(AND(S$3+6&gt;=$H18,S$3&lt;=$I18),1,""))</f>
        <v/>
      </c>
      <c r="T18" s="32" t="str">
        <f aca="false">IF(OR($B18="",$H18="",$I18=""),"",IF(AND(T$3+6&gt;=$H18,T$3&lt;=$I18),1,""))</f>
        <v/>
      </c>
      <c r="U18" s="32" t="str">
        <f aca="false">IF(OR($B18="",$H18="",$I18=""),"",IF(AND(U$3+6&gt;=$H18,U$3&lt;=$I18),1,""))</f>
        <v/>
      </c>
      <c r="V18" s="32" t="str">
        <f aca="false">IF(OR($B18="",$H18="",$I18=""),"",IF(AND(V$3+6&gt;=$H18,V$3&lt;=$I18),1,""))</f>
        <v/>
      </c>
      <c r="W18" s="32" t="str">
        <f aca="false">IF(OR($B18="",$H18="",$I18=""),"",IF(AND(W$3+6&gt;=$H18,W$3&lt;=$I18),1,""))</f>
        <v/>
      </c>
      <c r="X18" s="32" t="str">
        <f aca="false">IF(OR($B18="",$H18="",$I18=""),"",IF(AND(X$3+6&gt;=$H18,X$3&lt;=$I18),1,""))</f>
        <v/>
      </c>
      <c r="Y18" s="32" t="str">
        <f aca="false">IF(OR($B18="",$H18="",$I18=""),"",IF(AND(Y$3+6&gt;=$H18,Y$3&lt;=$I18),1,""))</f>
        <v/>
      </c>
      <c r="Z18" s="32" t="str">
        <f aca="false">IF(OR($B18="",$H18="",$I18=""),"",IF(AND(Z$3+6&gt;=$H18,Z$3&lt;=$I18),1,""))</f>
        <v/>
      </c>
      <c r="AA18" s="32" t="str">
        <f aca="false">IF(OR($B18="",$H18="",$I18=""),"",IF(AND(AA$3+6&gt;=$H18,AA$3&lt;=$I18),1,""))</f>
        <v/>
      </c>
      <c r="AB18" s="32" t="str">
        <f aca="false">IF(OR($B18="",$H18="",$I18=""),"",IF(AND(AB$3+6&gt;=$H18,AB$3&lt;=$I18),1,""))</f>
        <v/>
      </c>
      <c r="AC18" s="32" t="str">
        <f aca="false">IF(OR($B18="",$H18="",$I18=""),"",IF(AND(AC$3+6&gt;=$H18,AC$3&lt;=$I18),1,""))</f>
        <v/>
      </c>
      <c r="AD18" s="32" t="str">
        <f aca="false">IF(OR($B18="",$H18="",$I18=""),"",IF(AND(AD$3+6&gt;=$H18,AD$3&lt;=$I18),1,""))</f>
        <v/>
      </c>
      <c r="AE18" s="32" t="str">
        <f aca="false">IF(OR($B18="",$H18="",$I18=""),"",IF(AND(AE$3+6&gt;=$H18,AE$3&lt;=$I18),1,""))</f>
        <v/>
      </c>
      <c r="AF18" s="32" t="str">
        <f aca="false">IF(OR($B18="",$H18="",$I18=""),"",IF(AND(AF$3+6&gt;=$H18,AF$3&lt;=$I18),1,""))</f>
        <v/>
      </c>
      <c r="AG18" s="32" t="str">
        <f aca="false">IF(OR($B18="",$H18="",$I18=""),"",IF(AND(AG$3+6&gt;=$H18,AG$3&lt;=$I18),1,""))</f>
        <v/>
      </c>
      <c r="AH18" s="32" t="str">
        <f aca="false">IF(OR($B18="",$H18="",$I18=""),"",IF(AND(AH$3+6&gt;=$H18,AH$3&lt;=$I18),1,""))</f>
        <v/>
      </c>
      <c r="AI18" s="32" t="str">
        <f aca="false">IF(OR($B18="",$H18="",$I18=""),"",IF(AND(AI$3+6&gt;=$H18,AI$3&lt;=$I18),1,""))</f>
        <v/>
      </c>
      <c r="AJ18" s="32" t="str">
        <f aca="false">IF(OR($B18="",$H18="",$I18=""),"",IF(AND(AJ$3+6&gt;=$H18,AJ$3&lt;=$I18),1,""))</f>
        <v/>
      </c>
      <c r="AK18" s="32" t="str">
        <f aca="false">IF(OR($B18="",$H18="",$I18=""),"",IF(AND(AK$3+6&gt;=$H18,AK$3&lt;=$I18),1,""))</f>
        <v/>
      </c>
      <c r="AL18" s="32" t="str">
        <f aca="false">IF(OR($B18="",$H18="",$I18=""),"",IF(AND(AL$3+6&gt;=$H18,AL$3&lt;=$I18),1,""))</f>
        <v/>
      </c>
      <c r="AM18" s="32" t="str">
        <f aca="false">IF(OR($B18="",$H18="",$I18=""),"",IF(AND(AM$3+6&gt;=$H18,AM$3&lt;=$I18),1,""))</f>
        <v/>
      </c>
      <c r="AN18" s="32" t="str">
        <f aca="false">IF(OR($B18="",$H18="",$I18=""),"",IF(AND(AN$3+6&gt;=$H18,AN$3&lt;=$I18),1,""))</f>
        <v/>
      </c>
      <c r="AO18" s="32" t="str">
        <f aca="false">IF(OR($B18="",$H18="",$I18=""),"",IF(AND(AO$3+6&gt;=$H18,AO$3&lt;=$I18),1,""))</f>
        <v/>
      </c>
      <c r="AP18" s="32" t="str">
        <f aca="false">IF(OR($B18="",$H18="",$I18=""),"",IF(AND(AP$3+6&gt;=$H18,AP$3&lt;=$I18),1,""))</f>
        <v/>
      </c>
      <c r="AQ18" s="32" t="str">
        <f aca="false">IF(OR($B18="",$H18="",$I18=""),"",IF(AND(AQ$3+6&gt;=$H18,AQ$3&lt;=$I18),1,""))</f>
        <v/>
      </c>
      <c r="AR18" s="32" t="str">
        <f aca="false">IF(OR($B18="",$H18="",$I18=""),"",IF(AND(AR$3+6&gt;=$H18,AR$3&lt;=$I18),1,""))</f>
        <v/>
      </c>
      <c r="AS18" s="32" t="str">
        <f aca="false">IF(OR($B18="",$H18="",$I18=""),"",IF(AND(AS$3+6&gt;=$H18,AS$3&lt;=$I18),1,""))</f>
        <v/>
      </c>
      <c r="AT18" s="32" t="str">
        <f aca="false">IF(OR($B18="",$H18="",$I18=""),"",IF(AND(AT$3+6&gt;=$H18,AT$3&lt;=$I18),1,""))</f>
        <v/>
      </c>
      <c r="AU18" s="32" t="str">
        <f aca="false">IF(OR($B18="",$H18="",$I18=""),"",IF(AND(AU$3+6&gt;=$H18,AU$3&lt;=$I18),1,""))</f>
        <v/>
      </c>
      <c r="AV18" s="32" t="str">
        <f aca="false">IF(OR($B18="",$H18="",$I18=""),"",IF(AND(AV$3+6&gt;=$H18,AV$3&lt;=$I18),1,""))</f>
        <v/>
      </c>
      <c r="AW18" s="32" t="str">
        <f aca="false">IF(OR($B18="",$H18="",$I18=""),"",IF(AND(AW$3+6&gt;=$H18,AW$3&lt;=$I18),1,""))</f>
        <v/>
      </c>
      <c r="AX18" s="32" t="str">
        <f aca="false">IF(OR($B18="",$H18="",$I18=""),"",IF(AND(AX$3+6&gt;=$H18,AX$3&lt;=$I18),1,""))</f>
        <v/>
      </c>
      <c r="AY18" s="32" t="str">
        <f aca="false">IF(OR($B18="",$H18="",$I18=""),"",IF(AND(AY$3+6&gt;=$H18,AY$3&lt;=$I18),1,""))</f>
        <v/>
      </c>
      <c r="AZ18" s="32" t="str">
        <f aca="false">IF(OR($B18="",$H18="",$I18=""),"",IF(AND(AZ$3+6&gt;=$H18,AZ$3&lt;=$I18),1,""))</f>
        <v/>
      </c>
      <c r="BA18" s="32" t="str">
        <f aca="false">IF(OR($B18="",$H18="",$I18=""),"",IF(AND(BA$3+6&gt;=$H18,BA$3&lt;=$I18),1,""))</f>
        <v/>
      </c>
      <c r="BB18" s="32" t="str">
        <f aca="false">IF(OR($B18="",$H18="",$I18=""),"",IF(AND(BB$3+6&gt;=$H18,BB$3&lt;=$I18),1,""))</f>
        <v/>
      </c>
      <c r="BC18" s="32" t="str">
        <f aca="false">IF(OR($B18="",$H18="",$I18=""),"",IF(AND(BC$3+6&gt;=$H18,BC$3&lt;=$I18),1,""))</f>
        <v/>
      </c>
      <c r="BD18" s="32" t="str">
        <f aca="false">IF(OR($B18="",$H18="",$I18=""),"",IF(AND(BD$3+6&gt;=$H18,BD$3&lt;=$I18),1,""))</f>
        <v/>
      </c>
      <c r="BE18" s="32" t="str">
        <f aca="false">IF(OR($B18="",$H18="",$I18=""),"",IF(AND(BE$3+6&gt;=$H18,BE$3&lt;=$I18),1,""))</f>
        <v/>
      </c>
      <c r="BF18" s="32" t="str">
        <f aca="false">IF(OR($B18="",$H18="",$I18=""),"",IF(AND(BF$3+6&gt;=$H18,BF$3&lt;=$I18),1,""))</f>
        <v/>
      </c>
      <c r="BG18" s="32" t="str">
        <f aca="false">IF(OR($B18="",$H18="",$I18=""),"",IF(AND(BG$3+6&gt;=$H18,BG$3&lt;=$I18),1,""))</f>
        <v/>
      </c>
      <c r="BH18" s="32" t="str">
        <f aca="false">IF(OR($B18="",$H18="",$I18=""),"",IF(AND(BH$3+6&gt;=$H18,BH$3&lt;=$I18),1,""))</f>
        <v/>
      </c>
      <c r="BI18" s="32" t="str">
        <f aca="false">IF(OR($B18="",$H18="",$I18=""),"",IF(AND(BI$3+6&gt;=$H18,BI$3&lt;=$I18),1,""))</f>
        <v/>
      </c>
      <c r="BJ18" s="32" t="str">
        <f aca="false">IF(OR($B18="",$H18="",$I18=""),"",IF(AND(BJ$3+6&gt;=$H18,BJ$3&lt;=$I18),1,""))</f>
        <v/>
      </c>
      <c r="BK18" s="32" t="str">
        <f aca="false">IF(OR($B18="",$H18="",$I18=""),"",IF(AND(BK$3+6&gt;=$H18,BK$3&lt;=$I18),1,""))</f>
        <v/>
      </c>
      <c r="BM18" s="0" t="str">
        <f aca="false">IF($E18="",",,",","&amp;SUBSTITUTE($E18," ","")&amp;",")</f>
        <v>,,</v>
      </c>
    </row>
    <row r="19" customFormat="false" ht="21.75" hidden="false" customHeight="true" outlineLevel="0" collapsed="false">
      <c r="A19" s="26" t="str">
        <f aca="false">IF(B19="","",COUNTA($B$7:B19))</f>
        <v/>
      </c>
      <c r="B19" s="27"/>
      <c r="C19" s="28"/>
      <c r="D19" s="28"/>
      <c r="E19" s="27"/>
      <c r="F19" s="29"/>
      <c r="G19" s="28"/>
      <c r="H19" s="30"/>
      <c r="I19" s="30"/>
      <c r="J19" s="31"/>
      <c r="K19" s="27"/>
      <c r="L19" s="32" t="str">
        <f aca="false">IF(OR($B19="",$H19="",$I19=""),"",IF(AND(L$3+6&gt;=$H19,L$3&lt;=$I19),1,""))</f>
        <v/>
      </c>
      <c r="M19" s="32" t="str">
        <f aca="false">IF(OR($B19="",$H19="",$I19=""),"",IF(AND(M$3+6&gt;=$H19,M$3&lt;=$I19),1,""))</f>
        <v/>
      </c>
      <c r="N19" s="32" t="str">
        <f aca="false">IF(OR($B19="",$H19="",$I19=""),"",IF(AND(N$3+6&gt;=$H19,N$3&lt;=$I19),1,""))</f>
        <v/>
      </c>
      <c r="O19" s="32" t="str">
        <f aca="false">IF(OR($B19="",$H19="",$I19=""),"",IF(AND(O$3+6&gt;=$H19,O$3&lt;=$I19),1,""))</f>
        <v/>
      </c>
      <c r="P19" s="32" t="str">
        <f aca="false">IF(OR($B19="",$H19="",$I19=""),"",IF(AND(P$3+6&gt;=$H19,P$3&lt;=$I19),1,""))</f>
        <v/>
      </c>
      <c r="Q19" s="32" t="str">
        <f aca="false">IF(OR($B19="",$H19="",$I19=""),"",IF(AND(Q$3+6&gt;=$H19,Q$3&lt;=$I19),1,""))</f>
        <v/>
      </c>
      <c r="R19" s="32" t="str">
        <f aca="false">IF(OR($B19="",$H19="",$I19=""),"",IF(AND(R$3+6&gt;=$H19,R$3&lt;=$I19),1,""))</f>
        <v/>
      </c>
      <c r="S19" s="32" t="str">
        <f aca="false">IF(OR($B19="",$H19="",$I19=""),"",IF(AND(S$3+6&gt;=$H19,S$3&lt;=$I19),1,""))</f>
        <v/>
      </c>
      <c r="T19" s="32" t="str">
        <f aca="false">IF(OR($B19="",$H19="",$I19=""),"",IF(AND(T$3+6&gt;=$H19,T$3&lt;=$I19),1,""))</f>
        <v/>
      </c>
      <c r="U19" s="32" t="str">
        <f aca="false">IF(OR($B19="",$H19="",$I19=""),"",IF(AND(U$3+6&gt;=$H19,U$3&lt;=$I19),1,""))</f>
        <v/>
      </c>
      <c r="V19" s="32" t="str">
        <f aca="false">IF(OR($B19="",$H19="",$I19=""),"",IF(AND(V$3+6&gt;=$H19,V$3&lt;=$I19),1,""))</f>
        <v/>
      </c>
      <c r="W19" s="32" t="str">
        <f aca="false">IF(OR($B19="",$H19="",$I19=""),"",IF(AND(W$3+6&gt;=$H19,W$3&lt;=$I19),1,""))</f>
        <v/>
      </c>
      <c r="X19" s="32" t="str">
        <f aca="false">IF(OR($B19="",$H19="",$I19=""),"",IF(AND(X$3+6&gt;=$H19,X$3&lt;=$I19),1,""))</f>
        <v/>
      </c>
      <c r="Y19" s="32" t="str">
        <f aca="false">IF(OR($B19="",$H19="",$I19=""),"",IF(AND(Y$3+6&gt;=$H19,Y$3&lt;=$I19),1,""))</f>
        <v/>
      </c>
      <c r="Z19" s="32" t="str">
        <f aca="false">IF(OR($B19="",$H19="",$I19=""),"",IF(AND(Z$3+6&gt;=$H19,Z$3&lt;=$I19),1,""))</f>
        <v/>
      </c>
      <c r="AA19" s="32" t="str">
        <f aca="false">IF(OR($B19="",$H19="",$I19=""),"",IF(AND(AA$3+6&gt;=$H19,AA$3&lt;=$I19),1,""))</f>
        <v/>
      </c>
      <c r="AB19" s="32" t="str">
        <f aca="false">IF(OR($B19="",$H19="",$I19=""),"",IF(AND(AB$3+6&gt;=$H19,AB$3&lt;=$I19),1,""))</f>
        <v/>
      </c>
      <c r="AC19" s="32" t="str">
        <f aca="false">IF(OR($B19="",$H19="",$I19=""),"",IF(AND(AC$3+6&gt;=$H19,AC$3&lt;=$I19),1,""))</f>
        <v/>
      </c>
      <c r="AD19" s="32" t="str">
        <f aca="false">IF(OR($B19="",$H19="",$I19=""),"",IF(AND(AD$3+6&gt;=$H19,AD$3&lt;=$I19),1,""))</f>
        <v/>
      </c>
      <c r="AE19" s="32" t="str">
        <f aca="false">IF(OR($B19="",$H19="",$I19=""),"",IF(AND(AE$3+6&gt;=$H19,AE$3&lt;=$I19),1,""))</f>
        <v/>
      </c>
      <c r="AF19" s="32" t="str">
        <f aca="false">IF(OR($B19="",$H19="",$I19=""),"",IF(AND(AF$3+6&gt;=$H19,AF$3&lt;=$I19),1,""))</f>
        <v/>
      </c>
      <c r="AG19" s="32" t="str">
        <f aca="false">IF(OR($B19="",$H19="",$I19=""),"",IF(AND(AG$3+6&gt;=$H19,AG$3&lt;=$I19),1,""))</f>
        <v/>
      </c>
      <c r="AH19" s="32" t="str">
        <f aca="false">IF(OR($B19="",$H19="",$I19=""),"",IF(AND(AH$3+6&gt;=$H19,AH$3&lt;=$I19),1,""))</f>
        <v/>
      </c>
      <c r="AI19" s="32" t="str">
        <f aca="false">IF(OR($B19="",$H19="",$I19=""),"",IF(AND(AI$3+6&gt;=$H19,AI$3&lt;=$I19),1,""))</f>
        <v/>
      </c>
      <c r="AJ19" s="32" t="str">
        <f aca="false">IF(OR($B19="",$H19="",$I19=""),"",IF(AND(AJ$3+6&gt;=$H19,AJ$3&lt;=$I19),1,""))</f>
        <v/>
      </c>
      <c r="AK19" s="32" t="str">
        <f aca="false">IF(OR($B19="",$H19="",$I19=""),"",IF(AND(AK$3+6&gt;=$H19,AK$3&lt;=$I19),1,""))</f>
        <v/>
      </c>
      <c r="AL19" s="32" t="str">
        <f aca="false">IF(OR($B19="",$H19="",$I19=""),"",IF(AND(AL$3+6&gt;=$H19,AL$3&lt;=$I19),1,""))</f>
        <v/>
      </c>
      <c r="AM19" s="32" t="str">
        <f aca="false">IF(OR($B19="",$H19="",$I19=""),"",IF(AND(AM$3+6&gt;=$H19,AM$3&lt;=$I19),1,""))</f>
        <v/>
      </c>
      <c r="AN19" s="32" t="str">
        <f aca="false">IF(OR($B19="",$H19="",$I19=""),"",IF(AND(AN$3+6&gt;=$H19,AN$3&lt;=$I19),1,""))</f>
        <v/>
      </c>
      <c r="AO19" s="32" t="str">
        <f aca="false">IF(OR($B19="",$H19="",$I19=""),"",IF(AND(AO$3+6&gt;=$H19,AO$3&lt;=$I19),1,""))</f>
        <v/>
      </c>
      <c r="AP19" s="32" t="str">
        <f aca="false">IF(OR($B19="",$H19="",$I19=""),"",IF(AND(AP$3+6&gt;=$H19,AP$3&lt;=$I19),1,""))</f>
        <v/>
      </c>
      <c r="AQ19" s="32" t="str">
        <f aca="false">IF(OR($B19="",$H19="",$I19=""),"",IF(AND(AQ$3+6&gt;=$H19,AQ$3&lt;=$I19),1,""))</f>
        <v/>
      </c>
      <c r="AR19" s="32" t="str">
        <f aca="false">IF(OR($B19="",$H19="",$I19=""),"",IF(AND(AR$3+6&gt;=$H19,AR$3&lt;=$I19),1,""))</f>
        <v/>
      </c>
      <c r="AS19" s="32" t="str">
        <f aca="false">IF(OR($B19="",$H19="",$I19=""),"",IF(AND(AS$3+6&gt;=$H19,AS$3&lt;=$I19),1,""))</f>
        <v/>
      </c>
      <c r="AT19" s="32" t="str">
        <f aca="false">IF(OR($B19="",$H19="",$I19=""),"",IF(AND(AT$3+6&gt;=$H19,AT$3&lt;=$I19),1,""))</f>
        <v/>
      </c>
      <c r="AU19" s="32" t="str">
        <f aca="false">IF(OR($B19="",$H19="",$I19=""),"",IF(AND(AU$3+6&gt;=$H19,AU$3&lt;=$I19),1,""))</f>
        <v/>
      </c>
      <c r="AV19" s="32" t="str">
        <f aca="false">IF(OR($B19="",$H19="",$I19=""),"",IF(AND(AV$3+6&gt;=$H19,AV$3&lt;=$I19),1,""))</f>
        <v/>
      </c>
      <c r="AW19" s="32" t="str">
        <f aca="false">IF(OR($B19="",$H19="",$I19=""),"",IF(AND(AW$3+6&gt;=$H19,AW$3&lt;=$I19),1,""))</f>
        <v/>
      </c>
      <c r="AX19" s="32" t="str">
        <f aca="false">IF(OR($B19="",$H19="",$I19=""),"",IF(AND(AX$3+6&gt;=$H19,AX$3&lt;=$I19),1,""))</f>
        <v/>
      </c>
      <c r="AY19" s="32" t="str">
        <f aca="false">IF(OR($B19="",$H19="",$I19=""),"",IF(AND(AY$3+6&gt;=$H19,AY$3&lt;=$I19),1,""))</f>
        <v/>
      </c>
      <c r="AZ19" s="32" t="str">
        <f aca="false">IF(OR($B19="",$H19="",$I19=""),"",IF(AND(AZ$3+6&gt;=$H19,AZ$3&lt;=$I19),1,""))</f>
        <v/>
      </c>
      <c r="BA19" s="32" t="str">
        <f aca="false">IF(OR($B19="",$H19="",$I19=""),"",IF(AND(BA$3+6&gt;=$H19,BA$3&lt;=$I19),1,""))</f>
        <v/>
      </c>
      <c r="BB19" s="32" t="str">
        <f aca="false">IF(OR($B19="",$H19="",$I19=""),"",IF(AND(BB$3+6&gt;=$H19,BB$3&lt;=$I19),1,""))</f>
        <v/>
      </c>
      <c r="BC19" s="32" t="str">
        <f aca="false">IF(OR($B19="",$H19="",$I19=""),"",IF(AND(BC$3+6&gt;=$H19,BC$3&lt;=$I19),1,""))</f>
        <v/>
      </c>
      <c r="BD19" s="32" t="str">
        <f aca="false">IF(OR($B19="",$H19="",$I19=""),"",IF(AND(BD$3+6&gt;=$H19,BD$3&lt;=$I19),1,""))</f>
        <v/>
      </c>
      <c r="BE19" s="32" t="str">
        <f aca="false">IF(OR($B19="",$H19="",$I19=""),"",IF(AND(BE$3+6&gt;=$H19,BE$3&lt;=$I19),1,""))</f>
        <v/>
      </c>
      <c r="BF19" s="32" t="str">
        <f aca="false">IF(OR($B19="",$H19="",$I19=""),"",IF(AND(BF$3+6&gt;=$H19,BF$3&lt;=$I19),1,""))</f>
        <v/>
      </c>
      <c r="BG19" s="32" t="str">
        <f aca="false">IF(OR($B19="",$H19="",$I19=""),"",IF(AND(BG$3+6&gt;=$H19,BG$3&lt;=$I19),1,""))</f>
        <v/>
      </c>
      <c r="BH19" s="32" t="str">
        <f aca="false">IF(OR($B19="",$H19="",$I19=""),"",IF(AND(BH$3+6&gt;=$H19,BH$3&lt;=$I19),1,""))</f>
        <v/>
      </c>
      <c r="BI19" s="32" t="str">
        <f aca="false">IF(OR($B19="",$H19="",$I19=""),"",IF(AND(BI$3+6&gt;=$H19,BI$3&lt;=$I19),1,""))</f>
        <v/>
      </c>
      <c r="BJ19" s="32" t="str">
        <f aca="false">IF(OR($B19="",$H19="",$I19=""),"",IF(AND(BJ$3+6&gt;=$H19,BJ$3&lt;=$I19),1,""))</f>
        <v/>
      </c>
      <c r="BK19" s="32" t="str">
        <f aca="false">IF(OR($B19="",$H19="",$I19=""),"",IF(AND(BK$3+6&gt;=$H19,BK$3&lt;=$I19),1,""))</f>
        <v/>
      </c>
      <c r="BM19" s="0" t="str">
        <f aca="false">IF($E19="",",,",","&amp;SUBSTITUTE($E19," ","")&amp;",")</f>
        <v>,,</v>
      </c>
    </row>
    <row r="20" customFormat="false" ht="21.75" hidden="false" customHeight="true" outlineLevel="0" collapsed="false">
      <c r="A20" s="26" t="str">
        <f aca="false">IF(B20="","",COUNTA($B$7:B20))</f>
        <v/>
      </c>
      <c r="B20" s="27"/>
      <c r="C20" s="28"/>
      <c r="D20" s="28"/>
      <c r="E20" s="27"/>
      <c r="F20" s="29"/>
      <c r="G20" s="28"/>
      <c r="H20" s="30"/>
      <c r="I20" s="30"/>
      <c r="J20" s="31"/>
      <c r="K20" s="27"/>
      <c r="L20" s="32" t="str">
        <f aca="false">IF(OR($B20="",$H20="",$I20=""),"",IF(AND(L$3+6&gt;=$H20,L$3&lt;=$I20),1,""))</f>
        <v/>
      </c>
      <c r="M20" s="32" t="str">
        <f aca="false">IF(OR($B20="",$H20="",$I20=""),"",IF(AND(M$3+6&gt;=$H20,M$3&lt;=$I20),1,""))</f>
        <v/>
      </c>
      <c r="N20" s="32" t="str">
        <f aca="false">IF(OR($B20="",$H20="",$I20=""),"",IF(AND(N$3+6&gt;=$H20,N$3&lt;=$I20),1,""))</f>
        <v/>
      </c>
      <c r="O20" s="32" t="str">
        <f aca="false">IF(OR($B20="",$H20="",$I20=""),"",IF(AND(O$3+6&gt;=$H20,O$3&lt;=$I20),1,""))</f>
        <v/>
      </c>
      <c r="P20" s="32" t="str">
        <f aca="false">IF(OR($B20="",$H20="",$I20=""),"",IF(AND(P$3+6&gt;=$H20,P$3&lt;=$I20),1,""))</f>
        <v/>
      </c>
      <c r="Q20" s="32" t="str">
        <f aca="false">IF(OR($B20="",$H20="",$I20=""),"",IF(AND(Q$3+6&gt;=$H20,Q$3&lt;=$I20),1,""))</f>
        <v/>
      </c>
      <c r="R20" s="32" t="str">
        <f aca="false">IF(OR($B20="",$H20="",$I20=""),"",IF(AND(R$3+6&gt;=$H20,R$3&lt;=$I20),1,""))</f>
        <v/>
      </c>
      <c r="S20" s="32" t="str">
        <f aca="false">IF(OR($B20="",$H20="",$I20=""),"",IF(AND(S$3+6&gt;=$H20,S$3&lt;=$I20),1,""))</f>
        <v/>
      </c>
      <c r="T20" s="32" t="str">
        <f aca="false">IF(OR($B20="",$H20="",$I20=""),"",IF(AND(T$3+6&gt;=$H20,T$3&lt;=$I20),1,""))</f>
        <v/>
      </c>
      <c r="U20" s="32" t="str">
        <f aca="false">IF(OR($B20="",$H20="",$I20=""),"",IF(AND(U$3+6&gt;=$H20,U$3&lt;=$I20),1,""))</f>
        <v/>
      </c>
      <c r="V20" s="32" t="str">
        <f aca="false">IF(OR($B20="",$H20="",$I20=""),"",IF(AND(V$3+6&gt;=$H20,V$3&lt;=$I20),1,""))</f>
        <v/>
      </c>
      <c r="W20" s="32" t="str">
        <f aca="false">IF(OR($B20="",$H20="",$I20=""),"",IF(AND(W$3+6&gt;=$H20,W$3&lt;=$I20),1,""))</f>
        <v/>
      </c>
      <c r="X20" s="32" t="str">
        <f aca="false">IF(OR($B20="",$H20="",$I20=""),"",IF(AND(X$3+6&gt;=$H20,X$3&lt;=$I20),1,""))</f>
        <v/>
      </c>
      <c r="Y20" s="32" t="str">
        <f aca="false">IF(OR($B20="",$H20="",$I20=""),"",IF(AND(Y$3+6&gt;=$H20,Y$3&lt;=$I20),1,""))</f>
        <v/>
      </c>
      <c r="Z20" s="32" t="str">
        <f aca="false">IF(OR($B20="",$H20="",$I20=""),"",IF(AND(Z$3+6&gt;=$H20,Z$3&lt;=$I20),1,""))</f>
        <v/>
      </c>
      <c r="AA20" s="32" t="str">
        <f aca="false">IF(OR($B20="",$H20="",$I20=""),"",IF(AND(AA$3+6&gt;=$H20,AA$3&lt;=$I20),1,""))</f>
        <v/>
      </c>
      <c r="AB20" s="32" t="str">
        <f aca="false">IF(OR($B20="",$H20="",$I20=""),"",IF(AND(AB$3+6&gt;=$H20,AB$3&lt;=$I20),1,""))</f>
        <v/>
      </c>
      <c r="AC20" s="32" t="str">
        <f aca="false">IF(OR($B20="",$H20="",$I20=""),"",IF(AND(AC$3+6&gt;=$H20,AC$3&lt;=$I20),1,""))</f>
        <v/>
      </c>
      <c r="AD20" s="32" t="str">
        <f aca="false">IF(OR($B20="",$H20="",$I20=""),"",IF(AND(AD$3+6&gt;=$H20,AD$3&lt;=$I20),1,""))</f>
        <v/>
      </c>
      <c r="AE20" s="32" t="str">
        <f aca="false">IF(OR($B20="",$H20="",$I20=""),"",IF(AND(AE$3+6&gt;=$H20,AE$3&lt;=$I20),1,""))</f>
        <v/>
      </c>
      <c r="AF20" s="32" t="str">
        <f aca="false">IF(OR($B20="",$H20="",$I20=""),"",IF(AND(AF$3+6&gt;=$H20,AF$3&lt;=$I20),1,""))</f>
        <v/>
      </c>
      <c r="AG20" s="32" t="str">
        <f aca="false">IF(OR($B20="",$H20="",$I20=""),"",IF(AND(AG$3+6&gt;=$H20,AG$3&lt;=$I20),1,""))</f>
        <v/>
      </c>
      <c r="AH20" s="32" t="str">
        <f aca="false">IF(OR($B20="",$H20="",$I20=""),"",IF(AND(AH$3+6&gt;=$H20,AH$3&lt;=$I20),1,""))</f>
        <v/>
      </c>
      <c r="AI20" s="32" t="str">
        <f aca="false">IF(OR($B20="",$H20="",$I20=""),"",IF(AND(AI$3+6&gt;=$H20,AI$3&lt;=$I20),1,""))</f>
        <v/>
      </c>
      <c r="AJ20" s="32" t="str">
        <f aca="false">IF(OR($B20="",$H20="",$I20=""),"",IF(AND(AJ$3+6&gt;=$H20,AJ$3&lt;=$I20),1,""))</f>
        <v/>
      </c>
      <c r="AK20" s="32" t="str">
        <f aca="false">IF(OR($B20="",$H20="",$I20=""),"",IF(AND(AK$3+6&gt;=$H20,AK$3&lt;=$I20),1,""))</f>
        <v/>
      </c>
      <c r="AL20" s="32" t="str">
        <f aca="false">IF(OR($B20="",$H20="",$I20=""),"",IF(AND(AL$3+6&gt;=$H20,AL$3&lt;=$I20),1,""))</f>
        <v/>
      </c>
      <c r="AM20" s="32" t="str">
        <f aca="false">IF(OR($B20="",$H20="",$I20=""),"",IF(AND(AM$3+6&gt;=$H20,AM$3&lt;=$I20),1,""))</f>
        <v/>
      </c>
      <c r="AN20" s="32" t="str">
        <f aca="false">IF(OR($B20="",$H20="",$I20=""),"",IF(AND(AN$3+6&gt;=$H20,AN$3&lt;=$I20),1,""))</f>
        <v/>
      </c>
      <c r="AO20" s="32" t="str">
        <f aca="false">IF(OR($B20="",$H20="",$I20=""),"",IF(AND(AO$3+6&gt;=$H20,AO$3&lt;=$I20),1,""))</f>
        <v/>
      </c>
      <c r="AP20" s="32" t="str">
        <f aca="false">IF(OR($B20="",$H20="",$I20=""),"",IF(AND(AP$3+6&gt;=$H20,AP$3&lt;=$I20),1,""))</f>
        <v/>
      </c>
      <c r="AQ20" s="32" t="str">
        <f aca="false">IF(OR($B20="",$H20="",$I20=""),"",IF(AND(AQ$3+6&gt;=$H20,AQ$3&lt;=$I20),1,""))</f>
        <v/>
      </c>
      <c r="AR20" s="32" t="str">
        <f aca="false">IF(OR($B20="",$H20="",$I20=""),"",IF(AND(AR$3+6&gt;=$H20,AR$3&lt;=$I20),1,""))</f>
        <v/>
      </c>
      <c r="AS20" s="32" t="str">
        <f aca="false">IF(OR($B20="",$H20="",$I20=""),"",IF(AND(AS$3+6&gt;=$H20,AS$3&lt;=$I20),1,""))</f>
        <v/>
      </c>
      <c r="AT20" s="32" t="str">
        <f aca="false">IF(OR($B20="",$H20="",$I20=""),"",IF(AND(AT$3+6&gt;=$H20,AT$3&lt;=$I20),1,""))</f>
        <v/>
      </c>
      <c r="AU20" s="32" t="str">
        <f aca="false">IF(OR($B20="",$H20="",$I20=""),"",IF(AND(AU$3+6&gt;=$H20,AU$3&lt;=$I20),1,""))</f>
        <v/>
      </c>
      <c r="AV20" s="32" t="str">
        <f aca="false">IF(OR($B20="",$H20="",$I20=""),"",IF(AND(AV$3+6&gt;=$H20,AV$3&lt;=$I20),1,""))</f>
        <v/>
      </c>
      <c r="AW20" s="32" t="str">
        <f aca="false">IF(OR($B20="",$H20="",$I20=""),"",IF(AND(AW$3+6&gt;=$H20,AW$3&lt;=$I20),1,""))</f>
        <v/>
      </c>
      <c r="AX20" s="32" t="str">
        <f aca="false">IF(OR($B20="",$H20="",$I20=""),"",IF(AND(AX$3+6&gt;=$H20,AX$3&lt;=$I20),1,""))</f>
        <v/>
      </c>
      <c r="AY20" s="32" t="str">
        <f aca="false">IF(OR($B20="",$H20="",$I20=""),"",IF(AND(AY$3+6&gt;=$H20,AY$3&lt;=$I20),1,""))</f>
        <v/>
      </c>
      <c r="AZ20" s="32" t="str">
        <f aca="false">IF(OR($B20="",$H20="",$I20=""),"",IF(AND(AZ$3+6&gt;=$H20,AZ$3&lt;=$I20),1,""))</f>
        <v/>
      </c>
      <c r="BA20" s="32" t="str">
        <f aca="false">IF(OR($B20="",$H20="",$I20=""),"",IF(AND(BA$3+6&gt;=$H20,BA$3&lt;=$I20),1,""))</f>
        <v/>
      </c>
      <c r="BB20" s="32" t="str">
        <f aca="false">IF(OR($B20="",$H20="",$I20=""),"",IF(AND(BB$3+6&gt;=$H20,BB$3&lt;=$I20),1,""))</f>
        <v/>
      </c>
      <c r="BC20" s="32" t="str">
        <f aca="false">IF(OR($B20="",$H20="",$I20=""),"",IF(AND(BC$3+6&gt;=$H20,BC$3&lt;=$I20),1,""))</f>
        <v/>
      </c>
      <c r="BD20" s="32" t="str">
        <f aca="false">IF(OR($B20="",$H20="",$I20=""),"",IF(AND(BD$3+6&gt;=$H20,BD$3&lt;=$I20),1,""))</f>
        <v/>
      </c>
      <c r="BE20" s="32" t="str">
        <f aca="false">IF(OR($B20="",$H20="",$I20=""),"",IF(AND(BE$3+6&gt;=$H20,BE$3&lt;=$I20),1,""))</f>
        <v/>
      </c>
      <c r="BF20" s="32" t="str">
        <f aca="false">IF(OR($B20="",$H20="",$I20=""),"",IF(AND(BF$3+6&gt;=$H20,BF$3&lt;=$I20),1,""))</f>
        <v/>
      </c>
      <c r="BG20" s="32" t="str">
        <f aca="false">IF(OR($B20="",$H20="",$I20=""),"",IF(AND(BG$3+6&gt;=$H20,BG$3&lt;=$I20),1,""))</f>
        <v/>
      </c>
      <c r="BH20" s="32" t="str">
        <f aca="false">IF(OR($B20="",$H20="",$I20=""),"",IF(AND(BH$3+6&gt;=$H20,BH$3&lt;=$I20),1,""))</f>
        <v/>
      </c>
      <c r="BI20" s="32" t="str">
        <f aca="false">IF(OR($B20="",$H20="",$I20=""),"",IF(AND(BI$3+6&gt;=$H20,BI$3&lt;=$I20),1,""))</f>
        <v/>
      </c>
      <c r="BJ20" s="32" t="str">
        <f aca="false">IF(OR($B20="",$H20="",$I20=""),"",IF(AND(BJ$3+6&gt;=$H20,BJ$3&lt;=$I20),1,""))</f>
        <v/>
      </c>
      <c r="BK20" s="32" t="str">
        <f aca="false">IF(OR($B20="",$H20="",$I20=""),"",IF(AND(BK$3+6&gt;=$H20,BK$3&lt;=$I20),1,""))</f>
        <v/>
      </c>
      <c r="BM20" s="0" t="str">
        <f aca="false">IF($E20="",",,",","&amp;SUBSTITUTE($E20," ","")&amp;",")</f>
        <v>,,</v>
      </c>
    </row>
    <row r="21" customFormat="false" ht="21.75" hidden="false" customHeight="true" outlineLevel="0" collapsed="false">
      <c r="A21" s="26" t="str">
        <f aca="false">IF(B21="","",COUNTA($B$7:B21))</f>
        <v/>
      </c>
      <c r="B21" s="27"/>
      <c r="C21" s="28"/>
      <c r="D21" s="28"/>
      <c r="E21" s="27"/>
      <c r="F21" s="29"/>
      <c r="G21" s="28"/>
      <c r="H21" s="30"/>
      <c r="I21" s="30"/>
      <c r="J21" s="31"/>
      <c r="K21" s="27"/>
      <c r="L21" s="32" t="str">
        <f aca="false">IF(OR($B21="",$H21="",$I21=""),"",IF(AND(L$3+6&gt;=$H21,L$3&lt;=$I21),1,""))</f>
        <v/>
      </c>
      <c r="M21" s="32" t="str">
        <f aca="false">IF(OR($B21="",$H21="",$I21=""),"",IF(AND(M$3+6&gt;=$H21,M$3&lt;=$I21),1,""))</f>
        <v/>
      </c>
      <c r="N21" s="32" t="str">
        <f aca="false">IF(OR($B21="",$H21="",$I21=""),"",IF(AND(N$3+6&gt;=$H21,N$3&lt;=$I21),1,""))</f>
        <v/>
      </c>
      <c r="O21" s="32" t="str">
        <f aca="false">IF(OR($B21="",$H21="",$I21=""),"",IF(AND(O$3+6&gt;=$H21,O$3&lt;=$I21),1,""))</f>
        <v/>
      </c>
      <c r="P21" s="32" t="str">
        <f aca="false">IF(OR($B21="",$H21="",$I21=""),"",IF(AND(P$3+6&gt;=$H21,P$3&lt;=$I21),1,""))</f>
        <v/>
      </c>
      <c r="Q21" s="32" t="str">
        <f aca="false">IF(OR($B21="",$H21="",$I21=""),"",IF(AND(Q$3+6&gt;=$H21,Q$3&lt;=$I21),1,""))</f>
        <v/>
      </c>
      <c r="R21" s="32" t="str">
        <f aca="false">IF(OR($B21="",$H21="",$I21=""),"",IF(AND(R$3+6&gt;=$H21,R$3&lt;=$I21),1,""))</f>
        <v/>
      </c>
      <c r="S21" s="32" t="str">
        <f aca="false">IF(OR($B21="",$H21="",$I21=""),"",IF(AND(S$3+6&gt;=$H21,S$3&lt;=$I21),1,""))</f>
        <v/>
      </c>
      <c r="T21" s="32" t="str">
        <f aca="false">IF(OR($B21="",$H21="",$I21=""),"",IF(AND(T$3+6&gt;=$H21,T$3&lt;=$I21),1,""))</f>
        <v/>
      </c>
      <c r="U21" s="32" t="str">
        <f aca="false">IF(OR($B21="",$H21="",$I21=""),"",IF(AND(U$3+6&gt;=$H21,U$3&lt;=$I21),1,""))</f>
        <v/>
      </c>
      <c r="V21" s="32" t="str">
        <f aca="false">IF(OR($B21="",$H21="",$I21=""),"",IF(AND(V$3+6&gt;=$H21,V$3&lt;=$I21),1,""))</f>
        <v/>
      </c>
      <c r="W21" s="32" t="str">
        <f aca="false">IF(OR($B21="",$H21="",$I21=""),"",IF(AND(W$3+6&gt;=$H21,W$3&lt;=$I21),1,""))</f>
        <v/>
      </c>
      <c r="X21" s="32" t="str">
        <f aca="false">IF(OR($B21="",$H21="",$I21=""),"",IF(AND(X$3+6&gt;=$H21,X$3&lt;=$I21),1,""))</f>
        <v/>
      </c>
      <c r="Y21" s="32" t="str">
        <f aca="false">IF(OR($B21="",$H21="",$I21=""),"",IF(AND(Y$3+6&gt;=$H21,Y$3&lt;=$I21),1,""))</f>
        <v/>
      </c>
      <c r="Z21" s="32" t="str">
        <f aca="false">IF(OR($B21="",$H21="",$I21=""),"",IF(AND(Z$3+6&gt;=$H21,Z$3&lt;=$I21),1,""))</f>
        <v/>
      </c>
      <c r="AA21" s="32" t="str">
        <f aca="false">IF(OR($B21="",$H21="",$I21=""),"",IF(AND(AA$3+6&gt;=$H21,AA$3&lt;=$I21),1,""))</f>
        <v/>
      </c>
      <c r="AB21" s="32" t="str">
        <f aca="false">IF(OR($B21="",$H21="",$I21=""),"",IF(AND(AB$3+6&gt;=$H21,AB$3&lt;=$I21),1,""))</f>
        <v/>
      </c>
      <c r="AC21" s="32" t="str">
        <f aca="false">IF(OR($B21="",$H21="",$I21=""),"",IF(AND(AC$3+6&gt;=$H21,AC$3&lt;=$I21),1,""))</f>
        <v/>
      </c>
      <c r="AD21" s="32" t="str">
        <f aca="false">IF(OR($B21="",$H21="",$I21=""),"",IF(AND(AD$3+6&gt;=$H21,AD$3&lt;=$I21),1,""))</f>
        <v/>
      </c>
      <c r="AE21" s="32" t="str">
        <f aca="false">IF(OR($B21="",$H21="",$I21=""),"",IF(AND(AE$3+6&gt;=$H21,AE$3&lt;=$I21),1,""))</f>
        <v/>
      </c>
      <c r="AF21" s="32" t="str">
        <f aca="false">IF(OR($B21="",$H21="",$I21=""),"",IF(AND(AF$3+6&gt;=$H21,AF$3&lt;=$I21),1,""))</f>
        <v/>
      </c>
      <c r="AG21" s="32" t="str">
        <f aca="false">IF(OR($B21="",$H21="",$I21=""),"",IF(AND(AG$3+6&gt;=$H21,AG$3&lt;=$I21),1,""))</f>
        <v/>
      </c>
      <c r="AH21" s="32" t="str">
        <f aca="false">IF(OR($B21="",$H21="",$I21=""),"",IF(AND(AH$3+6&gt;=$H21,AH$3&lt;=$I21),1,""))</f>
        <v/>
      </c>
      <c r="AI21" s="32" t="str">
        <f aca="false">IF(OR($B21="",$H21="",$I21=""),"",IF(AND(AI$3+6&gt;=$H21,AI$3&lt;=$I21),1,""))</f>
        <v/>
      </c>
      <c r="AJ21" s="32" t="str">
        <f aca="false">IF(OR($B21="",$H21="",$I21=""),"",IF(AND(AJ$3+6&gt;=$H21,AJ$3&lt;=$I21),1,""))</f>
        <v/>
      </c>
      <c r="AK21" s="32" t="str">
        <f aca="false">IF(OR($B21="",$H21="",$I21=""),"",IF(AND(AK$3+6&gt;=$H21,AK$3&lt;=$I21),1,""))</f>
        <v/>
      </c>
      <c r="AL21" s="32" t="str">
        <f aca="false">IF(OR($B21="",$H21="",$I21=""),"",IF(AND(AL$3+6&gt;=$H21,AL$3&lt;=$I21),1,""))</f>
        <v/>
      </c>
      <c r="AM21" s="32" t="str">
        <f aca="false">IF(OR($B21="",$H21="",$I21=""),"",IF(AND(AM$3+6&gt;=$H21,AM$3&lt;=$I21),1,""))</f>
        <v/>
      </c>
      <c r="AN21" s="32" t="str">
        <f aca="false">IF(OR($B21="",$H21="",$I21=""),"",IF(AND(AN$3+6&gt;=$H21,AN$3&lt;=$I21),1,""))</f>
        <v/>
      </c>
      <c r="AO21" s="32" t="str">
        <f aca="false">IF(OR($B21="",$H21="",$I21=""),"",IF(AND(AO$3+6&gt;=$H21,AO$3&lt;=$I21),1,""))</f>
        <v/>
      </c>
      <c r="AP21" s="32" t="str">
        <f aca="false">IF(OR($B21="",$H21="",$I21=""),"",IF(AND(AP$3+6&gt;=$H21,AP$3&lt;=$I21),1,""))</f>
        <v/>
      </c>
      <c r="AQ21" s="32" t="str">
        <f aca="false">IF(OR($B21="",$H21="",$I21=""),"",IF(AND(AQ$3+6&gt;=$H21,AQ$3&lt;=$I21),1,""))</f>
        <v/>
      </c>
      <c r="AR21" s="32" t="str">
        <f aca="false">IF(OR($B21="",$H21="",$I21=""),"",IF(AND(AR$3+6&gt;=$H21,AR$3&lt;=$I21),1,""))</f>
        <v/>
      </c>
      <c r="AS21" s="32" t="str">
        <f aca="false">IF(OR($B21="",$H21="",$I21=""),"",IF(AND(AS$3+6&gt;=$H21,AS$3&lt;=$I21),1,""))</f>
        <v/>
      </c>
      <c r="AT21" s="32" t="str">
        <f aca="false">IF(OR($B21="",$H21="",$I21=""),"",IF(AND(AT$3+6&gt;=$H21,AT$3&lt;=$I21),1,""))</f>
        <v/>
      </c>
      <c r="AU21" s="32" t="str">
        <f aca="false">IF(OR($B21="",$H21="",$I21=""),"",IF(AND(AU$3+6&gt;=$H21,AU$3&lt;=$I21),1,""))</f>
        <v/>
      </c>
      <c r="AV21" s="32" t="str">
        <f aca="false">IF(OR($B21="",$H21="",$I21=""),"",IF(AND(AV$3+6&gt;=$H21,AV$3&lt;=$I21),1,""))</f>
        <v/>
      </c>
      <c r="AW21" s="32" t="str">
        <f aca="false">IF(OR($B21="",$H21="",$I21=""),"",IF(AND(AW$3+6&gt;=$H21,AW$3&lt;=$I21),1,""))</f>
        <v/>
      </c>
      <c r="AX21" s="32" t="str">
        <f aca="false">IF(OR($B21="",$H21="",$I21=""),"",IF(AND(AX$3+6&gt;=$H21,AX$3&lt;=$I21),1,""))</f>
        <v/>
      </c>
      <c r="AY21" s="32" t="str">
        <f aca="false">IF(OR($B21="",$H21="",$I21=""),"",IF(AND(AY$3+6&gt;=$H21,AY$3&lt;=$I21),1,""))</f>
        <v/>
      </c>
      <c r="AZ21" s="32" t="str">
        <f aca="false">IF(OR($B21="",$H21="",$I21=""),"",IF(AND(AZ$3+6&gt;=$H21,AZ$3&lt;=$I21),1,""))</f>
        <v/>
      </c>
      <c r="BA21" s="32" t="str">
        <f aca="false">IF(OR($B21="",$H21="",$I21=""),"",IF(AND(BA$3+6&gt;=$H21,BA$3&lt;=$I21),1,""))</f>
        <v/>
      </c>
      <c r="BB21" s="32" t="str">
        <f aca="false">IF(OR($B21="",$H21="",$I21=""),"",IF(AND(BB$3+6&gt;=$H21,BB$3&lt;=$I21),1,""))</f>
        <v/>
      </c>
      <c r="BC21" s="32" t="str">
        <f aca="false">IF(OR($B21="",$H21="",$I21=""),"",IF(AND(BC$3+6&gt;=$H21,BC$3&lt;=$I21),1,""))</f>
        <v/>
      </c>
      <c r="BD21" s="32" t="str">
        <f aca="false">IF(OR($B21="",$H21="",$I21=""),"",IF(AND(BD$3+6&gt;=$H21,BD$3&lt;=$I21),1,""))</f>
        <v/>
      </c>
      <c r="BE21" s="32" t="str">
        <f aca="false">IF(OR($B21="",$H21="",$I21=""),"",IF(AND(BE$3+6&gt;=$H21,BE$3&lt;=$I21),1,""))</f>
        <v/>
      </c>
      <c r="BF21" s="32" t="str">
        <f aca="false">IF(OR($B21="",$H21="",$I21=""),"",IF(AND(BF$3+6&gt;=$H21,BF$3&lt;=$I21),1,""))</f>
        <v/>
      </c>
      <c r="BG21" s="32" t="str">
        <f aca="false">IF(OR($B21="",$H21="",$I21=""),"",IF(AND(BG$3+6&gt;=$H21,BG$3&lt;=$I21),1,""))</f>
        <v/>
      </c>
      <c r="BH21" s="32" t="str">
        <f aca="false">IF(OR($B21="",$H21="",$I21=""),"",IF(AND(BH$3+6&gt;=$H21,BH$3&lt;=$I21),1,""))</f>
        <v/>
      </c>
      <c r="BI21" s="32" t="str">
        <f aca="false">IF(OR($B21="",$H21="",$I21=""),"",IF(AND(BI$3+6&gt;=$H21,BI$3&lt;=$I21),1,""))</f>
        <v/>
      </c>
      <c r="BJ21" s="32" t="str">
        <f aca="false">IF(OR($B21="",$H21="",$I21=""),"",IF(AND(BJ$3+6&gt;=$H21,BJ$3&lt;=$I21),1,""))</f>
        <v/>
      </c>
      <c r="BK21" s="32" t="str">
        <f aca="false">IF(OR($B21="",$H21="",$I21=""),"",IF(AND(BK$3+6&gt;=$H21,BK$3&lt;=$I21),1,""))</f>
        <v/>
      </c>
      <c r="BM21" s="0" t="str">
        <f aca="false">IF($E21="",",,",","&amp;SUBSTITUTE($E21," ","")&amp;",")</f>
        <v>,,</v>
      </c>
    </row>
    <row r="22" customFormat="false" ht="21.75" hidden="false" customHeight="true" outlineLevel="0" collapsed="false">
      <c r="A22" s="26" t="str">
        <f aca="false">IF(B22="","",COUNTA($B$7:B22))</f>
        <v/>
      </c>
      <c r="B22" s="27"/>
      <c r="C22" s="28"/>
      <c r="D22" s="28"/>
      <c r="E22" s="27"/>
      <c r="F22" s="29"/>
      <c r="G22" s="28"/>
      <c r="H22" s="30"/>
      <c r="I22" s="30"/>
      <c r="J22" s="31"/>
      <c r="K22" s="27"/>
      <c r="L22" s="32" t="str">
        <f aca="false">IF(OR($B22="",$H22="",$I22=""),"",IF(AND(L$3+6&gt;=$H22,L$3&lt;=$I22),1,""))</f>
        <v/>
      </c>
      <c r="M22" s="32" t="str">
        <f aca="false">IF(OR($B22="",$H22="",$I22=""),"",IF(AND(M$3+6&gt;=$H22,M$3&lt;=$I22),1,""))</f>
        <v/>
      </c>
      <c r="N22" s="32" t="str">
        <f aca="false">IF(OR($B22="",$H22="",$I22=""),"",IF(AND(N$3+6&gt;=$H22,N$3&lt;=$I22),1,""))</f>
        <v/>
      </c>
      <c r="O22" s="32" t="str">
        <f aca="false">IF(OR($B22="",$H22="",$I22=""),"",IF(AND(O$3+6&gt;=$H22,O$3&lt;=$I22),1,""))</f>
        <v/>
      </c>
      <c r="P22" s="32" t="str">
        <f aca="false">IF(OR($B22="",$H22="",$I22=""),"",IF(AND(P$3+6&gt;=$H22,P$3&lt;=$I22),1,""))</f>
        <v/>
      </c>
      <c r="Q22" s="32" t="str">
        <f aca="false">IF(OR($B22="",$H22="",$I22=""),"",IF(AND(Q$3+6&gt;=$H22,Q$3&lt;=$I22),1,""))</f>
        <v/>
      </c>
      <c r="R22" s="32" t="str">
        <f aca="false">IF(OR($B22="",$H22="",$I22=""),"",IF(AND(R$3+6&gt;=$H22,R$3&lt;=$I22),1,""))</f>
        <v/>
      </c>
      <c r="S22" s="32" t="str">
        <f aca="false">IF(OR($B22="",$H22="",$I22=""),"",IF(AND(S$3+6&gt;=$H22,S$3&lt;=$I22),1,""))</f>
        <v/>
      </c>
      <c r="T22" s="32" t="str">
        <f aca="false">IF(OR($B22="",$H22="",$I22=""),"",IF(AND(T$3+6&gt;=$H22,T$3&lt;=$I22),1,""))</f>
        <v/>
      </c>
      <c r="U22" s="32" t="str">
        <f aca="false">IF(OR($B22="",$H22="",$I22=""),"",IF(AND(U$3+6&gt;=$H22,U$3&lt;=$I22),1,""))</f>
        <v/>
      </c>
      <c r="V22" s="32" t="str">
        <f aca="false">IF(OR($B22="",$H22="",$I22=""),"",IF(AND(V$3+6&gt;=$H22,V$3&lt;=$I22),1,""))</f>
        <v/>
      </c>
      <c r="W22" s="32" t="str">
        <f aca="false">IF(OR($B22="",$H22="",$I22=""),"",IF(AND(W$3+6&gt;=$H22,W$3&lt;=$I22),1,""))</f>
        <v/>
      </c>
      <c r="X22" s="32" t="str">
        <f aca="false">IF(OR($B22="",$H22="",$I22=""),"",IF(AND(X$3+6&gt;=$H22,X$3&lt;=$I22),1,""))</f>
        <v/>
      </c>
      <c r="Y22" s="32" t="str">
        <f aca="false">IF(OR($B22="",$H22="",$I22=""),"",IF(AND(Y$3+6&gt;=$H22,Y$3&lt;=$I22),1,""))</f>
        <v/>
      </c>
      <c r="Z22" s="32" t="str">
        <f aca="false">IF(OR($B22="",$H22="",$I22=""),"",IF(AND(Z$3+6&gt;=$H22,Z$3&lt;=$I22),1,""))</f>
        <v/>
      </c>
      <c r="AA22" s="32" t="str">
        <f aca="false">IF(OR($B22="",$H22="",$I22=""),"",IF(AND(AA$3+6&gt;=$H22,AA$3&lt;=$I22),1,""))</f>
        <v/>
      </c>
      <c r="AB22" s="32" t="str">
        <f aca="false">IF(OR($B22="",$H22="",$I22=""),"",IF(AND(AB$3+6&gt;=$H22,AB$3&lt;=$I22),1,""))</f>
        <v/>
      </c>
      <c r="AC22" s="32" t="str">
        <f aca="false">IF(OR($B22="",$H22="",$I22=""),"",IF(AND(AC$3+6&gt;=$H22,AC$3&lt;=$I22),1,""))</f>
        <v/>
      </c>
      <c r="AD22" s="32" t="str">
        <f aca="false">IF(OR($B22="",$H22="",$I22=""),"",IF(AND(AD$3+6&gt;=$H22,AD$3&lt;=$I22),1,""))</f>
        <v/>
      </c>
      <c r="AE22" s="32" t="str">
        <f aca="false">IF(OR($B22="",$H22="",$I22=""),"",IF(AND(AE$3+6&gt;=$H22,AE$3&lt;=$I22),1,""))</f>
        <v/>
      </c>
      <c r="AF22" s="32" t="str">
        <f aca="false">IF(OR($B22="",$H22="",$I22=""),"",IF(AND(AF$3+6&gt;=$H22,AF$3&lt;=$I22),1,""))</f>
        <v/>
      </c>
      <c r="AG22" s="32" t="str">
        <f aca="false">IF(OR($B22="",$H22="",$I22=""),"",IF(AND(AG$3+6&gt;=$H22,AG$3&lt;=$I22),1,""))</f>
        <v/>
      </c>
      <c r="AH22" s="32" t="str">
        <f aca="false">IF(OR($B22="",$H22="",$I22=""),"",IF(AND(AH$3+6&gt;=$H22,AH$3&lt;=$I22),1,""))</f>
        <v/>
      </c>
      <c r="AI22" s="32" t="str">
        <f aca="false">IF(OR($B22="",$H22="",$I22=""),"",IF(AND(AI$3+6&gt;=$H22,AI$3&lt;=$I22),1,""))</f>
        <v/>
      </c>
      <c r="AJ22" s="32" t="str">
        <f aca="false">IF(OR($B22="",$H22="",$I22=""),"",IF(AND(AJ$3+6&gt;=$H22,AJ$3&lt;=$I22),1,""))</f>
        <v/>
      </c>
      <c r="AK22" s="32" t="str">
        <f aca="false">IF(OR($B22="",$H22="",$I22=""),"",IF(AND(AK$3+6&gt;=$H22,AK$3&lt;=$I22),1,""))</f>
        <v/>
      </c>
      <c r="AL22" s="32" t="str">
        <f aca="false">IF(OR($B22="",$H22="",$I22=""),"",IF(AND(AL$3+6&gt;=$H22,AL$3&lt;=$I22),1,""))</f>
        <v/>
      </c>
      <c r="AM22" s="32" t="str">
        <f aca="false">IF(OR($B22="",$H22="",$I22=""),"",IF(AND(AM$3+6&gt;=$H22,AM$3&lt;=$I22),1,""))</f>
        <v/>
      </c>
      <c r="AN22" s="32" t="str">
        <f aca="false">IF(OR($B22="",$H22="",$I22=""),"",IF(AND(AN$3+6&gt;=$H22,AN$3&lt;=$I22),1,""))</f>
        <v/>
      </c>
      <c r="AO22" s="32" t="str">
        <f aca="false">IF(OR($B22="",$H22="",$I22=""),"",IF(AND(AO$3+6&gt;=$H22,AO$3&lt;=$I22),1,""))</f>
        <v/>
      </c>
      <c r="AP22" s="32" t="str">
        <f aca="false">IF(OR($B22="",$H22="",$I22=""),"",IF(AND(AP$3+6&gt;=$H22,AP$3&lt;=$I22),1,""))</f>
        <v/>
      </c>
      <c r="AQ22" s="32" t="str">
        <f aca="false">IF(OR($B22="",$H22="",$I22=""),"",IF(AND(AQ$3+6&gt;=$H22,AQ$3&lt;=$I22),1,""))</f>
        <v/>
      </c>
      <c r="AR22" s="32" t="str">
        <f aca="false">IF(OR($B22="",$H22="",$I22=""),"",IF(AND(AR$3+6&gt;=$H22,AR$3&lt;=$I22),1,""))</f>
        <v/>
      </c>
      <c r="AS22" s="32" t="str">
        <f aca="false">IF(OR($B22="",$H22="",$I22=""),"",IF(AND(AS$3+6&gt;=$H22,AS$3&lt;=$I22),1,""))</f>
        <v/>
      </c>
      <c r="AT22" s="32" t="str">
        <f aca="false">IF(OR($B22="",$H22="",$I22=""),"",IF(AND(AT$3+6&gt;=$H22,AT$3&lt;=$I22),1,""))</f>
        <v/>
      </c>
      <c r="AU22" s="32" t="str">
        <f aca="false">IF(OR($B22="",$H22="",$I22=""),"",IF(AND(AU$3+6&gt;=$H22,AU$3&lt;=$I22),1,""))</f>
        <v/>
      </c>
      <c r="AV22" s="32" t="str">
        <f aca="false">IF(OR($B22="",$H22="",$I22=""),"",IF(AND(AV$3+6&gt;=$H22,AV$3&lt;=$I22),1,""))</f>
        <v/>
      </c>
      <c r="AW22" s="32" t="str">
        <f aca="false">IF(OR($B22="",$H22="",$I22=""),"",IF(AND(AW$3+6&gt;=$H22,AW$3&lt;=$I22),1,""))</f>
        <v/>
      </c>
      <c r="AX22" s="32" t="str">
        <f aca="false">IF(OR($B22="",$H22="",$I22=""),"",IF(AND(AX$3+6&gt;=$H22,AX$3&lt;=$I22),1,""))</f>
        <v/>
      </c>
      <c r="AY22" s="32" t="str">
        <f aca="false">IF(OR($B22="",$H22="",$I22=""),"",IF(AND(AY$3+6&gt;=$H22,AY$3&lt;=$I22),1,""))</f>
        <v/>
      </c>
      <c r="AZ22" s="32" t="str">
        <f aca="false">IF(OR($B22="",$H22="",$I22=""),"",IF(AND(AZ$3+6&gt;=$H22,AZ$3&lt;=$I22),1,""))</f>
        <v/>
      </c>
      <c r="BA22" s="32" t="str">
        <f aca="false">IF(OR($B22="",$H22="",$I22=""),"",IF(AND(BA$3+6&gt;=$H22,BA$3&lt;=$I22),1,""))</f>
        <v/>
      </c>
      <c r="BB22" s="32" t="str">
        <f aca="false">IF(OR($B22="",$H22="",$I22=""),"",IF(AND(BB$3+6&gt;=$H22,BB$3&lt;=$I22),1,""))</f>
        <v/>
      </c>
      <c r="BC22" s="32" t="str">
        <f aca="false">IF(OR($B22="",$H22="",$I22=""),"",IF(AND(BC$3+6&gt;=$H22,BC$3&lt;=$I22),1,""))</f>
        <v/>
      </c>
      <c r="BD22" s="32" t="str">
        <f aca="false">IF(OR($B22="",$H22="",$I22=""),"",IF(AND(BD$3+6&gt;=$H22,BD$3&lt;=$I22),1,""))</f>
        <v/>
      </c>
      <c r="BE22" s="32" t="str">
        <f aca="false">IF(OR($B22="",$H22="",$I22=""),"",IF(AND(BE$3+6&gt;=$H22,BE$3&lt;=$I22),1,""))</f>
        <v/>
      </c>
      <c r="BF22" s="32" t="str">
        <f aca="false">IF(OR($B22="",$H22="",$I22=""),"",IF(AND(BF$3+6&gt;=$H22,BF$3&lt;=$I22),1,""))</f>
        <v/>
      </c>
      <c r="BG22" s="32" t="str">
        <f aca="false">IF(OR($B22="",$H22="",$I22=""),"",IF(AND(BG$3+6&gt;=$H22,BG$3&lt;=$I22),1,""))</f>
        <v/>
      </c>
      <c r="BH22" s="32" t="str">
        <f aca="false">IF(OR($B22="",$H22="",$I22=""),"",IF(AND(BH$3+6&gt;=$H22,BH$3&lt;=$I22),1,""))</f>
        <v/>
      </c>
      <c r="BI22" s="32" t="str">
        <f aca="false">IF(OR($B22="",$H22="",$I22=""),"",IF(AND(BI$3+6&gt;=$H22,BI$3&lt;=$I22),1,""))</f>
        <v/>
      </c>
      <c r="BJ22" s="32" t="str">
        <f aca="false">IF(OR($B22="",$H22="",$I22=""),"",IF(AND(BJ$3+6&gt;=$H22,BJ$3&lt;=$I22),1,""))</f>
        <v/>
      </c>
      <c r="BK22" s="32" t="str">
        <f aca="false">IF(OR($B22="",$H22="",$I22=""),"",IF(AND(BK$3+6&gt;=$H22,BK$3&lt;=$I22),1,""))</f>
        <v/>
      </c>
      <c r="BM22" s="0" t="str">
        <f aca="false">IF($E22="",",,",","&amp;SUBSTITUTE($E22," ","")&amp;",")</f>
        <v>,,</v>
      </c>
    </row>
    <row r="23" customFormat="false" ht="21.75" hidden="false" customHeight="true" outlineLevel="0" collapsed="false">
      <c r="A23" s="26" t="str">
        <f aca="false">IF(B23="","",COUNTA($B$7:B23))</f>
        <v/>
      </c>
      <c r="B23" s="27"/>
      <c r="C23" s="28"/>
      <c r="D23" s="28"/>
      <c r="E23" s="27"/>
      <c r="F23" s="29"/>
      <c r="G23" s="28"/>
      <c r="H23" s="30"/>
      <c r="I23" s="30"/>
      <c r="J23" s="31"/>
      <c r="K23" s="27"/>
      <c r="L23" s="32" t="str">
        <f aca="false">IF(OR($B23="",$H23="",$I23=""),"",IF(AND(L$3+6&gt;=$H23,L$3&lt;=$I23),1,""))</f>
        <v/>
      </c>
      <c r="M23" s="32" t="str">
        <f aca="false">IF(OR($B23="",$H23="",$I23=""),"",IF(AND(M$3+6&gt;=$H23,M$3&lt;=$I23),1,""))</f>
        <v/>
      </c>
      <c r="N23" s="32" t="str">
        <f aca="false">IF(OR($B23="",$H23="",$I23=""),"",IF(AND(N$3+6&gt;=$H23,N$3&lt;=$I23),1,""))</f>
        <v/>
      </c>
      <c r="O23" s="32" t="str">
        <f aca="false">IF(OR($B23="",$H23="",$I23=""),"",IF(AND(O$3+6&gt;=$H23,O$3&lt;=$I23),1,""))</f>
        <v/>
      </c>
      <c r="P23" s="32" t="str">
        <f aca="false">IF(OR($B23="",$H23="",$I23=""),"",IF(AND(P$3+6&gt;=$H23,P$3&lt;=$I23),1,""))</f>
        <v/>
      </c>
      <c r="Q23" s="32" t="str">
        <f aca="false">IF(OR($B23="",$H23="",$I23=""),"",IF(AND(Q$3+6&gt;=$H23,Q$3&lt;=$I23),1,""))</f>
        <v/>
      </c>
      <c r="R23" s="32" t="str">
        <f aca="false">IF(OR($B23="",$H23="",$I23=""),"",IF(AND(R$3+6&gt;=$H23,R$3&lt;=$I23),1,""))</f>
        <v/>
      </c>
      <c r="S23" s="32" t="str">
        <f aca="false">IF(OR($B23="",$H23="",$I23=""),"",IF(AND(S$3+6&gt;=$H23,S$3&lt;=$I23),1,""))</f>
        <v/>
      </c>
      <c r="T23" s="32" t="str">
        <f aca="false">IF(OR($B23="",$H23="",$I23=""),"",IF(AND(T$3+6&gt;=$H23,T$3&lt;=$I23),1,""))</f>
        <v/>
      </c>
      <c r="U23" s="32" t="str">
        <f aca="false">IF(OR($B23="",$H23="",$I23=""),"",IF(AND(U$3+6&gt;=$H23,U$3&lt;=$I23),1,""))</f>
        <v/>
      </c>
      <c r="V23" s="32" t="str">
        <f aca="false">IF(OR($B23="",$H23="",$I23=""),"",IF(AND(V$3+6&gt;=$H23,V$3&lt;=$I23),1,""))</f>
        <v/>
      </c>
      <c r="W23" s="32" t="str">
        <f aca="false">IF(OR($B23="",$H23="",$I23=""),"",IF(AND(W$3+6&gt;=$H23,W$3&lt;=$I23),1,""))</f>
        <v/>
      </c>
      <c r="X23" s="32" t="str">
        <f aca="false">IF(OR($B23="",$H23="",$I23=""),"",IF(AND(X$3+6&gt;=$H23,X$3&lt;=$I23),1,""))</f>
        <v/>
      </c>
      <c r="Y23" s="32" t="str">
        <f aca="false">IF(OR($B23="",$H23="",$I23=""),"",IF(AND(Y$3+6&gt;=$H23,Y$3&lt;=$I23),1,""))</f>
        <v/>
      </c>
      <c r="Z23" s="32" t="str">
        <f aca="false">IF(OR($B23="",$H23="",$I23=""),"",IF(AND(Z$3+6&gt;=$H23,Z$3&lt;=$I23),1,""))</f>
        <v/>
      </c>
      <c r="AA23" s="32" t="str">
        <f aca="false">IF(OR($B23="",$H23="",$I23=""),"",IF(AND(AA$3+6&gt;=$H23,AA$3&lt;=$I23),1,""))</f>
        <v/>
      </c>
      <c r="AB23" s="32" t="str">
        <f aca="false">IF(OR($B23="",$H23="",$I23=""),"",IF(AND(AB$3+6&gt;=$H23,AB$3&lt;=$I23),1,""))</f>
        <v/>
      </c>
      <c r="AC23" s="32" t="str">
        <f aca="false">IF(OR($B23="",$H23="",$I23=""),"",IF(AND(AC$3+6&gt;=$H23,AC$3&lt;=$I23),1,""))</f>
        <v/>
      </c>
      <c r="AD23" s="32" t="str">
        <f aca="false">IF(OR($B23="",$H23="",$I23=""),"",IF(AND(AD$3+6&gt;=$H23,AD$3&lt;=$I23),1,""))</f>
        <v/>
      </c>
      <c r="AE23" s="32" t="str">
        <f aca="false">IF(OR($B23="",$H23="",$I23=""),"",IF(AND(AE$3+6&gt;=$H23,AE$3&lt;=$I23),1,""))</f>
        <v/>
      </c>
      <c r="AF23" s="32" t="str">
        <f aca="false">IF(OR($B23="",$H23="",$I23=""),"",IF(AND(AF$3+6&gt;=$H23,AF$3&lt;=$I23),1,""))</f>
        <v/>
      </c>
      <c r="AG23" s="32" t="str">
        <f aca="false">IF(OR($B23="",$H23="",$I23=""),"",IF(AND(AG$3+6&gt;=$H23,AG$3&lt;=$I23),1,""))</f>
        <v/>
      </c>
      <c r="AH23" s="32" t="str">
        <f aca="false">IF(OR($B23="",$H23="",$I23=""),"",IF(AND(AH$3+6&gt;=$H23,AH$3&lt;=$I23),1,""))</f>
        <v/>
      </c>
      <c r="AI23" s="32" t="str">
        <f aca="false">IF(OR($B23="",$H23="",$I23=""),"",IF(AND(AI$3+6&gt;=$H23,AI$3&lt;=$I23),1,""))</f>
        <v/>
      </c>
      <c r="AJ23" s="32" t="str">
        <f aca="false">IF(OR($B23="",$H23="",$I23=""),"",IF(AND(AJ$3+6&gt;=$H23,AJ$3&lt;=$I23),1,""))</f>
        <v/>
      </c>
      <c r="AK23" s="32" t="str">
        <f aca="false">IF(OR($B23="",$H23="",$I23=""),"",IF(AND(AK$3+6&gt;=$H23,AK$3&lt;=$I23),1,""))</f>
        <v/>
      </c>
      <c r="AL23" s="32" t="str">
        <f aca="false">IF(OR($B23="",$H23="",$I23=""),"",IF(AND(AL$3+6&gt;=$H23,AL$3&lt;=$I23),1,""))</f>
        <v/>
      </c>
      <c r="AM23" s="32" t="str">
        <f aca="false">IF(OR($B23="",$H23="",$I23=""),"",IF(AND(AM$3+6&gt;=$H23,AM$3&lt;=$I23),1,""))</f>
        <v/>
      </c>
      <c r="AN23" s="32" t="str">
        <f aca="false">IF(OR($B23="",$H23="",$I23=""),"",IF(AND(AN$3+6&gt;=$H23,AN$3&lt;=$I23),1,""))</f>
        <v/>
      </c>
      <c r="AO23" s="32" t="str">
        <f aca="false">IF(OR($B23="",$H23="",$I23=""),"",IF(AND(AO$3+6&gt;=$H23,AO$3&lt;=$I23),1,""))</f>
        <v/>
      </c>
      <c r="AP23" s="32" t="str">
        <f aca="false">IF(OR($B23="",$H23="",$I23=""),"",IF(AND(AP$3+6&gt;=$H23,AP$3&lt;=$I23),1,""))</f>
        <v/>
      </c>
      <c r="AQ23" s="32" t="str">
        <f aca="false">IF(OR($B23="",$H23="",$I23=""),"",IF(AND(AQ$3+6&gt;=$H23,AQ$3&lt;=$I23),1,""))</f>
        <v/>
      </c>
      <c r="AR23" s="32" t="str">
        <f aca="false">IF(OR($B23="",$H23="",$I23=""),"",IF(AND(AR$3+6&gt;=$H23,AR$3&lt;=$I23),1,""))</f>
        <v/>
      </c>
      <c r="AS23" s="32" t="str">
        <f aca="false">IF(OR($B23="",$H23="",$I23=""),"",IF(AND(AS$3+6&gt;=$H23,AS$3&lt;=$I23),1,""))</f>
        <v/>
      </c>
      <c r="AT23" s="32" t="str">
        <f aca="false">IF(OR($B23="",$H23="",$I23=""),"",IF(AND(AT$3+6&gt;=$H23,AT$3&lt;=$I23),1,""))</f>
        <v/>
      </c>
      <c r="AU23" s="32" t="str">
        <f aca="false">IF(OR($B23="",$H23="",$I23=""),"",IF(AND(AU$3+6&gt;=$H23,AU$3&lt;=$I23),1,""))</f>
        <v/>
      </c>
      <c r="AV23" s="32" t="str">
        <f aca="false">IF(OR($B23="",$H23="",$I23=""),"",IF(AND(AV$3+6&gt;=$H23,AV$3&lt;=$I23),1,""))</f>
        <v/>
      </c>
      <c r="AW23" s="32" t="str">
        <f aca="false">IF(OR($B23="",$H23="",$I23=""),"",IF(AND(AW$3+6&gt;=$H23,AW$3&lt;=$I23),1,""))</f>
        <v/>
      </c>
      <c r="AX23" s="32" t="str">
        <f aca="false">IF(OR($B23="",$H23="",$I23=""),"",IF(AND(AX$3+6&gt;=$H23,AX$3&lt;=$I23),1,""))</f>
        <v/>
      </c>
      <c r="AY23" s="32" t="str">
        <f aca="false">IF(OR($B23="",$H23="",$I23=""),"",IF(AND(AY$3+6&gt;=$H23,AY$3&lt;=$I23),1,""))</f>
        <v/>
      </c>
      <c r="AZ23" s="32" t="str">
        <f aca="false">IF(OR($B23="",$H23="",$I23=""),"",IF(AND(AZ$3+6&gt;=$H23,AZ$3&lt;=$I23),1,""))</f>
        <v/>
      </c>
      <c r="BA23" s="32" t="str">
        <f aca="false">IF(OR($B23="",$H23="",$I23=""),"",IF(AND(BA$3+6&gt;=$H23,BA$3&lt;=$I23),1,""))</f>
        <v/>
      </c>
      <c r="BB23" s="32" t="str">
        <f aca="false">IF(OR($B23="",$H23="",$I23=""),"",IF(AND(BB$3+6&gt;=$H23,BB$3&lt;=$I23),1,""))</f>
        <v/>
      </c>
      <c r="BC23" s="32" t="str">
        <f aca="false">IF(OR($B23="",$H23="",$I23=""),"",IF(AND(BC$3+6&gt;=$H23,BC$3&lt;=$I23),1,""))</f>
        <v/>
      </c>
      <c r="BD23" s="32" t="str">
        <f aca="false">IF(OR($B23="",$H23="",$I23=""),"",IF(AND(BD$3+6&gt;=$H23,BD$3&lt;=$I23),1,""))</f>
        <v/>
      </c>
      <c r="BE23" s="32" t="str">
        <f aca="false">IF(OR($B23="",$H23="",$I23=""),"",IF(AND(BE$3+6&gt;=$H23,BE$3&lt;=$I23),1,""))</f>
        <v/>
      </c>
      <c r="BF23" s="32" t="str">
        <f aca="false">IF(OR($B23="",$H23="",$I23=""),"",IF(AND(BF$3+6&gt;=$H23,BF$3&lt;=$I23),1,""))</f>
        <v/>
      </c>
      <c r="BG23" s="32" t="str">
        <f aca="false">IF(OR($B23="",$H23="",$I23=""),"",IF(AND(BG$3+6&gt;=$H23,BG$3&lt;=$I23),1,""))</f>
        <v/>
      </c>
      <c r="BH23" s="32" t="str">
        <f aca="false">IF(OR($B23="",$H23="",$I23=""),"",IF(AND(BH$3+6&gt;=$H23,BH$3&lt;=$I23),1,""))</f>
        <v/>
      </c>
      <c r="BI23" s="32" t="str">
        <f aca="false">IF(OR($B23="",$H23="",$I23=""),"",IF(AND(BI$3+6&gt;=$H23,BI$3&lt;=$I23),1,""))</f>
        <v/>
      </c>
      <c r="BJ23" s="32" t="str">
        <f aca="false">IF(OR($B23="",$H23="",$I23=""),"",IF(AND(BJ$3+6&gt;=$H23,BJ$3&lt;=$I23),1,""))</f>
        <v/>
      </c>
      <c r="BK23" s="32" t="str">
        <f aca="false">IF(OR($B23="",$H23="",$I23=""),"",IF(AND(BK$3+6&gt;=$H23,BK$3&lt;=$I23),1,""))</f>
        <v/>
      </c>
      <c r="BM23" s="0" t="str">
        <f aca="false">IF($E23="",",,",","&amp;SUBSTITUTE($E23," ","")&amp;",")</f>
        <v>,,</v>
      </c>
    </row>
    <row r="24" customFormat="false" ht="21.75" hidden="false" customHeight="true" outlineLevel="0" collapsed="false">
      <c r="A24" s="26" t="str">
        <f aca="false">IF(B24="","",COUNTA($B$7:B24))</f>
        <v/>
      </c>
      <c r="B24" s="27"/>
      <c r="C24" s="28"/>
      <c r="D24" s="28"/>
      <c r="E24" s="27"/>
      <c r="F24" s="29"/>
      <c r="G24" s="28"/>
      <c r="H24" s="30"/>
      <c r="I24" s="30"/>
      <c r="J24" s="31"/>
      <c r="K24" s="27"/>
      <c r="L24" s="32" t="str">
        <f aca="false">IF(OR($B24="",$H24="",$I24=""),"",IF(AND(L$3+6&gt;=$H24,L$3&lt;=$I24),1,""))</f>
        <v/>
      </c>
      <c r="M24" s="32" t="str">
        <f aca="false">IF(OR($B24="",$H24="",$I24=""),"",IF(AND(M$3+6&gt;=$H24,M$3&lt;=$I24),1,""))</f>
        <v/>
      </c>
      <c r="N24" s="32" t="str">
        <f aca="false">IF(OR($B24="",$H24="",$I24=""),"",IF(AND(N$3+6&gt;=$H24,N$3&lt;=$I24),1,""))</f>
        <v/>
      </c>
      <c r="O24" s="32" t="str">
        <f aca="false">IF(OR($B24="",$H24="",$I24=""),"",IF(AND(O$3+6&gt;=$H24,O$3&lt;=$I24),1,""))</f>
        <v/>
      </c>
      <c r="P24" s="32" t="str">
        <f aca="false">IF(OR($B24="",$H24="",$I24=""),"",IF(AND(P$3+6&gt;=$H24,P$3&lt;=$I24),1,""))</f>
        <v/>
      </c>
      <c r="Q24" s="32" t="str">
        <f aca="false">IF(OR($B24="",$H24="",$I24=""),"",IF(AND(Q$3+6&gt;=$H24,Q$3&lt;=$I24),1,""))</f>
        <v/>
      </c>
      <c r="R24" s="32" t="str">
        <f aca="false">IF(OR($B24="",$H24="",$I24=""),"",IF(AND(R$3+6&gt;=$H24,R$3&lt;=$I24),1,""))</f>
        <v/>
      </c>
      <c r="S24" s="32" t="str">
        <f aca="false">IF(OR($B24="",$H24="",$I24=""),"",IF(AND(S$3+6&gt;=$H24,S$3&lt;=$I24),1,""))</f>
        <v/>
      </c>
      <c r="T24" s="32" t="str">
        <f aca="false">IF(OR($B24="",$H24="",$I24=""),"",IF(AND(T$3+6&gt;=$H24,T$3&lt;=$I24),1,""))</f>
        <v/>
      </c>
      <c r="U24" s="32" t="str">
        <f aca="false">IF(OR($B24="",$H24="",$I24=""),"",IF(AND(U$3+6&gt;=$H24,U$3&lt;=$I24),1,""))</f>
        <v/>
      </c>
      <c r="V24" s="32" t="str">
        <f aca="false">IF(OR($B24="",$H24="",$I24=""),"",IF(AND(V$3+6&gt;=$H24,V$3&lt;=$I24),1,""))</f>
        <v/>
      </c>
      <c r="W24" s="32" t="str">
        <f aca="false">IF(OR($B24="",$H24="",$I24=""),"",IF(AND(W$3+6&gt;=$H24,W$3&lt;=$I24),1,""))</f>
        <v/>
      </c>
      <c r="X24" s="32" t="str">
        <f aca="false">IF(OR($B24="",$H24="",$I24=""),"",IF(AND(X$3+6&gt;=$H24,X$3&lt;=$I24),1,""))</f>
        <v/>
      </c>
      <c r="Y24" s="32" t="str">
        <f aca="false">IF(OR($B24="",$H24="",$I24=""),"",IF(AND(Y$3+6&gt;=$H24,Y$3&lt;=$I24),1,""))</f>
        <v/>
      </c>
      <c r="Z24" s="32" t="str">
        <f aca="false">IF(OR($B24="",$H24="",$I24=""),"",IF(AND(Z$3+6&gt;=$H24,Z$3&lt;=$I24),1,""))</f>
        <v/>
      </c>
      <c r="AA24" s="32" t="str">
        <f aca="false">IF(OR($B24="",$H24="",$I24=""),"",IF(AND(AA$3+6&gt;=$H24,AA$3&lt;=$I24),1,""))</f>
        <v/>
      </c>
      <c r="AB24" s="32" t="str">
        <f aca="false">IF(OR($B24="",$H24="",$I24=""),"",IF(AND(AB$3+6&gt;=$H24,AB$3&lt;=$I24),1,""))</f>
        <v/>
      </c>
      <c r="AC24" s="32" t="str">
        <f aca="false">IF(OR($B24="",$H24="",$I24=""),"",IF(AND(AC$3+6&gt;=$H24,AC$3&lt;=$I24),1,""))</f>
        <v/>
      </c>
      <c r="AD24" s="32" t="str">
        <f aca="false">IF(OR($B24="",$H24="",$I24=""),"",IF(AND(AD$3+6&gt;=$H24,AD$3&lt;=$I24),1,""))</f>
        <v/>
      </c>
      <c r="AE24" s="32" t="str">
        <f aca="false">IF(OR($B24="",$H24="",$I24=""),"",IF(AND(AE$3+6&gt;=$H24,AE$3&lt;=$I24),1,""))</f>
        <v/>
      </c>
      <c r="AF24" s="32" t="str">
        <f aca="false">IF(OR($B24="",$H24="",$I24=""),"",IF(AND(AF$3+6&gt;=$H24,AF$3&lt;=$I24),1,""))</f>
        <v/>
      </c>
      <c r="AG24" s="32" t="str">
        <f aca="false">IF(OR($B24="",$H24="",$I24=""),"",IF(AND(AG$3+6&gt;=$H24,AG$3&lt;=$I24),1,""))</f>
        <v/>
      </c>
      <c r="AH24" s="32" t="str">
        <f aca="false">IF(OR($B24="",$H24="",$I24=""),"",IF(AND(AH$3+6&gt;=$H24,AH$3&lt;=$I24),1,""))</f>
        <v/>
      </c>
      <c r="AI24" s="32" t="str">
        <f aca="false">IF(OR($B24="",$H24="",$I24=""),"",IF(AND(AI$3+6&gt;=$H24,AI$3&lt;=$I24),1,""))</f>
        <v/>
      </c>
      <c r="AJ24" s="32" t="str">
        <f aca="false">IF(OR($B24="",$H24="",$I24=""),"",IF(AND(AJ$3+6&gt;=$H24,AJ$3&lt;=$I24),1,""))</f>
        <v/>
      </c>
      <c r="AK24" s="32" t="str">
        <f aca="false">IF(OR($B24="",$H24="",$I24=""),"",IF(AND(AK$3+6&gt;=$H24,AK$3&lt;=$I24),1,""))</f>
        <v/>
      </c>
      <c r="AL24" s="32" t="str">
        <f aca="false">IF(OR($B24="",$H24="",$I24=""),"",IF(AND(AL$3+6&gt;=$H24,AL$3&lt;=$I24),1,""))</f>
        <v/>
      </c>
      <c r="AM24" s="32" t="str">
        <f aca="false">IF(OR($B24="",$H24="",$I24=""),"",IF(AND(AM$3+6&gt;=$H24,AM$3&lt;=$I24),1,""))</f>
        <v/>
      </c>
      <c r="AN24" s="32" t="str">
        <f aca="false">IF(OR($B24="",$H24="",$I24=""),"",IF(AND(AN$3+6&gt;=$H24,AN$3&lt;=$I24),1,""))</f>
        <v/>
      </c>
      <c r="AO24" s="32" t="str">
        <f aca="false">IF(OR($B24="",$H24="",$I24=""),"",IF(AND(AO$3+6&gt;=$H24,AO$3&lt;=$I24),1,""))</f>
        <v/>
      </c>
      <c r="AP24" s="32" t="str">
        <f aca="false">IF(OR($B24="",$H24="",$I24=""),"",IF(AND(AP$3+6&gt;=$H24,AP$3&lt;=$I24),1,""))</f>
        <v/>
      </c>
      <c r="AQ24" s="32" t="str">
        <f aca="false">IF(OR($B24="",$H24="",$I24=""),"",IF(AND(AQ$3+6&gt;=$H24,AQ$3&lt;=$I24),1,""))</f>
        <v/>
      </c>
      <c r="AR24" s="32" t="str">
        <f aca="false">IF(OR($B24="",$H24="",$I24=""),"",IF(AND(AR$3+6&gt;=$H24,AR$3&lt;=$I24),1,""))</f>
        <v/>
      </c>
      <c r="AS24" s="32" t="str">
        <f aca="false">IF(OR($B24="",$H24="",$I24=""),"",IF(AND(AS$3+6&gt;=$H24,AS$3&lt;=$I24),1,""))</f>
        <v/>
      </c>
      <c r="AT24" s="32" t="str">
        <f aca="false">IF(OR($B24="",$H24="",$I24=""),"",IF(AND(AT$3+6&gt;=$H24,AT$3&lt;=$I24),1,""))</f>
        <v/>
      </c>
      <c r="AU24" s="32" t="str">
        <f aca="false">IF(OR($B24="",$H24="",$I24=""),"",IF(AND(AU$3+6&gt;=$H24,AU$3&lt;=$I24),1,""))</f>
        <v/>
      </c>
      <c r="AV24" s="32" t="str">
        <f aca="false">IF(OR($B24="",$H24="",$I24=""),"",IF(AND(AV$3+6&gt;=$H24,AV$3&lt;=$I24),1,""))</f>
        <v/>
      </c>
      <c r="AW24" s="32" t="str">
        <f aca="false">IF(OR($B24="",$H24="",$I24=""),"",IF(AND(AW$3+6&gt;=$H24,AW$3&lt;=$I24),1,""))</f>
        <v/>
      </c>
      <c r="AX24" s="32" t="str">
        <f aca="false">IF(OR($B24="",$H24="",$I24=""),"",IF(AND(AX$3+6&gt;=$H24,AX$3&lt;=$I24),1,""))</f>
        <v/>
      </c>
      <c r="AY24" s="32" t="str">
        <f aca="false">IF(OR($B24="",$H24="",$I24=""),"",IF(AND(AY$3+6&gt;=$H24,AY$3&lt;=$I24),1,""))</f>
        <v/>
      </c>
      <c r="AZ24" s="32" t="str">
        <f aca="false">IF(OR($B24="",$H24="",$I24=""),"",IF(AND(AZ$3+6&gt;=$H24,AZ$3&lt;=$I24),1,""))</f>
        <v/>
      </c>
      <c r="BA24" s="32" t="str">
        <f aca="false">IF(OR($B24="",$H24="",$I24=""),"",IF(AND(BA$3+6&gt;=$H24,BA$3&lt;=$I24),1,""))</f>
        <v/>
      </c>
      <c r="BB24" s="32" t="str">
        <f aca="false">IF(OR($B24="",$H24="",$I24=""),"",IF(AND(BB$3+6&gt;=$H24,BB$3&lt;=$I24),1,""))</f>
        <v/>
      </c>
      <c r="BC24" s="32" t="str">
        <f aca="false">IF(OR($B24="",$H24="",$I24=""),"",IF(AND(BC$3+6&gt;=$H24,BC$3&lt;=$I24),1,""))</f>
        <v/>
      </c>
      <c r="BD24" s="32" t="str">
        <f aca="false">IF(OR($B24="",$H24="",$I24=""),"",IF(AND(BD$3+6&gt;=$H24,BD$3&lt;=$I24),1,""))</f>
        <v/>
      </c>
      <c r="BE24" s="32" t="str">
        <f aca="false">IF(OR($B24="",$H24="",$I24=""),"",IF(AND(BE$3+6&gt;=$H24,BE$3&lt;=$I24),1,""))</f>
        <v/>
      </c>
      <c r="BF24" s="32" t="str">
        <f aca="false">IF(OR($B24="",$H24="",$I24=""),"",IF(AND(BF$3+6&gt;=$H24,BF$3&lt;=$I24),1,""))</f>
        <v/>
      </c>
      <c r="BG24" s="32" t="str">
        <f aca="false">IF(OR($B24="",$H24="",$I24=""),"",IF(AND(BG$3+6&gt;=$H24,BG$3&lt;=$I24),1,""))</f>
        <v/>
      </c>
      <c r="BH24" s="32" t="str">
        <f aca="false">IF(OR($B24="",$H24="",$I24=""),"",IF(AND(BH$3+6&gt;=$H24,BH$3&lt;=$I24),1,""))</f>
        <v/>
      </c>
      <c r="BI24" s="32" t="str">
        <f aca="false">IF(OR($B24="",$H24="",$I24=""),"",IF(AND(BI$3+6&gt;=$H24,BI$3&lt;=$I24),1,""))</f>
        <v/>
      </c>
      <c r="BJ24" s="32" t="str">
        <f aca="false">IF(OR($B24="",$H24="",$I24=""),"",IF(AND(BJ$3+6&gt;=$H24,BJ$3&lt;=$I24),1,""))</f>
        <v/>
      </c>
      <c r="BK24" s="32" t="str">
        <f aca="false">IF(OR($B24="",$H24="",$I24=""),"",IF(AND(BK$3+6&gt;=$H24,BK$3&lt;=$I24),1,""))</f>
        <v/>
      </c>
      <c r="BM24" s="0" t="str">
        <f aca="false">IF($E24="",",,",","&amp;SUBSTITUTE($E24," ","")&amp;",")</f>
        <v>,,</v>
      </c>
    </row>
    <row r="25" customFormat="false" ht="21.75" hidden="false" customHeight="true" outlineLevel="0" collapsed="false">
      <c r="A25" s="26" t="str">
        <f aca="false">IF(B25="","",COUNTA($B$7:B25))</f>
        <v/>
      </c>
      <c r="B25" s="27"/>
      <c r="C25" s="28"/>
      <c r="D25" s="28"/>
      <c r="E25" s="27"/>
      <c r="F25" s="29"/>
      <c r="G25" s="28"/>
      <c r="H25" s="30"/>
      <c r="I25" s="30"/>
      <c r="J25" s="31"/>
      <c r="K25" s="27"/>
      <c r="L25" s="32" t="str">
        <f aca="false">IF(OR($B25="",$H25="",$I25=""),"",IF(AND(L$3+6&gt;=$H25,L$3&lt;=$I25),1,""))</f>
        <v/>
      </c>
      <c r="M25" s="32" t="str">
        <f aca="false">IF(OR($B25="",$H25="",$I25=""),"",IF(AND(M$3+6&gt;=$H25,M$3&lt;=$I25),1,""))</f>
        <v/>
      </c>
      <c r="N25" s="32" t="str">
        <f aca="false">IF(OR($B25="",$H25="",$I25=""),"",IF(AND(N$3+6&gt;=$H25,N$3&lt;=$I25),1,""))</f>
        <v/>
      </c>
      <c r="O25" s="32" t="str">
        <f aca="false">IF(OR($B25="",$H25="",$I25=""),"",IF(AND(O$3+6&gt;=$H25,O$3&lt;=$I25),1,""))</f>
        <v/>
      </c>
      <c r="P25" s="32" t="str">
        <f aca="false">IF(OR($B25="",$H25="",$I25=""),"",IF(AND(P$3+6&gt;=$H25,P$3&lt;=$I25),1,""))</f>
        <v/>
      </c>
      <c r="Q25" s="32" t="str">
        <f aca="false">IF(OR($B25="",$H25="",$I25=""),"",IF(AND(Q$3+6&gt;=$H25,Q$3&lt;=$I25),1,""))</f>
        <v/>
      </c>
      <c r="R25" s="32" t="str">
        <f aca="false">IF(OR($B25="",$H25="",$I25=""),"",IF(AND(R$3+6&gt;=$H25,R$3&lt;=$I25),1,""))</f>
        <v/>
      </c>
      <c r="S25" s="32" t="str">
        <f aca="false">IF(OR($B25="",$H25="",$I25=""),"",IF(AND(S$3+6&gt;=$H25,S$3&lt;=$I25),1,""))</f>
        <v/>
      </c>
      <c r="T25" s="32" t="str">
        <f aca="false">IF(OR($B25="",$H25="",$I25=""),"",IF(AND(T$3+6&gt;=$H25,T$3&lt;=$I25),1,""))</f>
        <v/>
      </c>
      <c r="U25" s="32" t="str">
        <f aca="false">IF(OR($B25="",$H25="",$I25=""),"",IF(AND(U$3+6&gt;=$H25,U$3&lt;=$I25),1,""))</f>
        <v/>
      </c>
      <c r="V25" s="32" t="str">
        <f aca="false">IF(OR($B25="",$H25="",$I25=""),"",IF(AND(V$3+6&gt;=$H25,V$3&lt;=$I25),1,""))</f>
        <v/>
      </c>
      <c r="W25" s="32" t="str">
        <f aca="false">IF(OR($B25="",$H25="",$I25=""),"",IF(AND(W$3+6&gt;=$H25,W$3&lt;=$I25),1,""))</f>
        <v/>
      </c>
      <c r="X25" s="32" t="str">
        <f aca="false">IF(OR($B25="",$H25="",$I25=""),"",IF(AND(X$3+6&gt;=$H25,X$3&lt;=$I25),1,""))</f>
        <v/>
      </c>
      <c r="Y25" s="32" t="str">
        <f aca="false">IF(OR($B25="",$H25="",$I25=""),"",IF(AND(Y$3+6&gt;=$H25,Y$3&lt;=$I25),1,""))</f>
        <v/>
      </c>
      <c r="Z25" s="32" t="str">
        <f aca="false">IF(OR($B25="",$H25="",$I25=""),"",IF(AND(Z$3+6&gt;=$H25,Z$3&lt;=$I25),1,""))</f>
        <v/>
      </c>
      <c r="AA25" s="32" t="str">
        <f aca="false">IF(OR($B25="",$H25="",$I25=""),"",IF(AND(AA$3+6&gt;=$H25,AA$3&lt;=$I25),1,""))</f>
        <v/>
      </c>
      <c r="AB25" s="32" t="str">
        <f aca="false">IF(OR($B25="",$H25="",$I25=""),"",IF(AND(AB$3+6&gt;=$H25,AB$3&lt;=$I25),1,""))</f>
        <v/>
      </c>
      <c r="AC25" s="32" t="str">
        <f aca="false">IF(OR($B25="",$H25="",$I25=""),"",IF(AND(AC$3+6&gt;=$H25,AC$3&lt;=$I25),1,""))</f>
        <v/>
      </c>
      <c r="AD25" s="32" t="str">
        <f aca="false">IF(OR($B25="",$H25="",$I25=""),"",IF(AND(AD$3+6&gt;=$H25,AD$3&lt;=$I25),1,""))</f>
        <v/>
      </c>
      <c r="AE25" s="32" t="str">
        <f aca="false">IF(OR($B25="",$H25="",$I25=""),"",IF(AND(AE$3+6&gt;=$H25,AE$3&lt;=$I25),1,""))</f>
        <v/>
      </c>
      <c r="AF25" s="32" t="str">
        <f aca="false">IF(OR($B25="",$H25="",$I25=""),"",IF(AND(AF$3+6&gt;=$H25,AF$3&lt;=$I25),1,""))</f>
        <v/>
      </c>
      <c r="AG25" s="32" t="str">
        <f aca="false">IF(OR($B25="",$H25="",$I25=""),"",IF(AND(AG$3+6&gt;=$H25,AG$3&lt;=$I25),1,""))</f>
        <v/>
      </c>
      <c r="AH25" s="32" t="str">
        <f aca="false">IF(OR($B25="",$H25="",$I25=""),"",IF(AND(AH$3+6&gt;=$H25,AH$3&lt;=$I25),1,""))</f>
        <v/>
      </c>
      <c r="AI25" s="32" t="str">
        <f aca="false">IF(OR($B25="",$H25="",$I25=""),"",IF(AND(AI$3+6&gt;=$H25,AI$3&lt;=$I25),1,""))</f>
        <v/>
      </c>
      <c r="AJ25" s="32" t="str">
        <f aca="false">IF(OR($B25="",$H25="",$I25=""),"",IF(AND(AJ$3+6&gt;=$H25,AJ$3&lt;=$I25),1,""))</f>
        <v/>
      </c>
      <c r="AK25" s="32" t="str">
        <f aca="false">IF(OR($B25="",$H25="",$I25=""),"",IF(AND(AK$3+6&gt;=$H25,AK$3&lt;=$I25),1,""))</f>
        <v/>
      </c>
      <c r="AL25" s="32" t="str">
        <f aca="false">IF(OR($B25="",$H25="",$I25=""),"",IF(AND(AL$3+6&gt;=$H25,AL$3&lt;=$I25),1,""))</f>
        <v/>
      </c>
      <c r="AM25" s="32" t="str">
        <f aca="false">IF(OR($B25="",$H25="",$I25=""),"",IF(AND(AM$3+6&gt;=$H25,AM$3&lt;=$I25),1,""))</f>
        <v/>
      </c>
      <c r="AN25" s="32" t="str">
        <f aca="false">IF(OR($B25="",$H25="",$I25=""),"",IF(AND(AN$3+6&gt;=$H25,AN$3&lt;=$I25),1,""))</f>
        <v/>
      </c>
      <c r="AO25" s="32" t="str">
        <f aca="false">IF(OR($B25="",$H25="",$I25=""),"",IF(AND(AO$3+6&gt;=$H25,AO$3&lt;=$I25),1,""))</f>
        <v/>
      </c>
      <c r="AP25" s="32" t="str">
        <f aca="false">IF(OR($B25="",$H25="",$I25=""),"",IF(AND(AP$3+6&gt;=$H25,AP$3&lt;=$I25),1,""))</f>
        <v/>
      </c>
      <c r="AQ25" s="32" t="str">
        <f aca="false">IF(OR($B25="",$H25="",$I25=""),"",IF(AND(AQ$3+6&gt;=$H25,AQ$3&lt;=$I25),1,""))</f>
        <v/>
      </c>
      <c r="AR25" s="32" t="str">
        <f aca="false">IF(OR($B25="",$H25="",$I25=""),"",IF(AND(AR$3+6&gt;=$H25,AR$3&lt;=$I25),1,""))</f>
        <v/>
      </c>
      <c r="AS25" s="32" t="str">
        <f aca="false">IF(OR($B25="",$H25="",$I25=""),"",IF(AND(AS$3+6&gt;=$H25,AS$3&lt;=$I25),1,""))</f>
        <v/>
      </c>
      <c r="AT25" s="32" t="str">
        <f aca="false">IF(OR($B25="",$H25="",$I25=""),"",IF(AND(AT$3+6&gt;=$H25,AT$3&lt;=$I25),1,""))</f>
        <v/>
      </c>
      <c r="AU25" s="32" t="str">
        <f aca="false">IF(OR($B25="",$H25="",$I25=""),"",IF(AND(AU$3+6&gt;=$H25,AU$3&lt;=$I25),1,""))</f>
        <v/>
      </c>
      <c r="AV25" s="32" t="str">
        <f aca="false">IF(OR($B25="",$H25="",$I25=""),"",IF(AND(AV$3+6&gt;=$H25,AV$3&lt;=$I25),1,""))</f>
        <v/>
      </c>
      <c r="AW25" s="32" t="str">
        <f aca="false">IF(OR($B25="",$H25="",$I25=""),"",IF(AND(AW$3+6&gt;=$H25,AW$3&lt;=$I25),1,""))</f>
        <v/>
      </c>
      <c r="AX25" s="32" t="str">
        <f aca="false">IF(OR($B25="",$H25="",$I25=""),"",IF(AND(AX$3+6&gt;=$H25,AX$3&lt;=$I25),1,""))</f>
        <v/>
      </c>
      <c r="AY25" s="32" t="str">
        <f aca="false">IF(OR($B25="",$H25="",$I25=""),"",IF(AND(AY$3+6&gt;=$H25,AY$3&lt;=$I25),1,""))</f>
        <v/>
      </c>
      <c r="AZ25" s="32" t="str">
        <f aca="false">IF(OR($B25="",$H25="",$I25=""),"",IF(AND(AZ$3+6&gt;=$H25,AZ$3&lt;=$I25),1,""))</f>
        <v/>
      </c>
      <c r="BA25" s="32" t="str">
        <f aca="false">IF(OR($B25="",$H25="",$I25=""),"",IF(AND(BA$3+6&gt;=$H25,BA$3&lt;=$I25),1,""))</f>
        <v/>
      </c>
      <c r="BB25" s="32" t="str">
        <f aca="false">IF(OR($B25="",$H25="",$I25=""),"",IF(AND(BB$3+6&gt;=$H25,BB$3&lt;=$I25),1,""))</f>
        <v/>
      </c>
      <c r="BC25" s="32" t="str">
        <f aca="false">IF(OR($B25="",$H25="",$I25=""),"",IF(AND(BC$3+6&gt;=$H25,BC$3&lt;=$I25),1,""))</f>
        <v/>
      </c>
      <c r="BD25" s="32" t="str">
        <f aca="false">IF(OR($B25="",$H25="",$I25=""),"",IF(AND(BD$3+6&gt;=$H25,BD$3&lt;=$I25),1,""))</f>
        <v/>
      </c>
      <c r="BE25" s="32" t="str">
        <f aca="false">IF(OR($B25="",$H25="",$I25=""),"",IF(AND(BE$3+6&gt;=$H25,BE$3&lt;=$I25),1,""))</f>
        <v/>
      </c>
      <c r="BF25" s="32" t="str">
        <f aca="false">IF(OR($B25="",$H25="",$I25=""),"",IF(AND(BF$3+6&gt;=$H25,BF$3&lt;=$I25),1,""))</f>
        <v/>
      </c>
      <c r="BG25" s="32" t="str">
        <f aca="false">IF(OR($B25="",$H25="",$I25=""),"",IF(AND(BG$3+6&gt;=$H25,BG$3&lt;=$I25),1,""))</f>
        <v/>
      </c>
      <c r="BH25" s="32" t="str">
        <f aca="false">IF(OR($B25="",$H25="",$I25=""),"",IF(AND(BH$3+6&gt;=$H25,BH$3&lt;=$I25),1,""))</f>
        <v/>
      </c>
      <c r="BI25" s="32" t="str">
        <f aca="false">IF(OR($B25="",$H25="",$I25=""),"",IF(AND(BI$3+6&gt;=$H25,BI$3&lt;=$I25),1,""))</f>
        <v/>
      </c>
      <c r="BJ25" s="32" t="str">
        <f aca="false">IF(OR($B25="",$H25="",$I25=""),"",IF(AND(BJ$3+6&gt;=$H25,BJ$3&lt;=$I25),1,""))</f>
        <v/>
      </c>
      <c r="BK25" s="32" t="str">
        <f aca="false">IF(OR($B25="",$H25="",$I25=""),"",IF(AND(BK$3+6&gt;=$H25,BK$3&lt;=$I25),1,""))</f>
        <v/>
      </c>
      <c r="BM25" s="0" t="str">
        <f aca="false">IF($E25="",",,",","&amp;SUBSTITUTE($E25," ","")&amp;",")</f>
        <v>,,</v>
      </c>
    </row>
    <row r="26" customFormat="false" ht="21.75" hidden="false" customHeight="true" outlineLevel="0" collapsed="false">
      <c r="A26" s="26" t="str">
        <f aca="false">IF(B26="","",COUNTA($B$7:B26))</f>
        <v/>
      </c>
      <c r="B26" s="27"/>
      <c r="C26" s="28"/>
      <c r="D26" s="28"/>
      <c r="E26" s="27"/>
      <c r="F26" s="29"/>
      <c r="G26" s="28"/>
      <c r="H26" s="30"/>
      <c r="I26" s="30"/>
      <c r="J26" s="31"/>
      <c r="K26" s="27"/>
      <c r="L26" s="32" t="str">
        <f aca="false">IF(OR($B26="",$H26="",$I26=""),"",IF(AND(L$3+6&gt;=$H26,L$3&lt;=$I26),1,""))</f>
        <v/>
      </c>
      <c r="M26" s="32" t="str">
        <f aca="false">IF(OR($B26="",$H26="",$I26=""),"",IF(AND(M$3+6&gt;=$H26,M$3&lt;=$I26),1,""))</f>
        <v/>
      </c>
      <c r="N26" s="32" t="str">
        <f aca="false">IF(OR($B26="",$H26="",$I26=""),"",IF(AND(N$3+6&gt;=$H26,N$3&lt;=$I26),1,""))</f>
        <v/>
      </c>
      <c r="O26" s="32" t="str">
        <f aca="false">IF(OR($B26="",$H26="",$I26=""),"",IF(AND(O$3+6&gt;=$H26,O$3&lt;=$I26),1,""))</f>
        <v/>
      </c>
      <c r="P26" s="32" t="str">
        <f aca="false">IF(OR($B26="",$H26="",$I26=""),"",IF(AND(P$3+6&gt;=$H26,P$3&lt;=$I26),1,""))</f>
        <v/>
      </c>
      <c r="Q26" s="32" t="str">
        <f aca="false">IF(OR($B26="",$H26="",$I26=""),"",IF(AND(Q$3+6&gt;=$H26,Q$3&lt;=$I26),1,""))</f>
        <v/>
      </c>
      <c r="R26" s="32" t="str">
        <f aca="false">IF(OR($B26="",$H26="",$I26=""),"",IF(AND(R$3+6&gt;=$H26,R$3&lt;=$I26),1,""))</f>
        <v/>
      </c>
      <c r="S26" s="32" t="str">
        <f aca="false">IF(OR($B26="",$H26="",$I26=""),"",IF(AND(S$3+6&gt;=$H26,S$3&lt;=$I26),1,""))</f>
        <v/>
      </c>
      <c r="T26" s="32" t="str">
        <f aca="false">IF(OR($B26="",$H26="",$I26=""),"",IF(AND(T$3+6&gt;=$H26,T$3&lt;=$I26),1,""))</f>
        <v/>
      </c>
      <c r="U26" s="32" t="str">
        <f aca="false">IF(OR($B26="",$H26="",$I26=""),"",IF(AND(U$3+6&gt;=$H26,U$3&lt;=$I26),1,""))</f>
        <v/>
      </c>
      <c r="V26" s="32" t="str">
        <f aca="false">IF(OR($B26="",$H26="",$I26=""),"",IF(AND(V$3+6&gt;=$H26,V$3&lt;=$I26),1,""))</f>
        <v/>
      </c>
      <c r="W26" s="32" t="str">
        <f aca="false">IF(OR($B26="",$H26="",$I26=""),"",IF(AND(W$3+6&gt;=$H26,W$3&lt;=$I26),1,""))</f>
        <v/>
      </c>
      <c r="X26" s="32" t="str">
        <f aca="false">IF(OR($B26="",$H26="",$I26=""),"",IF(AND(X$3+6&gt;=$H26,X$3&lt;=$I26),1,""))</f>
        <v/>
      </c>
      <c r="Y26" s="32" t="str">
        <f aca="false">IF(OR($B26="",$H26="",$I26=""),"",IF(AND(Y$3+6&gt;=$H26,Y$3&lt;=$I26),1,""))</f>
        <v/>
      </c>
      <c r="Z26" s="32" t="str">
        <f aca="false">IF(OR($B26="",$H26="",$I26=""),"",IF(AND(Z$3+6&gt;=$H26,Z$3&lt;=$I26),1,""))</f>
        <v/>
      </c>
      <c r="AA26" s="32" t="str">
        <f aca="false">IF(OR($B26="",$H26="",$I26=""),"",IF(AND(AA$3+6&gt;=$H26,AA$3&lt;=$I26),1,""))</f>
        <v/>
      </c>
      <c r="AB26" s="32" t="str">
        <f aca="false">IF(OR($B26="",$H26="",$I26=""),"",IF(AND(AB$3+6&gt;=$H26,AB$3&lt;=$I26),1,""))</f>
        <v/>
      </c>
      <c r="AC26" s="32" t="str">
        <f aca="false">IF(OR($B26="",$H26="",$I26=""),"",IF(AND(AC$3+6&gt;=$H26,AC$3&lt;=$I26),1,""))</f>
        <v/>
      </c>
      <c r="AD26" s="32" t="str">
        <f aca="false">IF(OR($B26="",$H26="",$I26=""),"",IF(AND(AD$3+6&gt;=$H26,AD$3&lt;=$I26),1,""))</f>
        <v/>
      </c>
      <c r="AE26" s="32" t="str">
        <f aca="false">IF(OR($B26="",$H26="",$I26=""),"",IF(AND(AE$3+6&gt;=$H26,AE$3&lt;=$I26),1,""))</f>
        <v/>
      </c>
      <c r="AF26" s="32" t="str">
        <f aca="false">IF(OR($B26="",$H26="",$I26=""),"",IF(AND(AF$3+6&gt;=$H26,AF$3&lt;=$I26),1,""))</f>
        <v/>
      </c>
      <c r="AG26" s="32" t="str">
        <f aca="false">IF(OR($B26="",$H26="",$I26=""),"",IF(AND(AG$3+6&gt;=$H26,AG$3&lt;=$I26),1,""))</f>
        <v/>
      </c>
      <c r="AH26" s="32" t="str">
        <f aca="false">IF(OR($B26="",$H26="",$I26=""),"",IF(AND(AH$3+6&gt;=$H26,AH$3&lt;=$I26),1,""))</f>
        <v/>
      </c>
      <c r="AI26" s="32" t="str">
        <f aca="false">IF(OR($B26="",$H26="",$I26=""),"",IF(AND(AI$3+6&gt;=$H26,AI$3&lt;=$I26),1,""))</f>
        <v/>
      </c>
      <c r="AJ26" s="32" t="str">
        <f aca="false">IF(OR($B26="",$H26="",$I26=""),"",IF(AND(AJ$3+6&gt;=$H26,AJ$3&lt;=$I26),1,""))</f>
        <v/>
      </c>
      <c r="AK26" s="32" t="str">
        <f aca="false">IF(OR($B26="",$H26="",$I26=""),"",IF(AND(AK$3+6&gt;=$H26,AK$3&lt;=$I26),1,""))</f>
        <v/>
      </c>
      <c r="AL26" s="32" t="str">
        <f aca="false">IF(OR($B26="",$H26="",$I26=""),"",IF(AND(AL$3+6&gt;=$H26,AL$3&lt;=$I26),1,""))</f>
        <v/>
      </c>
      <c r="AM26" s="32" t="str">
        <f aca="false">IF(OR($B26="",$H26="",$I26=""),"",IF(AND(AM$3+6&gt;=$H26,AM$3&lt;=$I26),1,""))</f>
        <v/>
      </c>
      <c r="AN26" s="32" t="str">
        <f aca="false">IF(OR($B26="",$H26="",$I26=""),"",IF(AND(AN$3+6&gt;=$H26,AN$3&lt;=$I26),1,""))</f>
        <v/>
      </c>
      <c r="AO26" s="32" t="str">
        <f aca="false">IF(OR($B26="",$H26="",$I26=""),"",IF(AND(AO$3+6&gt;=$H26,AO$3&lt;=$I26),1,""))</f>
        <v/>
      </c>
      <c r="AP26" s="32" t="str">
        <f aca="false">IF(OR($B26="",$H26="",$I26=""),"",IF(AND(AP$3+6&gt;=$H26,AP$3&lt;=$I26),1,""))</f>
        <v/>
      </c>
      <c r="AQ26" s="32" t="str">
        <f aca="false">IF(OR($B26="",$H26="",$I26=""),"",IF(AND(AQ$3+6&gt;=$H26,AQ$3&lt;=$I26),1,""))</f>
        <v/>
      </c>
      <c r="AR26" s="32" t="str">
        <f aca="false">IF(OR($B26="",$H26="",$I26=""),"",IF(AND(AR$3+6&gt;=$H26,AR$3&lt;=$I26),1,""))</f>
        <v/>
      </c>
      <c r="AS26" s="32" t="str">
        <f aca="false">IF(OR($B26="",$H26="",$I26=""),"",IF(AND(AS$3+6&gt;=$H26,AS$3&lt;=$I26),1,""))</f>
        <v/>
      </c>
      <c r="AT26" s="32" t="str">
        <f aca="false">IF(OR($B26="",$H26="",$I26=""),"",IF(AND(AT$3+6&gt;=$H26,AT$3&lt;=$I26),1,""))</f>
        <v/>
      </c>
      <c r="AU26" s="32" t="str">
        <f aca="false">IF(OR($B26="",$H26="",$I26=""),"",IF(AND(AU$3+6&gt;=$H26,AU$3&lt;=$I26),1,""))</f>
        <v/>
      </c>
      <c r="AV26" s="32" t="str">
        <f aca="false">IF(OR($B26="",$H26="",$I26=""),"",IF(AND(AV$3+6&gt;=$H26,AV$3&lt;=$I26),1,""))</f>
        <v/>
      </c>
      <c r="AW26" s="32" t="str">
        <f aca="false">IF(OR($B26="",$H26="",$I26=""),"",IF(AND(AW$3+6&gt;=$H26,AW$3&lt;=$I26),1,""))</f>
        <v/>
      </c>
      <c r="AX26" s="32" t="str">
        <f aca="false">IF(OR($B26="",$H26="",$I26=""),"",IF(AND(AX$3+6&gt;=$H26,AX$3&lt;=$I26),1,""))</f>
        <v/>
      </c>
      <c r="AY26" s="32" t="str">
        <f aca="false">IF(OR($B26="",$H26="",$I26=""),"",IF(AND(AY$3+6&gt;=$H26,AY$3&lt;=$I26),1,""))</f>
        <v/>
      </c>
      <c r="AZ26" s="32" t="str">
        <f aca="false">IF(OR($B26="",$H26="",$I26=""),"",IF(AND(AZ$3+6&gt;=$H26,AZ$3&lt;=$I26),1,""))</f>
        <v/>
      </c>
      <c r="BA26" s="32" t="str">
        <f aca="false">IF(OR($B26="",$H26="",$I26=""),"",IF(AND(BA$3+6&gt;=$H26,BA$3&lt;=$I26),1,""))</f>
        <v/>
      </c>
      <c r="BB26" s="32" t="str">
        <f aca="false">IF(OR($B26="",$H26="",$I26=""),"",IF(AND(BB$3+6&gt;=$H26,BB$3&lt;=$I26),1,""))</f>
        <v/>
      </c>
      <c r="BC26" s="32" t="str">
        <f aca="false">IF(OR($B26="",$H26="",$I26=""),"",IF(AND(BC$3+6&gt;=$H26,BC$3&lt;=$I26),1,""))</f>
        <v/>
      </c>
      <c r="BD26" s="32" t="str">
        <f aca="false">IF(OR($B26="",$H26="",$I26=""),"",IF(AND(BD$3+6&gt;=$H26,BD$3&lt;=$I26),1,""))</f>
        <v/>
      </c>
      <c r="BE26" s="32" t="str">
        <f aca="false">IF(OR($B26="",$H26="",$I26=""),"",IF(AND(BE$3+6&gt;=$H26,BE$3&lt;=$I26),1,""))</f>
        <v/>
      </c>
      <c r="BF26" s="32" t="str">
        <f aca="false">IF(OR($B26="",$H26="",$I26=""),"",IF(AND(BF$3+6&gt;=$H26,BF$3&lt;=$I26),1,""))</f>
        <v/>
      </c>
      <c r="BG26" s="32" t="str">
        <f aca="false">IF(OR($B26="",$H26="",$I26=""),"",IF(AND(BG$3+6&gt;=$H26,BG$3&lt;=$I26),1,""))</f>
        <v/>
      </c>
      <c r="BH26" s="32" t="str">
        <f aca="false">IF(OR($B26="",$H26="",$I26=""),"",IF(AND(BH$3+6&gt;=$H26,BH$3&lt;=$I26),1,""))</f>
        <v/>
      </c>
      <c r="BI26" s="32" t="str">
        <f aca="false">IF(OR($B26="",$H26="",$I26=""),"",IF(AND(BI$3+6&gt;=$H26,BI$3&lt;=$I26),1,""))</f>
        <v/>
      </c>
      <c r="BJ26" s="32" t="str">
        <f aca="false">IF(OR($B26="",$H26="",$I26=""),"",IF(AND(BJ$3+6&gt;=$H26,BJ$3&lt;=$I26),1,""))</f>
        <v/>
      </c>
      <c r="BK26" s="32" t="str">
        <f aca="false">IF(OR($B26="",$H26="",$I26=""),"",IF(AND(BK$3+6&gt;=$H26,BK$3&lt;=$I26),1,""))</f>
        <v/>
      </c>
      <c r="BM26" s="0" t="str">
        <f aca="false">IF($E26="",",,",","&amp;SUBSTITUTE($E26," ","")&amp;",")</f>
        <v>,,</v>
      </c>
    </row>
    <row r="27" customFormat="false" ht="21.75" hidden="false" customHeight="true" outlineLevel="0" collapsed="false">
      <c r="A27" s="26" t="str">
        <f aca="false">IF(B27="","",COUNTA($B$7:B27))</f>
        <v/>
      </c>
      <c r="B27" s="27"/>
      <c r="C27" s="28"/>
      <c r="D27" s="28"/>
      <c r="E27" s="27"/>
      <c r="F27" s="29"/>
      <c r="G27" s="28"/>
      <c r="H27" s="30"/>
      <c r="I27" s="30"/>
      <c r="J27" s="31"/>
      <c r="K27" s="27"/>
      <c r="L27" s="32" t="str">
        <f aca="false">IF(OR($B27="",$H27="",$I27=""),"",IF(AND(L$3+6&gt;=$H27,L$3&lt;=$I27),1,""))</f>
        <v/>
      </c>
      <c r="M27" s="32" t="str">
        <f aca="false">IF(OR($B27="",$H27="",$I27=""),"",IF(AND(M$3+6&gt;=$H27,M$3&lt;=$I27),1,""))</f>
        <v/>
      </c>
      <c r="N27" s="32" t="str">
        <f aca="false">IF(OR($B27="",$H27="",$I27=""),"",IF(AND(N$3+6&gt;=$H27,N$3&lt;=$I27),1,""))</f>
        <v/>
      </c>
      <c r="O27" s="32" t="str">
        <f aca="false">IF(OR($B27="",$H27="",$I27=""),"",IF(AND(O$3+6&gt;=$H27,O$3&lt;=$I27),1,""))</f>
        <v/>
      </c>
      <c r="P27" s="32" t="str">
        <f aca="false">IF(OR($B27="",$H27="",$I27=""),"",IF(AND(P$3+6&gt;=$H27,P$3&lt;=$I27),1,""))</f>
        <v/>
      </c>
      <c r="Q27" s="32" t="str">
        <f aca="false">IF(OR($B27="",$H27="",$I27=""),"",IF(AND(Q$3+6&gt;=$H27,Q$3&lt;=$I27),1,""))</f>
        <v/>
      </c>
      <c r="R27" s="32" t="str">
        <f aca="false">IF(OR($B27="",$H27="",$I27=""),"",IF(AND(R$3+6&gt;=$H27,R$3&lt;=$I27),1,""))</f>
        <v/>
      </c>
      <c r="S27" s="32" t="str">
        <f aca="false">IF(OR($B27="",$H27="",$I27=""),"",IF(AND(S$3+6&gt;=$H27,S$3&lt;=$I27),1,""))</f>
        <v/>
      </c>
      <c r="T27" s="32" t="str">
        <f aca="false">IF(OR($B27="",$H27="",$I27=""),"",IF(AND(T$3+6&gt;=$H27,T$3&lt;=$I27),1,""))</f>
        <v/>
      </c>
      <c r="U27" s="32" t="str">
        <f aca="false">IF(OR($B27="",$H27="",$I27=""),"",IF(AND(U$3+6&gt;=$H27,U$3&lt;=$I27),1,""))</f>
        <v/>
      </c>
      <c r="V27" s="32" t="str">
        <f aca="false">IF(OR($B27="",$H27="",$I27=""),"",IF(AND(V$3+6&gt;=$H27,V$3&lt;=$I27),1,""))</f>
        <v/>
      </c>
      <c r="W27" s="32" t="str">
        <f aca="false">IF(OR($B27="",$H27="",$I27=""),"",IF(AND(W$3+6&gt;=$H27,W$3&lt;=$I27),1,""))</f>
        <v/>
      </c>
      <c r="X27" s="32" t="str">
        <f aca="false">IF(OR($B27="",$H27="",$I27=""),"",IF(AND(X$3+6&gt;=$H27,X$3&lt;=$I27),1,""))</f>
        <v/>
      </c>
      <c r="Y27" s="32" t="str">
        <f aca="false">IF(OR($B27="",$H27="",$I27=""),"",IF(AND(Y$3+6&gt;=$H27,Y$3&lt;=$I27),1,""))</f>
        <v/>
      </c>
      <c r="Z27" s="32" t="str">
        <f aca="false">IF(OR($B27="",$H27="",$I27=""),"",IF(AND(Z$3+6&gt;=$H27,Z$3&lt;=$I27),1,""))</f>
        <v/>
      </c>
      <c r="AA27" s="32" t="str">
        <f aca="false">IF(OR($B27="",$H27="",$I27=""),"",IF(AND(AA$3+6&gt;=$H27,AA$3&lt;=$I27),1,""))</f>
        <v/>
      </c>
      <c r="AB27" s="32" t="str">
        <f aca="false">IF(OR($B27="",$H27="",$I27=""),"",IF(AND(AB$3+6&gt;=$H27,AB$3&lt;=$I27),1,""))</f>
        <v/>
      </c>
      <c r="AC27" s="32" t="str">
        <f aca="false">IF(OR($B27="",$H27="",$I27=""),"",IF(AND(AC$3+6&gt;=$H27,AC$3&lt;=$I27),1,""))</f>
        <v/>
      </c>
      <c r="AD27" s="32" t="str">
        <f aca="false">IF(OR($B27="",$H27="",$I27=""),"",IF(AND(AD$3+6&gt;=$H27,AD$3&lt;=$I27),1,""))</f>
        <v/>
      </c>
      <c r="AE27" s="32" t="str">
        <f aca="false">IF(OR($B27="",$H27="",$I27=""),"",IF(AND(AE$3+6&gt;=$H27,AE$3&lt;=$I27),1,""))</f>
        <v/>
      </c>
      <c r="AF27" s="32" t="str">
        <f aca="false">IF(OR($B27="",$H27="",$I27=""),"",IF(AND(AF$3+6&gt;=$H27,AF$3&lt;=$I27),1,""))</f>
        <v/>
      </c>
      <c r="AG27" s="32" t="str">
        <f aca="false">IF(OR($B27="",$H27="",$I27=""),"",IF(AND(AG$3+6&gt;=$H27,AG$3&lt;=$I27),1,""))</f>
        <v/>
      </c>
      <c r="AH27" s="32" t="str">
        <f aca="false">IF(OR($B27="",$H27="",$I27=""),"",IF(AND(AH$3+6&gt;=$H27,AH$3&lt;=$I27),1,""))</f>
        <v/>
      </c>
      <c r="AI27" s="32" t="str">
        <f aca="false">IF(OR($B27="",$H27="",$I27=""),"",IF(AND(AI$3+6&gt;=$H27,AI$3&lt;=$I27),1,""))</f>
        <v/>
      </c>
      <c r="AJ27" s="32" t="str">
        <f aca="false">IF(OR($B27="",$H27="",$I27=""),"",IF(AND(AJ$3+6&gt;=$H27,AJ$3&lt;=$I27),1,""))</f>
        <v/>
      </c>
      <c r="AK27" s="32" t="str">
        <f aca="false">IF(OR($B27="",$H27="",$I27=""),"",IF(AND(AK$3+6&gt;=$H27,AK$3&lt;=$I27),1,""))</f>
        <v/>
      </c>
      <c r="AL27" s="32" t="str">
        <f aca="false">IF(OR($B27="",$H27="",$I27=""),"",IF(AND(AL$3+6&gt;=$H27,AL$3&lt;=$I27),1,""))</f>
        <v/>
      </c>
      <c r="AM27" s="32" t="str">
        <f aca="false">IF(OR($B27="",$H27="",$I27=""),"",IF(AND(AM$3+6&gt;=$H27,AM$3&lt;=$I27),1,""))</f>
        <v/>
      </c>
      <c r="AN27" s="32" t="str">
        <f aca="false">IF(OR($B27="",$H27="",$I27=""),"",IF(AND(AN$3+6&gt;=$H27,AN$3&lt;=$I27),1,""))</f>
        <v/>
      </c>
      <c r="AO27" s="32" t="str">
        <f aca="false">IF(OR($B27="",$H27="",$I27=""),"",IF(AND(AO$3+6&gt;=$H27,AO$3&lt;=$I27),1,""))</f>
        <v/>
      </c>
      <c r="AP27" s="32" t="str">
        <f aca="false">IF(OR($B27="",$H27="",$I27=""),"",IF(AND(AP$3+6&gt;=$H27,AP$3&lt;=$I27),1,""))</f>
        <v/>
      </c>
      <c r="AQ27" s="32" t="str">
        <f aca="false">IF(OR($B27="",$H27="",$I27=""),"",IF(AND(AQ$3+6&gt;=$H27,AQ$3&lt;=$I27),1,""))</f>
        <v/>
      </c>
      <c r="AR27" s="32" t="str">
        <f aca="false">IF(OR($B27="",$H27="",$I27=""),"",IF(AND(AR$3+6&gt;=$H27,AR$3&lt;=$I27),1,""))</f>
        <v/>
      </c>
      <c r="AS27" s="32" t="str">
        <f aca="false">IF(OR($B27="",$H27="",$I27=""),"",IF(AND(AS$3+6&gt;=$H27,AS$3&lt;=$I27),1,""))</f>
        <v/>
      </c>
      <c r="AT27" s="32" t="str">
        <f aca="false">IF(OR($B27="",$H27="",$I27=""),"",IF(AND(AT$3+6&gt;=$H27,AT$3&lt;=$I27),1,""))</f>
        <v/>
      </c>
      <c r="AU27" s="32" t="str">
        <f aca="false">IF(OR($B27="",$H27="",$I27=""),"",IF(AND(AU$3+6&gt;=$H27,AU$3&lt;=$I27),1,""))</f>
        <v/>
      </c>
      <c r="AV27" s="32" t="str">
        <f aca="false">IF(OR($B27="",$H27="",$I27=""),"",IF(AND(AV$3+6&gt;=$H27,AV$3&lt;=$I27),1,""))</f>
        <v/>
      </c>
      <c r="AW27" s="32" t="str">
        <f aca="false">IF(OR($B27="",$H27="",$I27=""),"",IF(AND(AW$3+6&gt;=$H27,AW$3&lt;=$I27),1,""))</f>
        <v/>
      </c>
      <c r="AX27" s="32" t="str">
        <f aca="false">IF(OR($B27="",$H27="",$I27=""),"",IF(AND(AX$3+6&gt;=$H27,AX$3&lt;=$I27),1,""))</f>
        <v/>
      </c>
      <c r="AY27" s="32" t="str">
        <f aca="false">IF(OR($B27="",$H27="",$I27=""),"",IF(AND(AY$3+6&gt;=$H27,AY$3&lt;=$I27),1,""))</f>
        <v/>
      </c>
      <c r="AZ27" s="32" t="str">
        <f aca="false">IF(OR($B27="",$H27="",$I27=""),"",IF(AND(AZ$3+6&gt;=$H27,AZ$3&lt;=$I27),1,""))</f>
        <v/>
      </c>
      <c r="BA27" s="32" t="str">
        <f aca="false">IF(OR($B27="",$H27="",$I27=""),"",IF(AND(BA$3+6&gt;=$H27,BA$3&lt;=$I27),1,""))</f>
        <v/>
      </c>
      <c r="BB27" s="32" t="str">
        <f aca="false">IF(OR($B27="",$H27="",$I27=""),"",IF(AND(BB$3+6&gt;=$H27,BB$3&lt;=$I27),1,""))</f>
        <v/>
      </c>
      <c r="BC27" s="32" t="str">
        <f aca="false">IF(OR($B27="",$H27="",$I27=""),"",IF(AND(BC$3+6&gt;=$H27,BC$3&lt;=$I27),1,""))</f>
        <v/>
      </c>
      <c r="BD27" s="32" t="str">
        <f aca="false">IF(OR($B27="",$H27="",$I27=""),"",IF(AND(BD$3+6&gt;=$H27,BD$3&lt;=$I27),1,""))</f>
        <v/>
      </c>
      <c r="BE27" s="32" t="str">
        <f aca="false">IF(OR($B27="",$H27="",$I27=""),"",IF(AND(BE$3+6&gt;=$H27,BE$3&lt;=$I27),1,""))</f>
        <v/>
      </c>
      <c r="BF27" s="32" t="str">
        <f aca="false">IF(OR($B27="",$H27="",$I27=""),"",IF(AND(BF$3+6&gt;=$H27,BF$3&lt;=$I27),1,""))</f>
        <v/>
      </c>
      <c r="BG27" s="32" t="str">
        <f aca="false">IF(OR($B27="",$H27="",$I27=""),"",IF(AND(BG$3+6&gt;=$H27,BG$3&lt;=$I27),1,""))</f>
        <v/>
      </c>
      <c r="BH27" s="32" t="str">
        <f aca="false">IF(OR($B27="",$H27="",$I27=""),"",IF(AND(BH$3+6&gt;=$H27,BH$3&lt;=$I27),1,""))</f>
        <v/>
      </c>
      <c r="BI27" s="32" t="str">
        <f aca="false">IF(OR($B27="",$H27="",$I27=""),"",IF(AND(BI$3+6&gt;=$H27,BI$3&lt;=$I27),1,""))</f>
        <v/>
      </c>
      <c r="BJ27" s="32" t="str">
        <f aca="false">IF(OR($B27="",$H27="",$I27=""),"",IF(AND(BJ$3+6&gt;=$H27,BJ$3&lt;=$I27),1,""))</f>
        <v/>
      </c>
      <c r="BK27" s="32" t="str">
        <f aca="false">IF(OR($B27="",$H27="",$I27=""),"",IF(AND(BK$3+6&gt;=$H27,BK$3&lt;=$I27),1,""))</f>
        <v/>
      </c>
      <c r="BM27" s="0" t="str">
        <f aca="false">IF($E27="",",,",","&amp;SUBSTITUTE($E27," ","")&amp;",")</f>
        <v>,,</v>
      </c>
    </row>
    <row r="28" customFormat="false" ht="21.75" hidden="false" customHeight="true" outlineLevel="0" collapsed="false">
      <c r="A28" s="26" t="str">
        <f aca="false">IF(B28="","",COUNTA($B$7:B28))</f>
        <v/>
      </c>
      <c r="B28" s="27"/>
      <c r="C28" s="28"/>
      <c r="D28" s="28"/>
      <c r="E28" s="27"/>
      <c r="F28" s="29"/>
      <c r="G28" s="28"/>
      <c r="H28" s="30"/>
      <c r="I28" s="30"/>
      <c r="J28" s="31"/>
      <c r="K28" s="27"/>
      <c r="L28" s="32" t="str">
        <f aca="false">IF(OR($B28="",$H28="",$I28=""),"",IF(AND(L$3+6&gt;=$H28,L$3&lt;=$I28),1,""))</f>
        <v/>
      </c>
      <c r="M28" s="32" t="str">
        <f aca="false">IF(OR($B28="",$H28="",$I28=""),"",IF(AND(M$3+6&gt;=$H28,M$3&lt;=$I28),1,""))</f>
        <v/>
      </c>
      <c r="N28" s="32" t="str">
        <f aca="false">IF(OR($B28="",$H28="",$I28=""),"",IF(AND(N$3+6&gt;=$H28,N$3&lt;=$I28),1,""))</f>
        <v/>
      </c>
      <c r="O28" s="32" t="str">
        <f aca="false">IF(OR($B28="",$H28="",$I28=""),"",IF(AND(O$3+6&gt;=$H28,O$3&lt;=$I28),1,""))</f>
        <v/>
      </c>
      <c r="P28" s="32" t="str">
        <f aca="false">IF(OR($B28="",$H28="",$I28=""),"",IF(AND(P$3+6&gt;=$H28,P$3&lt;=$I28),1,""))</f>
        <v/>
      </c>
      <c r="Q28" s="32" t="str">
        <f aca="false">IF(OR($B28="",$H28="",$I28=""),"",IF(AND(Q$3+6&gt;=$H28,Q$3&lt;=$I28),1,""))</f>
        <v/>
      </c>
      <c r="R28" s="32" t="str">
        <f aca="false">IF(OR($B28="",$H28="",$I28=""),"",IF(AND(R$3+6&gt;=$H28,R$3&lt;=$I28),1,""))</f>
        <v/>
      </c>
      <c r="S28" s="32" t="str">
        <f aca="false">IF(OR($B28="",$H28="",$I28=""),"",IF(AND(S$3+6&gt;=$H28,S$3&lt;=$I28),1,""))</f>
        <v/>
      </c>
      <c r="T28" s="32" t="str">
        <f aca="false">IF(OR($B28="",$H28="",$I28=""),"",IF(AND(T$3+6&gt;=$H28,T$3&lt;=$I28),1,""))</f>
        <v/>
      </c>
      <c r="U28" s="32" t="str">
        <f aca="false">IF(OR($B28="",$H28="",$I28=""),"",IF(AND(U$3+6&gt;=$H28,U$3&lt;=$I28),1,""))</f>
        <v/>
      </c>
      <c r="V28" s="32" t="str">
        <f aca="false">IF(OR($B28="",$H28="",$I28=""),"",IF(AND(V$3+6&gt;=$H28,V$3&lt;=$I28),1,""))</f>
        <v/>
      </c>
      <c r="W28" s="32" t="str">
        <f aca="false">IF(OR($B28="",$H28="",$I28=""),"",IF(AND(W$3+6&gt;=$H28,W$3&lt;=$I28),1,""))</f>
        <v/>
      </c>
      <c r="X28" s="32" t="str">
        <f aca="false">IF(OR($B28="",$H28="",$I28=""),"",IF(AND(X$3+6&gt;=$H28,X$3&lt;=$I28),1,""))</f>
        <v/>
      </c>
      <c r="Y28" s="32" t="str">
        <f aca="false">IF(OR($B28="",$H28="",$I28=""),"",IF(AND(Y$3+6&gt;=$H28,Y$3&lt;=$I28),1,""))</f>
        <v/>
      </c>
      <c r="Z28" s="32" t="str">
        <f aca="false">IF(OR($B28="",$H28="",$I28=""),"",IF(AND(Z$3+6&gt;=$H28,Z$3&lt;=$I28),1,""))</f>
        <v/>
      </c>
      <c r="AA28" s="32" t="str">
        <f aca="false">IF(OR($B28="",$H28="",$I28=""),"",IF(AND(AA$3+6&gt;=$H28,AA$3&lt;=$I28),1,""))</f>
        <v/>
      </c>
      <c r="AB28" s="32" t="str">
        <f aca="false">IF(OR($B28="",$H28="",$I28=""),"",IF(AND(AB$3+6&gt;=$H28,AB$3&lt;=$I28),1,""))</f>
        <v/>
      </c>
      <c r="AC28" s="32" t="str">
        <f aca="false">IF(OR($B28="",$H28="",$I28=""),"",IF(AND(AC$3+6&gt;=$H28,AC$3&lt;=$I28),1,""))</f>
        <v/>
      </c>
      <c r="AD28" s="32" t="str">
        <f aca="false">IF(OR($B28="",$H28="",$I28=""),"",IF(AND(AD$3+6&gt;=$H28,AD$3&lt;=$I28),1,""))</f>
        <v/>
      </c>
      <c r="AE28" s="32" t="str">
        <f aca="false">IF(OR($B28="",$H28="",$I28=""),"",IF(AND(AE$3+6&gt;=$H28,AE$3&lt;=$I28),1,""))</f>
        <v/>
      </c>
      <c r="AF28" s="32" t="str">
        <f aca="false">IF(OR($B28="",$H28="",$I28=""),"",IF(AND(AF$3+6&gt;=$H28,AF$3&lt;=$I28),1,""))</f>
        <v/>
      </c>
      <c r="AG28" s="32" t="str">
        <f aca="false">IF(OR($B28="",$H28="",$I28=""),"",IF(AND(AG$3+6&gt;=$H28,AG$3&lt;=$I28),1,""))</f>
        <v/>
      </c>
      <c r="AH28" s="32" t="str">
        <f aca="false">IF(OR($B28="",$H28="",$I28=""),"",IF(AND(AH$3+6&gt;=$H28,AH$3&lt;=$I28),1,""))</f>
        <v/>
      </c>
      <c r="AI28" s="32" t="str">
        <f aca="false">IF(OR($B28="",$H28="",$I28=""),"",IF(AND(AI$3+6&gt;=$H28,AI$3&lt;=$I28),1,""))</f>
        <v/>
      </c>
      <c r="AJ28" s="32" t="str">
        <f aca="false">IF(OR($B28="",$H28="",$I28=""),"",IF(AND(AJ$3+6&gt;=$H28,AJ$3&lt;=$I28),1,""))</f>
        <v/>
      </c>
      <c r="AK28" s="32" t="str">
        <f aca="false">IF(OR($B28="",$H28="",$I28=""),"",IF(AND(AK$3+6&gt;=$H28,AK$3&lt;=$I28),1,""))</f>
        <v/>
      </c>
      <c r="AL28" s="32" t="str">
        <f aca="false">IF(OR($B28="",$H28="",$I28=""),"",IF(AND(AL$3+6&gt;=$H28,AL$3&lt;=$I28),1,""))</f>
        <v/>
      </c>
      <c r="AM28" s="32" t="str">
        <f aca="false">IF(OR($B28="",$H28="",$I28=""),"",IF(AND(AM$3+6&gt;=$H28,AM$3&lt;=$I28),1,""))</f>
        <v/>
      </c>
      <c r="AN28" s="32" t="str">
        <f aca="false">IF(OR($B28="",$H28="",$I28=""),"",IF(AND(AN$3+6&gt;=$H28,AN$3&lt;=$I28),1,""))</f>
        <v/>
      </c>
      <c r="AO28" s="32" t="str">
        <f aca="false">IF(OR($B28="",$H28="",$I28=""),"",IF(AND(AO$3+6&gt;=$H28,AO$3&lt;=$I28),1,""))</f>
        <v/>
      </c>
      <c r="AP28" s="32" t="str">
        <f aca="false">IF(OR($B28="",$H28="",$I28=""),"",IF(AND(AP$3+6&gt;=$H28,AP$3&lt;=$I28),1,""))</f>
        <v/>
      </c>
      <c r="AQ28" s="32" t="str">
        <f aca="false">IF(OR($B28="",$H28="",$I28=""),"",IF(AND(AQ$3+6&gt;=$H28,AQ$3&lt;=$I28),1,""))</f>
        <v/>
      </c>
      <c r="AR28" s="32" t="str">
        <f aca="false">IF(OR($B28="",$H28="",$I28=""),"",IF(AND(AR$3+6&gt;=$H28,AR$3&lt;=$I28),1,""))</f>
        <v/>
      </c>
      <c r="AS28" s="32" t="str">
        <f aca="false">IF(OR($B28="",$H28="",$I28=""),"",IF(AND(AS$3+6&gt;=$H28,AS$3&lt;=$I28),1,""))</f>
        <v/>
      </c>
      <c r="AT28" s="32" t="str">
        <f aca="false">IF(OR($B28="",$H28="",$I28=""),"",IF(AND(AT$3+6&gt;=$H28,AT$3&lt;=$I28),1,""))</f>
        <v/>
      </c>
      <c r="AU28" s="32" t="str">
        <f aca="false">IF(OR($B28="",$H28="",$I28=""),"",IF(AND(AU$3+6&gt;=$H28,AU$3&lt;=$I28),1,""))</f>
        <v/>
      </c>
      <c r="AV28" s="32" t="str">
        <f aca="false">IF(OR($B28="",$H28="",$I28=""),"",IF(AND(AV$3+6&gt;=$H28,AV$3&lt;=$I28),1,""))</f>
        <v/>
      </c>
      <c r="AW28" s="32" t="str">
        <f aca="false">IF(OR($B28="",$H28="",$I28=""),"",IF(AND(AW$3+6&gt;=$H28,AW$3&lt;=$I28),1,""))</f>
        <v/>
      </c>
      <c r="AX28" s="32" t="str">
        <f aca="false">IF(OR($B28="",$H28="",$I28=""),"",IF(AND(AX$3+6&gt;=$H28,AX$3&lt;=$I28),1,""))</f>
        <v/>
      </c>
      <c r="AY28" s="32" t="str">
        <f aca="false">IF(OR($B28="",$H28="",$I28=""),"",IF(AND(AY$3+6&gt;=$H28,AY$3&lt;=$I28),1,""))</f>
        <v/>
      </c>
      <c r="AZ28" s="32" t="str">
        <f aca="false">IF(OR($B28="",$H28="",$I28=""),"",IF(AND(AZ$3+6&gt;=$H28,AZ$3&lt;=$I28),1,""))</f>
        <v/>
      </c>
      <c r="BA28" s="32" t="str">
        <f aca="false">IF(OR($B28="",$H28="",$I28=""),"",IF(AND(BA$3+6&gt;=$H28,BA$3&lt;=$I28),1,""))</f>
        <v/>
      </c>
      <c r="BB28" s="32" t="str">
        <f aca="false">IF(OR($B28="",$H28="",$I28=""),"",IF(AND(BB$3+6&gt;=$H28,BB$3&lt;=$I28),1,""))</f>
        <v/>
      </c>
      <c r="BC28" s="32" t="str">
        <f aca="false">IF(OR($B28="",$H28="",$I28=""),"",IF(AND(BC$3+6&gt;=$H28,BC$3&lt;=$I28),1,""))</f>
        <v/>
      </c>
      <c r="BD28" s="32" t="str">
        <f aca="false">IF(OR($B28="",$H28="",$I28=""),"",IF(AND(BD$3+6&gt;=$H28,BD$3&lt;=$I28),1,""))</f>
        <v/>
      </c>
      <c r="BE28" s="32" t="str">
        <f aca="false">IF(OR($B28="",$H28="",$I28=""),"",IF(AND(BE$3+6&gt;=$H28,BE$3&lt;=$I28),1,""))</f>
        <v/>
      </c>
      <c r="BF28" s="32" t="str">
        <f aca="false">IF(OR($B28="",$H28="",$I28=""),"",IF(AND(BF$3+6&gt;=$H28,BF$3&lt;=$I28),1,""))</f>
        <v/>
      </c>
      <c r="BG28" s="32" t="str">
        <f aca="false">IF(OR($B28="",$H28="",$I28=""),"",IF(AND(BG$3+6&gt;=$H28,BG$3&lt;=$I28),1,""))</f>
        <v/>
      </c>
      <c r="BH28" s="32" t="str">
        <f aca="false">IF(OR($B28="",$H28="",$I28=""),"",IF(AND(BH$3+6&gt;=$H28,BH$3&lt;=$I28),1,""))</f>
        <v/>
      </c>
      <c r="BI28" s="32" t="str">
        <f aca="false">IF(OR($B28="",$H28="",$I28=""),"",IF(AND(BI$3+6&gt;=$H28,BI$3&lt;=$I28),1,""))</f>
        <v/>
      </c>
      <c r="BJ28" s="32" t="str">
        <f aca="false">IF(OR($B28="",$H28="",$I28=""),"",IF(AND(BJ$3+6&gt;=$H28,BJ$3&lt;=$I28),1,""))</f>
        <v/>
      </c>
      <c r="BK28" s="32" t="str">
        <f aca="false">IF(OR($B28="",$H28="",$I28=""),"",IF(AND(BK$3+6&gt;=$H28,BK$3&lt;=$I28),1,""))</f>
        <v/>
      </c>
      <c r="BM28" s="0" t="str">
        <f aca="false">IF($E28="",",,",","&amp;SUBSTITUTE($E28," ","")&amp;",")</f>
        <v>,,</v>
      </c>
    </row>
    <row r="29" customFormat="false" ht="21.75" hidden="false" customHeight="true" outlineLevel="0" collapsed="false">
      <c r="A29" s="26" t="str">
        <f aca="false">IF(B29="","",COUNTA($B$7:B29))</f>
        <v/>
      </c>
      <c r="B29" s="27"/>
      <c r="C29" s="28"/>
      <c r="D29" s="28"/>
      <c r="E29" s="27"/>
      <c r="F29" s="29"/>
      <c r="G29" s="28"/>
      <c r="H29" s="30"/>
      <c r="I29" s="30"/>
      <c r="J29" s="31"/>
      <c r="K29" s="27"/>
      <c r="L29" s="32" t="str">
        <f aca="false">IF(OR($B29="",$H29="",$I29=""),"",IF(AND(L$3+6&gt;=$H29,L$3&lt;=$I29),1,""))</f>
        <v/>
      </c>
      <c r="M29" s="32" t="str">
        <f aca="false">IF(OR($B29="",$H29="",$I29=""),"",IF(AND(M$3+6&gt;=$H29,M$3&lt;=$I29),1,""))</f>
        <v/>
      </c>
      <c r="N29" s="32" t="str">
        <f aca="false">IF(OR($B29="",$H29="",$I29=""),"",IF(AND(N$3+6&gt;=$H29,N$3&lt;=$I29),1,""))</f>
        <v/>
      </c>
      <c r="O29" s="32" t="str">
        <f aca="false">IF(OR($B29="",$H29="",$I29=""),"",IF(AND(O$3+6&gt;=$H29,O$3&lt;=$I29),1,""))</f>
        <v/>
      </c>
      <c r="P29" s="32" t="str">
        <f aca="false">IF(OR($B29="",$H29="",$I29=""),"",IF(AND(P$3+6&gt;=$H29,P$3&lt;=$I29),1,""))</f>
        <v/>
      </c>
      <c r="Q29" s="32" t="str">
        <f aca="false">IF(OR($B29="",$H29="",$I29=""),"",IF(AND(Q$3+6&gt;=$H29,Q$3&lt;=$I29),1,""))</f>
        <v/>
      </c>
      <c r="R29" s="32" t="str">
        <f aca="false">IF(OR($B29="",$H29="",$I29=""),"",IF(AND(R$3+6&gt;=$H29,R$3&lt;=$I29),1,""))</f>
        <v/>
      </c>
      <c r="S29" s="32" t="str">
        <f aca="false">IF(OR($B29="",$H29="",$I29=""),"",IF(AND(S$3+6&gt;=$H29,S$3&lt;=$I29),1,""))</f>
        <v/>
      </c>
      <c r="T29" s="32" t="str">
        <f aca="false">IF(OR($B29="",$H29="",$I29=""),"",IF(AND(T$3+6&gt;=$H29,T$3&lt;=$I29),1,""))</f>
        <v/>
      </c>
      <c r="U29" s="32" t="str">
        <f aca="false">IF(OR($B29="",$H29="",$I29=""),"",IF(AND(U$3+6&gt;=$H29,U$3&lt;=$I29),1,""))</f>
        <v/>
      </c>
      <c r="V29" s="32" t="str">
        <f aca="false">IF(OR($B29="",$H29="",$I29=""),"",IF(AND(V$3+6&gt;=$H29,V$3&lt;=$I29),1,""))</f>
        <v/>
      </c>
      <c r="W29" s="32" t="str">
        <f aca="false">IF(OR($B29="",$H29="",$I29=""),"",IF(AND(W$3+6&gt;=$H29,W$3&lt;=$I29),1,""))</f>
        <v/>
      </c>
      <c r="X29" s="32" t="str">
        <f aca="false">IF(OR($B29="",$H29="",$I29=""),"",IF(AND(X$3+6&gt;=$H29,X$3&lt;=$I29),1,""))</f>
        <v/>
      </c>
      <c r="Y29" s="32" t="str">
        <f aca="false">IF(OR($B29="",$H29="",$I29=""),"",IF(AND(Y$3+6&gt;=$H29,Y$3&lt;=$I29),1,""))</f>
        <v/>
      </c>
      <c r="Z29" s="32" t="str">
        <f aca="false">IF(OR($B29="",$H29="",$I29=""),"",IF(AND(Z$3+6&gt;=$H29,Z$3&lt;=$I29),1,""))</f>
        <v/>
      </c>
      <c r="AA29" s="32" t="str">
        <f aca="false">IF(OR($B29="",$H29="",$I29=""),"",IF(AND(AA$3+6&gt;=$H29,AA$3&lt;=$I29),1,""))</f>
        <v/>
      </c>
      <c r="AB29" s="32" t="str">
        <f aca="false">IF(OR($B29="",$H29="",$I29=""),"",IF(AND(AB$3+6&gt;=$H29,AB$3&lt;=$I29),1,""))</f>
        <v/>
      </c>
      <c r="AC29" s="32" t="str">
        <f aca="false">IF(OR($B29="",$H29="",$I29=""),"",IF(AND(AC$3+6&gt;=$H29,AC$3&lt;=$I29),1,""))</f>
        <v/>
      </c>
      <c r="AD29" s="32" t="str">
        <f aca="false">IF(OR($B29="",$H29="",$I29=""),"",IF(AND(AD$3+6&gt;=$H29,AD$3&lt;=$I29),1,""))</f>
        <v/>
      </c>
      <c r="AE29" s="32" t="str">
        <f aca="false">IF(OR($B29="",$H29="",$I29=""),"",IF(AND(AE$3+6&gt;=$H29,AE$3&lt;=$I29),1,""))</f>
        <v/>
      </c>
      <c r="AF29" s="32" t="str">
        <f aca="false">IF(OR($B29="",$H29="",$I29=""),"",IF(AND(AF$3+6&gt;=$H29,AF$3&lt;=$I29),1,""))</f>
        <v/>
      </c>
      <c r="AG29" s="32" t="str">
        <f aca="false">IF(OR($B29="",$H29="",$I29=""),"",IF(AND(AG$3+6&gt;=$H29,AG$3&lt;=$I29),1,""))</f>
        <v/>
      </c>
      <c r="AH29" s="32" t="str">
        <f aca="false">IF(OR($B29="",$H29="",$I29=""),"",IF(AND(AH$3+6&gt;=$H29,AH$3&lt;=$I29),1,""))</f>
        <v/>
      </c>
      <c r="AI29" s="32" t="str">
        <f aca="false">IF(OR($B29="",$H29="",$I29=""),"",IF(AND(AI$3+6&gt;=$H29,AI$3&lt;=$I29),1,""))</f>
        <v/>
      </c>
      <c r="AJ29" s="32" t="str">
        <f aca="false">IF(OR($B29="",$H29="",$I29=""),"",IF(AND(AJ$3+6&gt;=$H29,AJ$3&lt;=$I29),1,""))</f>
        <v/>
      </c>
      <c r="AK29" s="32" t="str">
        <f aca="false">IF(OR($B29="",$H29="",$I29=""),"",IF(AND(AK$3+6&gt;=$H29,AK$3&lt;=$I29),1,""))</f>
        <v/>
      </c>
      <c r="AL29" s="32" t="str">
        <f aca="false">IF(OR($B29="",$H29="",$I29=""),"",IF(AND(AL$3+6&gt;=$H29,AL$3&lt;=$I29),1,""))</f>
        <v/>
      </c>
      <c r="AM29" s="32" t="str">
        <f aca="false">IF(OR($B29="",$H29="",$I29=""),"",IF(AND(AM$3+6&gt;=$H29,AM$3&lt;=$I29),1,""))</f>
        <v/>
      </c>
      <c r="AN29" s="32" t="str">
        <f aca="false">IF(OR($B29="",$H29="",$I29=""),"",IF(AND(AN$3+6&gt;=$H29,AN$3&lt;=$I29),1,""))</f>
        <v/>
      </c>
      <c r="AO29" s="32" t="str">
        <f aca="false">IF(OR($B29="",$H29="",$I29=""),"",IF(AND(AO$3+6&gt;=$H29,AO$3&lt;=$I29),1,""))</f>
        <v/>
      </c>
      <c r="AP29" s="32" t="str">
        <f aca="false">IF(OR($B29="",$H29="",$I29=""),"",IF(AND(AP$3+6&gt;=$H29,AP$3&lt;=$I29),1,""))</f>
        <v/>
      </c>
      <c r="AQ29" s="32" t="str">
        <f aca="false">IF(OR($B29="",$H29="",$I29=""),"",IF(AND(AQ$3+6&gt;=$H29,AQ$3&lt;=$I29),1,""))</f>
        <v/>
      </c>
      <c r="AR29" s="32" t="str">
        <f aca="false">IF(OR($B29="",$H29="",$I29=""),"",IF(AND(AR$3+6&gt;=$H29,AR$3&lt;=$I29),1,""))</f>
        <v/>
      </c>
      <c r="AS29" s="32" t="str">
        <f aca="false">IF(OR($B29="",$H29="",$I29=""),"",IF(AND(AS$3+6&gt;=$H29,AS$3&lt;=$I29),1,""))</f>
        <v/>
      </c>
      <c r="AT29" s="32" t="str">
        <f aca="false">IF(OR($B29="",$H29="",$I29=""),"",IF(AND(AT$3+6&gt;=$H29,AT$3&lt;=$I29),1,""))</f>
        <v/>
      </c>
      <c r="AU29" s="32" t="str">
        <f aca="false">IF(OR($B29="",$H29="",$I29=""),"",IF(AND(AU$3+6&gt;=$H29,AU$3&lt;=$I29),1,""))</f>
        <v/>
      </c>
      <c r="AV29" s="32" t="str">
        <f aca="false">IF(OR($B29="",$H29="",$I29=""),"",IF(AND(AV$3+6&gt;=$H29,AV$3&lt;=$I29),1,""))</f>
        <v/>
      </c>
      <c r="AW29" s="32" t="str">
        <f aca="false">IF(OR($B29="",$H29="",$I29=""),"",IF(AND(AW$3+6&gt;=$H29,AW$3&lt;=$I29),1,""))</f>
        <v/>
      </c>
      <c r="AX29" s="32" t="str">
        <f aca="false">IF(OR($B29="",$H29="",$I29=""),"",IF(AND(AX$3+6&gt;=$H29,AX$3&lt;=$I29),1,""))</f>
        <v/>
      </c>
      <c r="AY29" s="32" t="str">
        <f aca="false">IF(OR($B29="",$H29="",$I29=""),"",IF(AND(AY$3+6&gt;=$H29,AY$3&lt;=$I29),1,""))</f>
        <v/>
      </c>
      <c r="AZ29" s="32" t="str">
        <f aca="false">IF(OR($B29="",$H29="",$I29=""),"",IF(AND(AZ$3+6&gt;=$H29,AZ$3&lt;=$I29),1,""))</f>
        <v/>
      </c>
      <c r="BA29" s="32" t="str">
        <f aca="false">IF(OR($B29="",$H29="",$I29=""),"",IF(AND(BA$3+6&gt;=$H29,BA$3&lt;=$I29),1,""))</f>
        <v/>
      </c>
      <c r="BB29" s="32" t="str">
        <f aca="false">IF(OR($B29="",$H29="",$I29=""),"",IF(AND(BB$3+6&gt;=$H29,BB$3&lt;=$I29),1,""))</f>
        <v/>
      </c>
      <c r="BC29" s="32" t="str">
        <f aca="false">IF(OR($B29="",$H29="",$I29=""),"",IF(AND(BC$3+6&gt;=$H29,BC$3&lt;=$I29),1,""))</f>
        <v/>
      </c>
      <c r="BD29" s="32" t="str">
        <f aca="false">IF(OR($B29="",$H29="",$I29=""),"",IF(AND(BD$3+6&gt;=$H29,BD$3&lt;=$I29),1,""))</f>
        <v/>
      </c>
      <c r="BE29" s="32" t="str">
        <f aca="false">IF(OR($B29="",$H29="",$I29=""),"",IF(AND(BE$3+6&gt;=$H29,BE$3&lt;=$I29),1,""))</f>
        <v/>
      </c>
      <c r="BF29" s="32" t="str">
        <f aca="false">IF(OR($B29="",$H29="",$I29=""),"",IF(AND(BF$3+6&gt;=$H29,BF$3&lt;=$I29),1,""))</f>
        <v/>
      </c>
      <c r="BG29" s="32" t="str">
        <f aca="false">IF(OR($B29="",$H29="",$I29=""),"",IF(AND(BG$3+6&gt;=$H29,BG$3&lt;=$I29),1,""))</f>
        <v/>
      </c>
      <c r="BH29" s="32" t="str">
        <f aca="false">IF(OR($B29="",$H29="",$I29=""),"",IF(AND(BH$3+6&gt;=$H29,BH$3&lt;=$I29),1,""))</f>
        <v/>
      </c>
      <c r="BI29" s="32" t="str">
        <f aca="false">IF(OR($B29="",$H29="",$I29=""),"",IF(AND(BI$3+6&gt;=$H29,BI$3&lt;=$I29),1,""))</f>
        <v/>
      </c>
      <c r="BJ29" s="32" t="str">
        <f aca="false">IF(OR($B29="",$H29="",$I29=""),"",IF(AND(BJ$3+6&gt;=$H29,BJ$3&lt;=$I29),1,""))</f>
        <v/>
      </c>
      <c r="BK29" s="32" t="str">
        <f aca="false">IF(OR($B29="",$H29="",$I29=""),"",IF(AND(BK$3+6&gt;=$H29,BK$3&lt;=$I29),1,""))</f>
        <v/>
      </c>
      <c r="BM29" s="0" t="str">
        <f aca="false">IF($E29="",",,",","&amp;SUBSTITUTE($E29," ","")&amp;",")</f>
        <v>,,</v>
      </c>
    </row>
    <row r="30" customFormat="false" ht="21.75" hidden="false" customHeight="true" outlineLevel="0" collapsed="false">
      <c r="A30" s="26" t="str">
        <f aca="false">IF(B30="","",COUNTA($B$7:B30))</f>
        <v/>
      </c>
      <c r="B30" s="27"/>
      <c r="C30" s="28"/>
      <c r="D30" s="28"/>
      <c r="E30" s="27"/>
      <c r="F30" s="29"/>
      <c r="G30" s="28"/>
      <c r="H30" s="30"/>
      <c r="I30" s="30"/>
      <c r="J30" s="31"/>
      <c r="K30" s="27"/>
      <c r="L30" s="32" t="str">
        <f aca="false">IF(OR($B30="",$H30="",$I30=""),"",IF(AND(L$3+6&gt;=$H30,L$3&lt;=$I30),1,""))</f>
        <v/>
      </c>
      <c r="M30" s="32" t="str">
        <f aca="false">IF(OR($B30="",$H30="",$I30=""),"",IF(AND(M$3+6&gt;=$H30,M$3&lt;=$I30),1,""))</f>
        <v/>
      </c>
      <c r="N30" s="32" t="str">
        <f aca="false">IF(OR($B30="",$H30="",$I30=""),"",IF(AND(N$3+6&gt;=$H30,N$3&lt;=$I30),1,""))</f>
        <v/>
      </c>
      <c r="O30" s="32" t="str">
        <f aca="false">IF(OR($B30="",$H30="",$I30=""),"",IF(AND(O$3+6&gt;=$H30,O$3&lt;=$I30),1,""))</f>
        <v/>
      </c>
      <c r="P30" s="32" t="str">
        <f aca="false">IF(OR($B30="",$H30="",$I30=""),"",IF(AND(P$3+6&gt;=$H30,P$3&lt;=$I30),1,""))</f>
        <v/>
      </c>
      <c r="Q30" s="32" t="str">
        <f aca="false">IF(OR($B30="",$H30="",$I30=""),"",IF(AND(Q$3+6&gt;=$H30,Q$3&lt;=$I30),1,""))</f>
        <v/>
      </c>
      <c r="R30" s="32" t="str">
        <f aca="false">IF(OR($B30="",$H30="",$I30=""),"",IF(AND(R$3+6&gt;=$H30,R$3&lt;=$I30),1,""))</f>
        <v/>
      </c>
      <c r="S30" s="32" t="str">
        <f aca="false">IF(OR($B30="",$H30="",$I30=""),"",IF(AND(S$3+6&gt;=$H30,S$3&lt;=$I30),1,""))</f>
        <v/>
      </c>
      <c r="T30" s="32" t="str">
        <f aca="false">IF(OR($B30="",$H30="",$I30=""),"",IF(AND(T$3+6&gt;=$H30,T$3&lt;=$I30),1,""))</f>
        <v/>
      </c>
      <c r="U30" s="32" t="str">
        <f aca="false">IF(OR($B30="",$H30="",$I30=""),"",IF(AND(U$3+6&gt;=$H30,U$3&lt;=$I30),1,""))</f>
        <v/>
      </c>
      <c r="V30" s="32" t="str">
        <f aca="false">IF(OR($B30="",$H30="",$I30=""),"",IF(AND(V$3+6&gt;=$H30,V$3&lt;=$I30),1,""))</f>
        <v/>
      </c>
      <c r="W30" s="32" t="str">
        <f aca="false">IF(OR($B30="",$H30="",$I30=""),"",IF(AND(W$3+6&gt;=$H30,W$3&lt;=$I30),1,""))</f>
        <v/>
      </c>
      <c r="X30" s="32" t="str">
        <f aca="false">IF(OR($B30="",$H30="",$I30=""),"",IF(AND(X$3+6&gt;=$H30,X$3&lt;=$I30),1,""))</f>
        <v/>
      </c>
      <c r="Y30" s="32" t="str">
        <f aca="false">IF(OR($B30="",$H30="",$I30=""),"",IF(AND(Y$3+6&gt;=$H30,Y$3&lt;=$I30),1,""))</f>
        <v/>
      </c>
      <c r="Z30" s="32" t="str">
        <f aca="false">IF(OR($B30="",$H30="",$I30=""),"",IF(AND(Z$3+6&gt;=$H30,Z$3&lt;=$I30),1,""))</f>
        <v/>
      </c>
      <c r="AA30" s="32" t="str">
        <f aca="false">IF(OR($B30="",$H30="",$I30=""),"",IF(AND(AA$3+6&gt;=$H30,AA$3&lt;=$I30),1,""))</f>
        <v/>
      </c>
      <c r="AB30" s="32" t="str">
        <f aca="false">IF(OR($B30="",$H30="",$I30=""),"",IF(AND(AB$3+6&gt;=$H30,AB$3&lt;=$I30),1,""))</f>
        <v/>
      </c>
      <c r="AC30" s="32" t="str">
        <f aca="false">IF(OR($B30="",$H30="",$I30=""),"",IF(AND(AC$3+6&gt;=$H30,AC$3&lt;=$I30),1,""))</f>
        <v/>
      </c>
      <c r="AD30" s="32" t="str">
        <f aca="false">IF(OR($B30="",$H30="",$I30=""),"",IF(AND(AD$3+6&gt;=$H30,AD$3&lt;=$I30),1,""))</f>
        <v/>
      </c>
      <c r="AE30" s="32" t="str">
        <f aca="false">IF(OR($B30="",$H30="",$I30=""),"",IF(AND(AE$3+6&gt;=$H30,AE$3&lt;=$I30),1,""))</f>
        <v/>
      </c>
      <c r="AF30" s="32" t="str">
        <f aca="false">IF(OR($B30="",$H30="",$I30=""),"",IF(AND(AF$3+6&gt;=$H30,AF$3&lt;=$I30),1,""))</f>
        <v/>
      </c>
      <c r="AG30" s="32" t="str">
        <f aca="false">IF(OR($B30="",$H30="",$I30=""),"",IF(AND(AG$3+6&gt;=$H30,AG$3&lt;=$I30),1,""))</f>
        <v/>
      </c>
      <c r="AH30" s="32" t="str">
        <f aca="false">IF(OR($B30="",$H30="",$I30=""),"",IF(AND(AH$3+6&gt;=$H30,AH$3&lt;=$I30),1,""))</f>
        <v/>
      </c>
      <c r="AI30" s="32" t="str">
        <f aca="false">IF(OR($B30="",$H30="",$I30=""),"",IF(AND(AI$3+6&gt;=$H30,AI$3&lt;=$I30),1,""))</f>
        <v/>
      </c>
      <c r="AJ30" s="32" t="str">
        <f aca="false">IF(OR($B30="",$H30="",$I30=""),"",IF(AND(AJ$3+6&gt;=$H30,AJ$3&lt;=$I30),1,""))</f>
        <v/>
      </c>
      <c r="AK30" s="32" t="str">
        <f aca="false">IF(OR($B30="",$H30="",$I30=""),"",IF(AND(AK$3+6&gt;=$H30,AK$3&lt;=$I30),1,""))</f>
        <v/>
      </c>
      <c r="AL30" s="32" t="str">
        <f aca="false">IF(OR($B30="",$H30="",$I30=""),"",IF(AND(AL$3+6&gt;=$H30,AL$3&lt;=$I30),1,""))</f>
        <v/>
      </c>
      <c r="AM30" s="32" t="str">
        <f aca="false">IF(OR($B30="",$H30="",$I30=""),"",IF(AND(AM$3+6&gt;=$H30,AM$3&lt;=$I30),1,""))</f>
        <v/>
      </c>
      <c r="AN30" s="32" t="str">
        <f aca="false">IF(OR($B30="",$H30="",$I30=""),"",IF(AND(AN$3+6&gt;=$H30,AN$3&lt;=$I30),1,""))</f>
        <v/>
      </c>
      <c r="AO30" s="32" t="str">
        <f aca="false">IF(OR($B30="",$H30="",$I30=""),"",IF(AND(AO$3+6&gt;=$H30,AO$3&lt;=$I30),1,""))</f>
        <v/>
      </c>
      <c r="AP30" s="32" t="str">
        <f aca="false">IF(OR($B30="",$H30="",$I30=""),"",IF(AND(AP$3+6&gt;=$H30,AP$3&lt;=$I30),1,""))</f>
        <v/>
      </c>
      <c r="AQ30" s="32" t="str">
        <f aca="false">IF(OR($B30="",$H30="",$I30=""),"",IF(AND(AQ$3+6&gt;=$H30,AQ$3&lt;=$I30),1,""))</f>
        <v/>
      </c>
      <c r="AR30" s="32" t="str">
        <f aca="false">IF(OR($B30="",$H30="",$I30=""),"",IF(AND(AR$3+6&gt;=$H30,AR$3&lt;=$I30),1,""))</f>
        <v/>
      </c>
      <c r="AS30" s="32" t="str">
        <f aca="false">IF(OR($B30="",$H30="",$I30=""),"",IF(AND(AS$3+6&gt;=$H30,AS$3&lt;=$I30),1,""))</f>
        <v/>
      </c>
      <c r="AT30" s="32" t="str">
        <f aca="false">IF(OR($B30="",$H30="",$I30=""),"",IF(AND(AT$3+6&gt;=$H30,AT$3&lt;=$I30),1,""))</f>
        <v/>
      </c>
      <c r="AU30" s="32" t="str">
        <f aca="false">IF(OR($B30="",$H30="",$I30=""),"",IF(AND(AU$3+6&gt;=$H30,AU$3&lt;=$I30),1,""))</f>
        <v/>
      </c>
      <c r="AV30" s="32" t="str">
        <f aca="false">IF(OR($B30="",$H30="",$I30=""),"",IF(AND(AV$3+6&gt;=$H30,AV$3&lt;=$I30),1,""))</f>
        <v/>
      </c>
      <c r="AW30" s="32" t="str">
        <f aca="false">IF(OR($B30="",$H30="",$I30=""),"",IF(AND(AW$3+6&gt;=$H30,AW$3&lt;=$I30),1,""))</f>
        <v/>
      </c>
      <c r="AX30" s="32" t="str">
        <f aca="false">IF(OR($B30="",$H30="",$I30=""),"",IF(AND(AX$3+6&gt;=$H30,AX$3&lt;=$I30),1,""))</f>
        <v/>
      </c>
      <c r="AY30" s="32" t="str">
        <f aca="false">IF(OR($B30="",$H30="",$I30=""),"",IF(AND(AY$3+6&gt;=$H30,AY$3&lt;=$I30),1,""))</f>
        <v/>
      </c>
      <c r="AZ30" s="32" t="str">
        <f aca="false">IF(OR($B30="",$H30="",$I30=""),"",IF(AND(AZ$3+6&gt;=$H30,AZ$3&lt;=$I30),1,""))</f>
        <v/>
      </c>
      <c r="BA30" s="32" t="str">
        <f aca="false">IF(OR($B30="",$H30="",$I30=""),"",IF(AND(BA$3+6&gt;=$H30,BA$3&lt;=$I30),1,""))</f>
        <v/>
      </c>
      <c r="BB30" s="32" t="str">
        <f aca="false">IF(OR($B30="",$H30="",$I30=""),"",IF(AND(BB$3+6&gt;=$H30,BB$3&lt;=$I30),1,""))</f>
        <v/>
      </c>
      <c r="BC30" s="32" t="str">
        <f aca="false">IF(OR($B30="",$H30="",$I30=""),"",IF(AND(BC$3+6&gt;=$H30,BC$3&lt;=$I30),1,""))</f>
        <v/>
      </c>
      <c r="BD30" s="32" t="str">
        <f aca="false">IF(OR($B30="",$H30="",$I30=""),"",IF(AND(BD$3+6&gt;=$H30,BD$3&lt;=$I30),1,""))</f>
        <v/>
      </c>
      <c r="BE30" s="32" t="str">
        <f aca="false">IF(OR($B30="",$H30="",$I30=""),"",IF(AND(BE$3+6&gt;=$H30,BE$3&lt;=$I30),1,""))</f>
        <v/>
      </c>
      <c r="BF30" s="32" t="str">
        <f aca="false">IF(OR($B30="",$H30="",$I30=""),"",IF(AND(BF$3+6&gt;=$H30,BF$3&lt;=$I30),1,""))</f>
        <v/>
      </c>
      <c r="BG30" s="32" t="str">
        <f aca="false">IF(OR($B30="",$H30="",$I30=""),"",IF(AND(BG$3+6&gt;=$H30,BG$3&lt;=$I30),1,""))</f>
        <v/>
      </c>
      <c r="BH30" s="32" t="str">
        <f aca="false">IF(OR($B30="",$H30="",$I30=""),"",IF(AND(BH$3+6&gt;=$H30,BH$3&lt;=$I30),1,""))</f>
        <v/>
      </c>
      <c r="BI30" s="32" t="str">
        <f aca="false">IF(OR($B30="",$H30="",$I30=""),"",IF(AND(BI$3+6&gt;=$H30,BI$3&lt;=$I30),1,""))</f>
        <v/>
      </c>
      <c r="BJ30" s="32" t="str">
        <f aca="false">IF(OR($B30="",$H30="",$I30=""),"",IF(AND(BJ$3+6&gt;=$H30,BJ$3&lt;=$I30),1,""))</f>
        <v/>
      </c>
      <c r="BK30" s="32" t="str">
        <f aca="false">IF(OR($B30="",$H30="",$I30=""),"",IF(AND(BK$3+6&gt;=$H30,BK$3&lt;=$I30),1,""))</f>
        <v/>
      </c>
      <c r="BM30" s="0" t="str">
        <f aca="false">IF($E30="",",,",","&amp;SUBSTITUTE($E30," ","")&amp;",")</f>
        <v>,,</v>
      </c>
    </row>
    <row r="31" customFormat="false" ht="21.75" hidden="false" customHeight="true" outlineLevel="0" collapsed="false">
      <c r="A31" s="26" t="str">
        <f aca="false">IF(B31="","",COUNTA($B$7:B31))</f>
        <v/>
      </c>
      <c r="B31" s="27"/>
      <c r="C31" s="28"/>
      <c r="D31" s="28"/>
      <c r="E31" s="27"/>
      <c r="F31" s="29"/>
      <c r="G31" s="28"/>
      <c r="H31" s="30"/>
      <c r="I31" s="30"/>
      <c r="J31" s="31"/>
      <c r="K31" s="27"/>
      <c r="L31" s="32" t="str">
        <f aca="false">IF(OR($B31="",$H31="",$I31=""),"",IF(AND(L$3+6&gt;=$H31,L$3&lt;=$I31),1,""))</f>
        <v/>
      </c>
      <c r="M31" s="32" t="str">
        <f aca="false">IF(OR($B31="",$H31="",$I31=""),"",IF(AND(M$3+6&gt;=$H31,M$3&lt;=$I31),1,""))</f>
        <v/>
      </c>
      <c r="N31" s="32" t="str">
        <f aca="false">IF(OR($B31="",$H31="",$I31=""),"",IF(AND(N$3+6&gt;=$H31,N$3&lt;=$I31),1,""))</f>
        <v/>
      </c>
      <c r="O31" s="32" t="str">
        <f aca="false">IF(OR($B31="",$H31="",$I31=""),"",IF(AND(O$3+6&gt;=$H31,O$3&lt;=$I31),1,""))</f>
        <v/>
      </c>
      <c r="P31" s="32" t="str">
        <f aca="false">IF(OR($B31="",$H31="",$I31=""),"",IF(AND(P$3+6&gt;=$H31,P$3&lt;=$I31),1,""))</f>
        <v/>
      </c>
      <c r="Q31" s="32" t="str">
        <f aca="false">IF(OR($B31="",$H31="",$I31=""),"",IF(AND(Q$3+6&gt;=$H31,Q$3&lt;=$I31),1,""))</f>
        <v/>
      </c>
      <c r="R31" s="32" t="str">
        <f aca="false">IF(OR($B31="",$H31="",$I31=""),"",IF(AND(R$3+6&gt;=$H31,R$3&lt;=$I31),1,""))</f>
        <v/>
      </c>
      <c r="S31" s="32" t="str">
        <f aca="false">IF(OR($B31="",$H31="",$I31=""),"",IF(AND(S$3+6&gt;=$H31,S$3&lt;=$I31),1,""))</f>
        <v/>
      </c>
      <c r="T31" s="32" t="str">
        <f aca="false">IF(OR($B31="",$H31="",$I31=""),"",IF(AND(T$3+6&gt;=$H31,T$3&lt;=$I31),1,""))</f>
        <v/>
      </c>
      <c r="U31" s="32" t="str">
        <f aca="false">IF(OR($B31="",$H31="",$I31=""),"",IF(AND(U$3+6&gt;=$H31,U$3&lt;=$I31),1,""))</f>
        <v/>
      </c>
      <c r="V31" s="32" t="str">
        <f aca="false">IF(OR($B31="",$H31="",$I31=""),"",IF(AND(V$3+6&gt;=$H31,V$3&lt;=$I31),1,""))</f>
        <v/>
      </c>
      <c r="W31" s="32" t="str">
        <f aca="false">IF(OR($B31="",$H31="",$I31=""),"",IF(AND(W$3+6&gt;=$H31,W$3&lt;=$I31),1,""))</f>
        <v/>
      </c>
      <c r="X31" s="32" t="str">
        <f aca="false">IF(OR($B31="",$H31="",$I31=""),"",IF(AND(X$3+6&gt;=$H31,X$3&lt;=$I31),1,""))</f>
        <v/>
      </c>
      <c r="Y31" s="32" t="str">
        <f aca="false">IF(OR($B31="",$H31="",$I31=""),"",IF(AND(Y$3+6&gt;=$H31,Y$3&lt;=$I31),1,""))</f>
        <v/>
      </c>
      <c r="Z31" s="32" t="str">
        <f aca="false">IF(OR($B31="",$H31="",$I31=""),"",IF(AND(Z$3+6&gt;=$H31,Z$3&lt;=$I31),1,""))</f>
        <v/>
      </c>
      <c r="AA31" s="32" t="str">
        <f aca="false">IF(OR($B31="",$H31="",$I31=""),"",IF(AND(AA$3+6&gt;=$H31,AA$3&lt;=$I31),1,""))</f>
        <v/>
      </c>
      <c r="AB31" s="32" t="str">
        <f aca="false">IF(OR($B31="",$H31="",$I31=""),"",IF(AND(AB$3+6&gt;=$H31,AB$3&lt;=$I31),1,""))</f>
        <v/>
      </c>
      <c r="AC31" s="32" t="str">
        <f aca="false">IF(OR($B31="",$H31="",$I31=""),"",IF(AND(AC$3+6&gt;=$H31,AC$3&lt;=$I31),1,""))</f>
        <v/>
      </c>
      <c r="AD31" s="32" t="str">
        <f aca="false">IF(OR($B31="",$H31="",$I31=""),"",IF(AND(AD$3+6&gt;=$H31,AD$3&lt;=$I31),1,""))</f>
        <v/>
      </c>
      <c r="AE31" s="32" t="str">
        <f aca="false">IF(OR($B31="",$H31="",$I31=""),"",IF(AND(AE$3+6&gt;=$H31,AE$3&lt;=$I31),1,""))</f>
        <v/>
      </c>
      <c r="AF31" s="32" t="str">
        <f aca="false">IF(OR($B31="",$H31="",$I31=""),"",IF(AND(AF$3+6&gt;=$H31,AF$3&lt;=$I31),1,""))</f>
        <v/>
      </c>
      <c r="AG31" s="32" t="str">
        <f aca="false">IF(OR($B31="",$H31="",$I31=""),"",IF(AND(AG$3+6&gt;=$H31,AG$3&lt;=$I31),1,""))</f>
        <v/>
      </c>
      <c r="AH31" s="32" t="str">
        <f aca="false">IF(OR($B31="",$H31="",$I31=""),"",IF(AND(AH$3+6&gt;=$H31,AH$3&lt;=$I31),1,""))</f>
        <v/>
      </c>
      <c r="AI31" s="32" t="str">
        <f aca="false">IF(OR($B31="",$H31="",$I31=""),"",IF(AND(AI$3+6&gt;=$H31,AI$3&lt;=$I31),1,""))</f>
        <v/>
      </c>
      <c r="AJ31" s="32" t="str">
        <f aca="false">IF(OR($B31="",$H31="",$I31=""),"",IF(AND(AJ$3+6&gt;=$H31,AJ$3&lt;=$I31),1,""))</f>
        <v/>
      </c>
      <c r="AK31" s="32" t="str">
        <f aca="false">IF(OR($B31="",$H31="",$I31=""),"",IF(AND(AK$3+6&gt;=$H31,AK$3&lt;=$I31),1,""))</f>
        <v/>
      </c>
      <c r="AL31" s="32" t="str">
        <f aca="false">IF(OR($B31="",$H31="",$I31=""),"",IF(AND(AL$3+6&gt;=$H31,AL$3&lt;=$I31),1,""))</f>
        <v/>
      </c>
      <c r="AM31" s="32" t="str">
        <f aca="false">IF(OR($B31="",$H31="",$I31=""),"",IF(AND(AM$3+6&gt;=$H31,AM$3&lt;=$I31),1,""))</f>
        <v/>
      </c>
      <c r="AN31" s="32" t="str">
        <f aca="false">IF(OR($B31="",$H31="",$I31=""),"",IF(AND(AN$3+6&gt;=$H31,AN$3&lt;=$I31),1,""))</f>
        <v/>
      </c>
      <c r="AO31" s="32" t="str">
        <f aca="false">IF(OR($B31="",$H31="",$I31=""),"",IF(AND(AO$3+6&gt;=$H31,AO$3&lt;=$I31),1,""))</f>
        <v/>
      </c>
      <c r="AP31" s="32" t="str">
        <f aca="false">IF(OR($B31="",$H31="",$I31=""),"",IF(AND(AP$3+6&gt;=$H31,AP$3&lt;=$I31),1,""))</f>
        <v/>
      </c>
      <c r="AQ31" s="32" t="str">
        <f aca="false">IF(OR($B31="",$H31="",$I31=""),"",IF(AND(AQ$3+6&gt;=$H31,AQ$3&lt;=$I31),1,""))</f>
        <v/>
      </c>
      <c r="AR31" s="32" t="str">
        <f aca="false">IF(OR($B31="",$H31="",$I31=""),"",IF(AND(AR$3+6&gt;=$H31,AR$3&lt;=$I31),1,""))</f>
        <v/>
      </c>
      <c r="AS31" s="32" t="str">
        <f aca="false">IF(OR($B31="",$H31="",$I31=""),"",IF(AND(AS$3+6&gt;=$H31,AS$3&lt;=$I31),1,""))</f>
        <v/>
      </c>
      <c r="AT31" s="32" t="str">
        <f aca="false">IF(OR($B31="",$H31="",$I31=""),"",IF(AND(AT$3+6&gt;=$H31,AT$3&lt;=$I31),1,""))</f>
        <v/>
      </c>
      <c r="AU31" s="32" t="str">
        <f aca="false">IF(OR($B31="",$H31="",$I31=""),"",IF(AND(AU$3+6&gt;=$H31,AU$3&lt;=$I31),1,""))</f>
        <v/>
      </c>
      <c r="AV31" s="32" t="str">
        <f aca="false">IF(OR($B31="",$H31="",$I31=""),"",IF(AND(AV$3+6&gt;=$H31,AV$3&lt;=$I31),1,""))</f>
        <v/>
      </c>
      <c r="AW31" s="32" t="str">
        <f aca="false">IF(OR($B31="",$H31="",$I31=""),"",IF(AND(AW$3+6&gt;=$H31,AW$3&lt;=$I31),1,""))</f>
        <v/>
      </c>
      <c r="AX31" s="32" t="str">
        <f aca="false">IF(OR($B31="",$H31="",$I31=""),"",IF(AND(AX$3+6&gt;=$H31,AX$3&lt;=$I31),1,""))</f>
        <v/>
      </c>
      <c r="AY31" s="32" t="str">
        <f aca="false">IF(OR($B31="",$H31="",$I31=""),"",IF(AND(AY$3+6&gt;=$H31,AY$3&lt;=$I31),1,""))</f>
        <v/>
      </c>
      <c r="AZ31" s="32" t="str">
        <f aca="false">IF(OR($B31="",$H31="",$I31=""),"",IF(AND(AZ$3+6&gt;=$H31,AZ$3&lt;=$I31),1,""))</f>
        <v/>
      </c>
      <c r="BA31" s="32" t="str">
        <f aca="false">IF(OR($B31="",$H31="",$I31=""),"",IF(AND(BA$3+6&gt;=$H31,BA$3&lt;=$I31),1,""))</f>
        <v/>
      </c>
      <c r="BB31" s="32" t="str">
        <f aca="false">IF(OR($B31="",$H31="",$I31=""),"",IF(AND(BB$3+6&gt;=$H31,BB$3&lt;=$I31),1,""))</f>
        <v/>
      </c>
      <c r="BC31" s="32" t="str">
        <f aca="false">IF(OR($B31="",$H31="",$I31=""),"",IF(AND(BC$3+6&gt;=$H31,BC$3&lt;=$I31),1,""))</f>
        <v/>
      </c>
      <c r="BD31" s="32" t="str">
        <f aca="false">IF(OR($B31="",$H31="",$I31=""),"",IF(AND(BD$3+6&gt;=$H31,BD$3&lt;=$I31),1,""))</f>
        <v/>
      </c>
      <c r="BE31" s="32" t="str">
        <f aca="false">IF(OR($B31="",$H31="",$I31=""),"",IF(AND(BE$3+6&gt;=$H31,BE$3&lt;=$I31),1,""))</f>
        <v/>
      </c>
      <c r="BF31" s="32" t="str">
        <f aca="false">IF(OR($B31="",$H31="",$I31=""),"",IF(AND(BF$3+6&gt;=$H31,BF$3&lt;=$I31),1,""))</f>
        <v/>
      </c>
      <c r="BG31" s="32" t="str">
        <f aca="false">IF(OR($B31="",$H31="",$I31=""),"",IF(AND(BG$3+6&gt;=$H31,BG$3&lt;=$I31),1,""))</f>
        <v/>
      </c>
      <c r="BH31" s="32" t="str">
        <f aca="false">IF(OR($B31="",$H31="",$I31=""),"",IF(AND(BH$3+6&gt;=$H31,BH$3&lt;=$I31),1,""))</f>
        <v/>
      </c>
      <c r="BI31" s="32" t="str">
        <f aca="false">IF(OR($B31="",$H31="",$I31=""),"",IF(AND(BI$3+6&gt;=$H31,BI$3&lt;=$I31),1,""))</f>
        <v/>
      </c>
      <c r="BJ31" s="32" t="str">
        <f aca="false">IF(OR($B31="",$H31="",$I31=""),"",IF(AND(BJ$3+6&gt;=$H31,BJ$3&lt;=$I31),1,""))</f>
        <v/>
      </c>
      <c r="BK31" s="32" t="str">
        <f aca="false">IF(OR($B31="",$H31="",$I31=""),"",IF(AND(BK$3+6&gt;=$H31,BK$3&lt;=$I31),1,""))</f>
        <v/>
      </c>
      <c r="BM31" s="0" t="str">
        <f aca="false">IF($E31="",",,",","&amp;SUBSTITUTE($E31," ","")&amp;",")</f>
        <v>,,</v>
      </c>
    </row>
    <row r="32" customFormat="false" ht="21.75" hidden="false" customHeight="true" outlineLevel="0" collapsed="false">
      <c r="A32" s="26" t="str">
        <f aca="false">IF(B32="","",COUNTA($B$7:B32))</f>
        <v/>
      </c>
      <c r="B32" s="27"/>
      <c r="C32" s="28"/>
      <c r="D32" s="28"/>
      <c r="E32" s="27"/>
      <c r="F32" s="29"/>
      <c r="G32" s="28"/>
      <c r="H32" s="30"/>
      <c r="I32" s="30"/>
      <c r="J32" s="31"/>
      <c r="K32" s="27"/>
      <c r="L32" s="32" t="str">
        <f aca="false">IF(OR($B32="",$H32="",$I32=""),"",IF(AND(L$3+6&gt;=$H32,L$3&lt;=$I32),1,""))</f>
        <v/>
      </c>
      <c r="M32" s="32" t="str">
        <f aca="false">IF(OR($B32="",$H32="",$I32=""),"",IF(AND(M$3+6&gt;=$H32,M$3&lt;=$I32),1,""))</f>
        <v/>
      </c>
      <c r="N32" s="32" t="str">
        <f aca="false">IF(OR($B32="",$H32="",$I32=""),"",IF(AND(N$3+6&gt;=$H32,N$3&lt;=$I32),1,""))</f>
        <v/>
      </c>
      <c r="O32" s="32" t="str">
        <f aca="false">IF(OR($B32="",$H32="",$I32=""),"",IF(AND(O$3+6&gt;=$H32,O$3&lt;=$I32),1,""))</f>
        <v/>
      </c>
      <c r="P32" s="32" t="str">
        <f aca="false">IF(OR($B32="",$H32="",$I32=""),"",IF(AND(P$3+6&gt;=$H32,P$3&lt;=$I32),1,""))</f>
        <v/>
      </c>
      <c r="Q32" s="32" t="str">
        <f aca="false">IF(OR($B32="",$H32="",$I32=""),"",IF(AND(Q$3+6&gt;=$H32,Q$3&lt;=$I32),1,""))</f>
        <v/>
      </c>
      <c r="R32" s="32" t="str">
        <f aca="false">IF(OR($B32="",$H32="",$I32=""),"",IF(AND(R$3+6&gt;=$H32,R$3&lt;=$I32),1,""))</f>
        <v/>
      </c>
      <c r="S32" s="32" t="str">
        <f aca="false">IF(OR($B32="",$H32="",$I32=""),"",IF(AND(S$3+6&gt;=$H32,S$3&lt;=$I32),1,""))</f>
        <v/>
      </c>
      <c r="T32" s="32" t="str">
        <f aca="false">IF(OR($B32="",$H32="",$I32=""),"",IF(AND(T$3+6&gt;=$H32,T$3&lt;=$I32),1,""))</f>
        <v/>
      </c>
      <c r="U32" s="32" t="str">
        <f aca="false">IF(OR($B32="",$H32="",$I32=""),"",IF(AND(U$3+6&gt;=$H32,U$3&lt;=$I32),1,""))</f>
        <v/>
      </c>
      <c r="V32" s="32" t="str">
        <f aca="false">IF(OR($B32="",$H32="",$I32=""),"",IF(AND(V$3+6&gt;=$H32,V$3&lt;=$I32),1,""))</f>
        <v/>
      </c>
      <c r="W32" s="32" t="str">
        <f aca="false">IF(OR($B32="",$H32="",$I32=""),"",IF(AND(W$3+6&gt;=$H32,W$3&lt;=$I32),1,""))</f>
        <v/>
      </c>
      <c r="X32" s="32" t="str">
        <f aca="false">IF(OR($B32="",$H32="",$I32=""),"",IF(AND(X$3+6&gt;=$H32,X$3&lt;=$I32),1,""))</f>
        <v/>
      </c>
      <c r="Y32" s="32" t="str">
        <f aca="false">IF(OR($B32="",$H32="",$I32=""),"",IF(AND(Y$3+6&gt;=$H32,Y$3&lt;=$I32),1,""))</f>
        <v/>
      </c>
      <c r="Z32" s="32" t="str">
        <f aca="false">IF(OR($B32="",$H32="",$I32=""),"",IF(AND(Z$3+6&gt;=$H32,Z$3&lt;=$I32),1,""))</f>
        <v/>
      </c>
      <c r="AA32" s="32" t="str">
        <f aca="false">IF(OR($B32="",$H32="",$I32=""),"",IF(AND(AA$3+6&gt;=$H32,AA$3&lt;=$I32),1,""))</f>
        <v/>
      </c>
      <c r="AB32" s="32" t="str">
        <f aca="false">IF(OR($B32="",$H32="",$I32=""),"",IF(AND(AB$3+6&gt;=$H32,AB$3&lt;=$I32),1,""))</f>
        <v/>
      </c>
      <c r="AC32" s="32" t="str">
        <f aca="false">IF(OR($B32="",$H32="",$I32=""),"",IF(AND(AC$3+6&gt;=$H32,AC$3&lt;=$I32),1,""))</f>
        <v/>
      </c>
      <c r="AD32" s="32" t="str">
        <f aca="false">IF(OR($B32="",$H32="",$I32=""),"",IF(AND(AD$3+6&gt;=$H32,AD$3&lt;=$I32),1,""))</f>
        <v/>
      </c>
      <c r="AE32" s="32" t="str">
        <f aca="false">IF(OR($B32="",$H32="",$I32=""),"",IF(AND(AE$3+6&gt;=$H32,AE$3&lt;=$I32),1,""))</f>
        <v/>
      </c>
      <c r="AF32" s="32" t="str">
        <f aca="false">IF(OR($B32="",$H32="",$I32=""),"",IF(AND(AF$3+6&gt;=$H32,AF$3&lt;=$I32),1,""))</f>
        <v/>
      </c>
      <c r="AG32" s="32" t="str">
        <f aca="false">IF(OR($B32="",$H32="",$I32=""),"",IF(AND(AG$3+6&gt;=$H32,AG$3&lt;=$I32),1,""))</f>
        <v/>
      </c>
      <c r="AH32" s="32" t="str">
        <f aca="false">IF(OR($B32="",$H32="",$I32=""),"",IF(AND(AH$3+6&gt;=$H32,AH$3&lt;=$I32),1,""))</f>
        <v/>
      </c>
      <c r="AI32" s="32" t="str">
        <f aca="false">IF(OR($B32="",$H32="",$I32=""),"",IF(AND(AI$3+6&gt;=$H32,AI$3&lt;=$I32),1,""))</f>
        <v/>
      </c>
      <c r="AJ32" s="32" t="str">
        <f aca="false">IF(OR($B32="",$H32="",$I32=""),"",IF(AND(AJ$3+6&gt;=$H32,AJ$3&lt;=$I32),1,""))</f>
        <v/>
      </c>
      <c r="AK32" s="32" t="str">
        <f aca="false">IF(OR($B32="",$H32="",$I32=""),"",IF(AND(AK$3+6&gt;=$H32,AK$3&lt;=$I32),1,""))</f>
        <v/>
      </c>
      <c r="AL32" s="32" t="str">
        <f aca="false">IF(OR($B32="",$H32="",$I32=""),"",IF(AND(AL$3+6&gt;=$H32,AL$3&lt;=$I32),1,""))</f>
        <v/>
      </c>
      <c r="AM32" s="32" t="str">
        <f aca="false">IF(OR($B32="",$H32="",$I32=""),"",IF(AND(AM$3+6&gt;=$H32,AM$3&lt;=$I32),1,""))</f>
        <v/>
      </c>
      <c r="AN32" s="32" t="str">
        <f aca="false">IF(OR($B32="",$H32="",$I32=""),"",IF(AND(AN$3+6&gt;=$H32,AN$3&lt;=$I32),1,""))</f>
        <v/>
      </c>
      <c r="AO32" s="32" t="str">
        <f aca="false">IF(OR($B32="",$H32="",$I32=""),"",IF(AND(AO$3+6&gt;=$H32,AO$3&lt;=$I32),1,""))</f>
        <v/>
      </c>
      <c r="AP32" s="32" t="str">
        <f aca="false">IF(OR($B32="",$H32="",$I32=""),"",IF(AND(AP$3+6&gt;=$H32,AP$3&lt;=$I32),1,""))</f>
        <v/>
      </c>
      <c r="AQ32" s="32" t="str">
        <f aca="false">IF(OR($B32="",$H32="",$I32=""),"",IF(AND(AQ$3+6&gt;=$H32,AQ$3&lt;=$I32),1,""))</f>
        <v/>
      </c>
      <c r="AR32" s="32" t="str">
        <f aca="false">IF(OR($B32="",$H32="",$I32=""),"",IF(AND(AR$3+6&gt;=$H32,AR$3&lt;=$I32),1,""))</f>
        <v/>
      </c>
      <c r="AS32" s="32" t="str">
        <f aca="false">IF(OR($B32="",$H32="",$I32=""),"",IF(AND(AS$3+6&gt;=$H32,AS$3&lt;=$I32),1,""))</f>
        <v/>
      </c>
      <c r="AT32" s="32" t="str">
        <f aca="false">IF(OR($B32="",$H32="",$I32=""),"",IF(AND(AT$3+6&gt;=$H32,AT$3&lt;=$I32),1,""))</f>
        <v/>
      </c>
      <c r="AU32" s="32" t="str">
        <f aca="false">IF(OR($B32="",$H32="",$I32=""),"",IF(AND(AU$3+6&gt;=$H32,AU$3&lt;=$I32),1,""))</f>
        <v/>
      </c>
      <c r="AV32" s="32" t="str">
        <f aca="false">IF(OR($B32="",$H32="",$I32=""),"",IF(AND(AV$3+6&gt;=$H32,AV$3&lt;=$I32),1,""))</f>
        <v/>
      </c>
      <c r="AW32" s="32" t="str">
        <f aca="false">IF(OR($B32="",$H32="",$I32=""),"",IF(AND(AW$3+6&gt;=$H32,AW$3&lt;=$I32),1,""))</f>
        <v/>
      </c>
      <c r="AX32" s="32" t="str">
        <f aca="false">IF(OR($B32="",$H32="",$I32=""),"",IF(AND(AX$3+6&gt;=$H32,AX$3&lt;=$I32),1,""))</f>
        <v/>
      </c>
      <c r="AY32" s="32" t="str">
        <f aca="false">IF(OR($B32="",$H32="",$I32=""),"",IF(AND(AY$3+6&gt;=$H32,AY$3&lt;=$I32),1,""))</f>
        <v/>
      </c>
      <c r="AZ32" s="32" t="str">
        <f aca="false">IF(OR($B32="",$H32="",$I32=""),"",IF(AND(AZ$3+6&gt;=$H32,AZ$3&lt;=$I32),1,""))</f>
        <v/>
      </c>
      <c r="BA32" s="32" t="str">
        <f aca="false">IF(OR($B32="",$H32="",$I32=""),"",IF(AND(BA$3+6&gt;=$H32,BA$3&lt;=$I32),1,""))</f>
        <v/>
      </c>
      <c r="BB32" s="32" t="str">
        <f aca="false">IF(OR($B32="",$H32="",$I32=""),"",IF(AND(BB$3+6&gt;=$H32,BB$3&lt;=$I32),1,""))</f>
        <v/>
      </c>
      <c r="BC32" s="32" t="str">
        <f aca="false">IF(OR($B32="",$H32="",$I32=""),"",IF(AND(BC$3+6&gt;=$H32,BC$3&lt;=$I32),1,""))</f>
        <v/>
      </c>
      <c r="BD32" s="32" t="str">
        <f aca="false">IF(OR($B32="",$H32="",$I32=""),"",IF(AND(BD$3+6&gt;=$H32,BD$3&lt;=$I32),1,""))</f>
        <v/>
      </c>
      <c r="BE32" s="32" t="str">
        <f aca="false">IF(OR($B32="",$H32="",$I32=""),"",IF(AND(BE$3+6&gt;=$H32,BE$3&lt;=$I32),1,""))</f>
        <v/>
      </c>
      <c r="BF32" s="32" t="str">
        <f aca="false">IF(OR($B32="",$H32="",$I32=""),"",IF(AND(BF$3+6&gt;=$H32,BF$3&lt;=$I32),1,""))</f>
        <v/>
      </c>
      <c r="BG32" s="32" t="str">
        <f aca="false">IF(OR($B32="",$H32="",$I32=""),"",IF(AND(BG$3+6&gt;=$H32,BG$3&lt;=$I32),1,""))</f>
        <v/>
      </c>
      <c r="BH32" s="32" t="str">
        <f aca="false">IF(OR($B32="",$H32="",$I32=""),"",IF(AND(BH$3+6&gt;=$H32,BH$3&lt;=$I32),1,""))</f>
        <v/>
      </c>
      <c r="BI32" s="32" t="str">
        <f aca="false">IF(OR($B32="",$H32="",$I32=""),"",IF(AND(BI$3+6&gt;=$H32,BI$3&lt;=$I32),1,""))</f>
        <v/>
      </c>
      <c r="BJ32" s="32" t="str">
        <f aca="false">IF(OR($B32="",$H32="",$I32=""),"",IF(AND(BJ$3+6&gt;=$H32,BJ$3&lt;=$I32),1,""))</f>
        <v/>
      </c>
      <c r="BK32" s="32" t="str">
        <f aca="false">IF(OR($B32="",$H32="",$I32=""),"",IF(AND(BK$3+6&gt;=$H32,BK$3&lt;=$I32),1,""))</f>
        <v/>
      </c>
      <c r="BM32" s="0" t="str">
        <f aca="false">IF($E32="",",,",","&amp;SUBSTITUTE($E32," ","")&amp;",")</f>
        <v>,,</v>
      </c>
    </row>
    <row r="33" customFormat="false" ht="21.75" hidden="false" customHeight="true" outlineLevel="0" collapsed="false">
      <c r="A33" s="26" t="str">
        <f aca="false">IF(B33="","",COUNTA($B$7:B33))</f>
        <v/>
      </c>
      <c r="B33" s="27"/>
      <c r="C33" s="28"/>
      <c r="D33" s="28"/>
      <c r="E33" s="27"/>
      <c r="F33" s="29"/>
      <c r="G33" s="28"/>
      <c r="H33" s="30"/>
      <c r="I33" s="30"/>
      <c r="J33" s="31"/>
      <c r="K33" s="27"/>
      <c r="L33" s="32" t="str">
        <f aca="false">IF(OR($B33="",$H33="",$I33=""),"",IF(AND(L$3+6&gt;=$H33,L$3&lt;=$I33),1,""))</f>
        <v/>
      </c>
      <c r="M33" s="32" t="str">
        <f aca="false">IF(OR($B33="",$H33="",$I33=""),"",IF(AND(M$3+6&gt;=$H33,M$3&lt;=$I33),1,""))</f>
        <v/>
      </c>
      <c r="N33" s="32" t="str">
        <f aca="false">IF(OR($B33="",$H33="",$I33=""),"",IF(AND(N$3+6&gt;=$H33,N$3&lt;=$I33),1,""))</f>
        <v/>
      </c>
      <c r="O33" s="32" t="str">
        <f aca="false">IF(OR($B33="",$H33="",$I33=""),"",IF(AND(O$3+6&gt;=$H33,O$3&lt;=$I33),1,""))</f>
        <v/>
      </c>
      <c r="P33" s="32" t="str">
        <f aca="false">IF(OR($B33="",$H33="",$I33=""),"",IF(AND(P$3+6&gt;=$H33,P$3&lt;=$I33),1,""))</f>
        <v/>
      </c>
      <c r="Q33" s="32" t="str">
        <f aca="false">IF(OR($B33="",$H33="",$I33=""),"",IF(AND(Q$3+6&gt;=$H33,Q$3&lt;=$I33),1,""))</f>
        <v/>
      </c>
      <c r="R33" s="32" t="str">
        <f aca="false">IF(OR($B33="",$H33="",$I33=""),"",IF(AND(R$3+6&gt;=$H33,R$3&lt;=$I33),1,""))</f>
        <v/>
      </c>
      <c r="S33" s="32" t="str">
        <f aca="false">IF(OR($B33="",$H33="",$I33=""),"",IF(AND(S$3+6&gt;=$H33,S$3&lt;=$I33),1,""))</f>
        <v/>
      </c>
      <c r="T33" s="32" t="str">
        <f aca="false">IF(OR($B33="",$H33="",$I33=""),"",IF(AND(T$3+6&gt;=$H33,T$3&lt;=$I33),1,""))</f>
        <v/>
      </c>
      <c r="U33" s="32" t="str">
        <f aca="false">IF(OR($B33="",$H33="",$I33=""),"",IF(AND(U$3+6&gt;=$H33,U$3&lt;=$I33),1,""))</f>
        <v/>
      </c>
      <c r="V33" s="32" t="str">
        <f aca="false">IF(OR($B33="",$H33="",$I33=""),"",IF(AND(V$3+6&gt;=$H33,V$3&lt;=$I33),1,""))</f>
        <v/>
      </c>
      <c r="W33" s="32" t="str">
        <f aca="false">IF(OR($B33="",$H33="",$I33=""),"",IF(AND(W$3+6&gt;=$H33,W$3&lt;=$I33),1,""))</f>
        <v/>
      </c>
      <c r="X33" s="32" t="str">
        <f aca="false">IF(OR($B33="",$H33="",$I33=""),"",IF(AND(X$3+6&gt;=$H33,X$3&lt;=$I33),1,""))</f>
        <v/>
      </c>
      <c r="Y33" s="32" t="str">
        <f aca="false">IF(OR($B33="",$H33="",$I33=""),"",IF(AND(Y$3+6&gt;=$H33,Y$3&lt;=$I33),1,""))</f>
        <v/>
      </c>
      <c r="Z33" s="32" t="str">
        <f aca="false">IF(OR($B33="",$H33="",$I33=""),"",IF(AND(Z$3+6&gt;=$H33,Z$3&lt;=$I33),1,""))</f>
        <v/>
      </c>
      <c r="AA33" s="32" t="str">
        <f aca="false">IF(OR($B33="",$H33="",$I33=""),"",IF(AND(AA$3+6&gt;=$H33,AA$3&lt;=$I33),1,""))</f>
        <v/>
      </c>
      <c r="AB33" s="32" t="str">
        <f aca="false">IF(OR($B33="",$H33="",$I33=""),"",IF(AND(AB$3+6&gt;=$H33,AB$3&lt;=$I33),1,""))</f>
        <v/>
      </c>
      <c r="AC33" s="32" t="str">
        <f aca="false">IF(OR($B33="",$H33="",$I33=""),"",IF(AND(AC$3+6&gt;=$H33,AC$3&lt;=$I33),1,""))</f>
        <v/>
      </c>
      <c r="AD33" s="32" t="str">
        <f aca="false">IF(OR($B33="",$H33="",$I33=""),"",IF(AND(AD$3+6&gt;=$H33,AD$3&lt;=$I33),1,""))</f>
        <v/>
      </c>
      <c r="AE33" s="32" t="str">
        <f aca="false">IF(OR($B33="",$H33="",$I33=""),"",IF(AND(AE$3+6&gt;=$H33,AE$3&lt;=$I33),1,""))</f>
        <v/>
      </c>
      <c r="AF33" s="32" t="str">
        <f aca="false">IF(OR($B33="",$H33="",$I33=""),"",IF(AND(AF$3+6&gt;=$H33,AF$3&lt;=$I33),1,""))</f>
        <v/>
      </c>
      <c r="AG33" s="32" t="str">
        <f aca="false">IF(OR($B33="",$H33="",$I33=""),"",IF(AND(AG$3+6&gt;=$H33,AG$3&lt;=$I33),1,""))</f>
        <v/>
      </c>
      <c r="AH33" s="32" t="str">
        <f aca="false">IF(OR($B33="",$H33="",$I33=""),"",IF(AND(AH$3+6&gt;=$H33,AH$3&lt;=$I33),1,""))</f>
        <v/>
      </c>
      <c r="AI33" s="32" t="str">
        <f aca="false">IF(OR($B33="",$H33="",$I33=""),"",IF(AND(AI$3+6&gt;=$H33,AI$3&lt;=$I33),1,""))</f>
        <v/>
      </c>
      <c r="AJ33" s="32" t="str">
        <f aca="false">IF(OR($B33="",$H33="",$I33=""),"",IF(AND(AJ$3+6&gt;=$H33,AJ$3&lt;=$I33),1,""))</f>
        <v/>
      </c>
      <c r="AK33" s="32" t="str">
        <f aca="false">IF(OR($B33="",$H33="",$I33=""),"",IF(AND(AK$3+6&gt;=$H33,AK$3&lt;=$I33),1,""))</f>
        <v/>
      </c>
      <c r="AL33" s="32" t="str">
        <f aca="false">IF(OR($B33="",$H33="",$I33=""),"",IF(AND(AL$3+6&gt;=$H33,AL$3&lt;=$I33),1,""))</f>
        <v/>
      </c>
      <c r="AM33" s="32" t="str">
        <f aca="false">IF(OR($B33="",$H33="",$I33=""),"",IF(AND(AM$3+6&gt;=$H33,AM$3&lt;=$I33),1,""))</f>
        <v/>
      </c>
      <c r="AN33" s="32" t="str">
        <f aca="false">IF(OR($B33="",$H33="",$I33=""),"",IF(AND(AN$3+6&gt;=$H33,AN$3&lt;=$I33),1,""))</f>
        <v/>
      </c>
      <c r="AO33" s="32" t="str">
        <f aca="false">IF(OR($B33="",$H33="",$I33=""),"",IF(AND(AO$3+6&gt;=$H33,AO$3&lt;=$I33),1,""))</f>
        <v/>
      </c>
      <c r="AP33" s="32" t="str">
        <f aca="false">IF(OR($B33="",$H33="",$I33=""),"",IF(AND(AP$3+6&gt;=$H33,AP$3&lt;=$I33),1,""))</f>
        <v/>
      </c>
      <c r="AQ33" s="32" t="str">
        <f aca="false">IF(OR($B33="",$H33="",$I33=""),"",IF(AND(AQ$3+6&gt;=$H33,AQ$3&lt;=$I33),1,""))</f>
        <v/>
      </c>
      <c r="AR33" s="32" t="str">
        <f aca="false">IF(OR($B33="",$H33="",$I33=""),"",IF(AND(AR$3+6&gt;=$H33,AR$3&lt;=$I33),1,""))</f>
        <v/>
      </c>
      <c r="AS33" s="32" t="str">
        <f aca="false">IF(OR($B33="",$H33="",$I33=""),"",IF(AND(AS$3+6&gt;=$H33,AS$3&lt;=$I33),1,""))</f>
        <v/>
      </c>
      <c r="AT33" s="32" t="str">
        <f aca="false">IF(OR($B33="",$H33="",$I33=""),"",IF(AND(AT$3+6&gt;=$H33,AT$3&lt;=$I33),1,""))</f>
        <v/>
      </c>
      <c r="AU33" s="32" t="str">
        <f aca="false">IF(OR($B33="",$H33="",$I33=""),"",IF(AND(AU$3+6&gt;=$H33,AU$3&lt;=$I33),1,""))</f>
        <v/>
      </c>
      <c r="AV33" s="32" t="str">
        <f aca="false">IF(OR($B33="",$H33="",$I33=""),"",IF(AND(AV$3+6&gt;=$H33,AV$3&lt;=$I33),1,""))</f>
        <v/>
      </c>
      <c r="AW33" s="32" t="str">
        <f aca="false">IF(OR($B33="",$H33="",$I33=""),"",IF(AND(AW$3+6&gt;=$H33,AW$3&lt;=$I33),1,""))</f>
        <v/>
      </c>
      <c r="AX33" s="32" t="str">
        <f aca="false">IF(OR($B33="",$H33="",$I33=""),"",IF(AND(AX$3+6&gt;=$H33,AX$3&lt;=$I33),1,""))</f>
        <v/>
      </c>
      <c r="AY33" s="32" t="str">
        <f aca="false">IF(OR($B33="",$H33="",$I33=""),"",IF(AND(AY$3+6&gt;=$H33,AY$3&lt;=$I33),1,""))</f>
        <v/>
      </c>
      <c r="AZ33" s="32" t="str">
        <f aca="false">IF(OR($B33="",$H33="",$I33=""),"",IF(AND(AZ$3+6&gt;=$H33,AZ$3&lt;=$I33),1,""))</f>
        <v/>
      </c>
      <c r="BA33" s="32" t="str">
        <f aca="false">IF(OR($B33="",$H33="",$I33=""),"",IF(AND(BA$3+6&gt;=$H33,BA$3&lt;=$I33),1,""))</f>
        <v/>
      </c>
      <c r="BB33" s="32" t="str">
        <f aca="false">IF(OR($B33="",$H33="",$I33=""),"",IF(AND(BB$3+6&gt;=$H33,BB$3&lt;=$I33),1,""))</f>
        <v/>
      </c>
      <c r="BC33" s="32" t="str">
        <f aca="false">IF(OR($B33="",$H33="",$I33=""),"",IF(AND(BC$3+6&gt;=$H33,BC$3&lt;=$I33),1,""))</f>
        <v/>
      </c>
      <c r="BD33" s="32" t="str">
        <f aca="false">IF(OR($B33="",$H33="",$I33=""),"",IF(AND(BD$3+6&gt;=$H33,BD$3&lt;=$I33),1,""))</f>
        <v/>
      </c>
      <c r="BE33" s="32" t="str">
        <f aca="false">IF(OR($B33="",$H33="",$I33=""),"",IF(AND(BE$3+6&gt;=$H33,BE$3&lt;=$I33),1,""))</f>
        <v/>
      </c>
      <c r="BF33" s="32" t="str">
        <f aca="false">IF(OR($B33="",$H33="",$I33=""),"",IF(AND(BF$3+6&gt;=$H33,BF$3&lt;=$I33),1,""))</f>
        <v/>
      </c>
      <c r="BG33" s="32" t="str">
        <f aca="false">IF(OR($B33="",$H33="",$I33=""),"",IF(AND(BG$3+6&gt;=$H33,BG$3&lt;=$I33),1,""))</f>
        <v/>
      </c>
      <c r="BH33" s="32" t="str">
        <f aca="false">IF(OR($B33="",$H33="",$I33=""),"",IF(AND(BH$3+6&gt;=$H33,BH$3&lt;=$I33),1,""))</f>
        <v/>
      </c>
      <c r="BI33" s="32" t="str">
        <f aca="false">IF(OR($B33="",$H33="",$I33=""),"",IF(AND(BI$3+6&gt;=$H33,BI$3&lt;=$I33),1,""))</f>
        <v/>
      </c>
      <c r="BJ33" s="32" t="str">
        <f aca="false">IF(OR($B33="",$H33="",$I33=""),"",IF(AND(BJ$3+6&gt;=$H33,BJ$3&lt;=$I33),1,""))</f>
        <v/>
      </c>
      <c r="BK33" s="32" t="str">
        <f aca="false">IF(OR($B33="",$H33="",$I33=""),"",IF(AND(BK$3+6&gt;=$H33,BK$3&lt;=$I33),1,""))</f>
        <v/>
      </c>
      <c r="BM33" s="0" t="str">
        <f aca="false">IF($E33="",",,",","&amp;SUBSTITUTE($E33," ","")&amp;",")</f>
        <v>,,</v>
      </c>
    </row>
    <row r="34" customFormat="false" ht="21.75" hidden="false" customHeight="true" outlineLevel="0" collapsed="false">
      <c r="A34" s="26" t="str">
        <f aca="false">IF(B34="","",COUNTA($B$7:B34))</f>
        <v/>
      </c>
      <c r="B34" s="27"/>
      <c r="C34" s="28"/>
      <c r="D34" s="28"/>
      <c r="E34" s="27"/>
      <c r="F34" s="29"/>
      <c r="G34" s="28"/>
      <c r="H34" s="30"/>
      <c r="I34" s="30"/>
      <c r="J34" s="31"/>
      <c r="K34" s="27"/>
      <c r="L34" s="32" t="str">
        <f aca="false">IF(OR($B34="",$H34="",$I34=""),"",IF(AND(L$3+6&gt;=$H34,L$3&lt;=$I34),1,""))</f>
        <v/>
      </c>
      <c r="M34" s="32" t="str">
        <f aca="false">IF(OR($B34="",$H34="",$I34=""),"",IF(AND(M$3+6&gt;=$H34,M$3&lt;=$I34),1,""))</f>
        <v/>
      </c>
      <c r="N34" s="32" t="str">
        <f aca="false">IF(OR($B34="",$H34="",$I34=""),"",IF(AND(N$3+6&gt;=$H34,N$3&lt;=$I34),1,""))</f>
        <v/>
      </c>
      <c r="O34" s="32" t="str">
        <f aca="false">IF(OR($B34="",$H34="",$I34=""),"",IF(AND(O$3+6&gt;=$H34,O$3&lt;=$I34),1,""))</f>
        <v/>
      </c>
      <c r="P34" s="32" t="str">
        <f aca="false">IF(OR($B34="",$H34="",$I34=""),"",IF(AND(P$3+6&gt;=$H34,P$3&lt;=$I34),1,""))</f>
        <v/>
      </c>
      <c r="Q34" s="32" t="str">
        <f aca="false">IF(OR($B34="",$H34="",$I34=""),"",IF(AND(Q$3+6&gt;=$H34,Q$3&lt;=$I34),1,""))</f>
        <v/>
      </c>
      <c r="R34" s="32" t="str">
        <f aca="false">IF(OR($B34="",$H34="",$I34=""),"",IF(AND(R$3+6&gt;=$H34,R$3&lt;=$I34),1,""))</f>
        <v/>
      </c>
      <c r="S34" s="32" t="str">
        <f aca="false">IF(OR($B34="",$H34="",$I34=""),"",IF(AND(S$3+6&gt;=$H34,S$3&lt;=$I34),1,""))</f>
        <v/>
      </c>
      <c r="T34" s="32" t="str">
        <f aca="false">IF(OR($B34="",$H34="",$I34=""),"",IF(AND(T$3+6&gt;=$H34,T$3&lt;=$I34),1,""))</f>
        <v/>
      </c>
      <c r="U34" s="32" t="str">
        <f aca="false">IF(OR($B34="",$H34="",$I34=""),"",IF(AND(U$3+6&gt;=$H34,U$3&lt;=$I34),1,""))</f>
        <v/>
      </c>
      <c r="V34" s="32" t="str">
        <f aca="false">IF(OR($B34="",$H34="",$I34=""),"",IF(AND(V$3+6&gt;=$H34,V$3&lt;=$I34),1,""))</f>
        <v/>
      </c>
      <c r="W34" s="32" t="str">
        <f aca="false">IF(OR($B34="",$H34="",$I34=""),"",IF(AND(W$3+6&gt;=$H34,W$3&lt;=$I34),1,""))</f>
        <v/>
      </c>
      <c r="X34" s="32" t="str">
        <f aca="false">IF(OR($B34="",$H34="",$I34=""),"",IF(AND(X$3+6&gt;=$H34,X$3&lt;=$I34),1,""))</f>
        <v/>
      </c>
      <c r="Y34" s="32" t="str">
        <f aca="false">IF(OR($B34="",$H34="",$I34=""),"",IF(AND(Y$3+6&gt;=$H34,Y$3&lt;=$I34),1,""))</f>
        <v/>
      </c>
      <c r="Z34" s="32" t="str">
        <f aca="false">IF(OR($B34="",$H34="",$I34=""),"",IF(AND(Z$3+6&gt;=$H34,Z$3&lt;=$I34),1,""))</f>
        <v/>
      </c>
      <c r="AA34" s="32" t="str">
        <f aca="false">IF(OR($B34="",$H34="",$I34=""),"",IF(AND(AA$3+6&gt;=$H34,AA$3&lt;=$I34),1,""))</f>
        <v/>
      </c>
      <c r="AB34" s="32" t="str">
        <f aca="false">IF(OR($B34="",$H34="",$I34=""),"",IF(AND(AB$3+6&gt;=$H34,AB$3&lt;=$I34),1,""))</f>
        <v/>
      </c>
      <c r="AC34" s="32" t="str">
        <f aca="false">IF(OR($B34="",$H34="",$I34=""),"",IF(AND(AC$3+6&gt;=$H34,AC$3&lt;=$I34),1,""))</f>
        <v/>
      </c>
      <c r="AD34" s="32" t="str">
        <f aca="false">IF(OR($B34="",$H34="",$I34=""),"",IF(AND(AD$3+6&gt;=$H34,AD$3&lt;=$I34),1,""))</f>
        <v/>
      </c>
      <c r="AE34" s="32" t="str">
        <f aca="false">IF(OR($B34="",$H34="",$I34=""),"",IF(AND(AE$3+6&gt;=$H34,AE$3&lt;=$I34),1,""))</f>
        <v/>
      </c>
      <c r="AF34" s="32" t="str">
        <f aca="false">IF(OR($B34="",$H34="",$I34=""),"",IF(AND(AF$3+6&gt;=$H34,AF$3&lt;=$I34),1,""))</f>
        <v/>
      </c>
      <c r="AG34" s="32" t="str">
        <f aca="false">IF(OR($B34="",$H34="",$I34=""),"",IF(AND(AG$3+6&gt;=$H34,AG$3&lt;=$I34),1,""))</f>
        <v/>
      </c>
      <c r="AH34" s="32" t="str">
        <f aca="false">IF(OR($B34="",$H34="",$I34=""),"",IF(AND(AH$3+6&gt;=$H34,AH$3&lt;=$I34),1,""))</f>
        <v/>
      </c>
      <c r="AI34" s="32" t="str">
        <f aca="false">IF(OR($B34="",$H34="",$I34=""),"",IF(AND(AI$3+6&gt;=$H34,AI$3&lt;=$I34),1,""))</f>
        <v/>
      </c>
      <c r="AJ34" s="32" t="str">
        <f aca="false">IF(OR($B34="",$H34="",$I34=""),"",IF(AND(AJ$3+6&gt;=$H34,AJ$3&lt;=$I34),1,""))</f>
        <v/>
      </c>
      <c r="AK34" s="32" t="str">
        <f aca="false">IF(OR($B34="",$H34="",$I34=""),"",IF(AND(AK$3+6&gt;=$H34,AK$3&lt;=$I34),1,""))</f>
        <v/>
      </c>
      <c r="AL34" s="32" t="str">
        <f aca="false">IF(OR($B34="",$H34="",$I34=""),"",IF(AND(AL$3+6&gt;=$H34,AL$3&lt;=$I34),1,""))</f>
        <v/>
      </c>
      <c r="AM34" s="32" t="str">
        <f aca="false">IF(OR($B34="",$H34="",$I34=""),"",IF(AND(AM$3+6&gt;=$H34,AM$3&lt;=$I34),1,""))</f>
        <v/>
      </c>
      <c r="AN34" s="32" t="str">
        <f aca="false">IF(OR($B34="",$H34="",$I34=""),"",IF(AND(AN$3+6&gt;=$H34,AN$3&lt;=$I34),1,""))</f>
        <v/>
      </c>
      <c r="AO34" s="32" t="str">
        <f aca="false">IF(OR($B34="",$H34="",$I34=""),"",IF(AND(AO$3+6&gt;=$H34,AO$3&lt;=$I34),1,""))</f>
        <v/>
      </c>
      <c r="AP34" s="32" t="str">
        <f aca="false">IF(OR($B34="",$H34="",$I34=""),"",IF(AND(AP$3+6&gt;=$H34,AP$3&lt;=$I34),1,""))</f>
        <v/>
      </c>
      <c r="AQ34" s="32" t="str">
        <f aca="false">IF(OR($B34="",$H34="",$I34=""),"",IF(AND(AQ$3+6&gt;=$H34,AQ$3&lt;=$I34),1,""))</f>
        <v/>
      </c>
      <c r="AR34" s="32" t="str">
        <f aca="false">IF(OR($B34="",$H34="",$I34=""),"",IF(AND(AR$3+6&gt;=$H34,AR$3&lt;=$I34),1,""))</f>
        <v/>
      </c>
      <c r="AS34" s="32" t="str">
        <f aca="false">IF(OR($B34="",$H34="",$I34=""),"",IF(AND(AS$3+6&gt;=$H34,AS$3&lt;=$I34),1,""))</f>
        <v/>
      </c>
      <c r="AT34" s="32" t="str">
        <f aca="false">IF(OR($B34="",$H34="",$I34=""),"",IF(AND(AT$3+6&gt;=$H34,AT$3&lt;=$I34),1,""))</f>
        <v/>
      </c>
      <c r="AU34" s="32" t="str">
        <f aca="false">IF(OR($B34="",$H34="",$I34=""),"",IF(AND(AU$3+6&gt;=$H34,AU$3&lt;=$I34),1,""))</f>
        <v/>
      </c>
      <c r="AV34" s="32" t="str">
        <f aca="false">IF(OR($B34="",$H34="",$I34=""),"",IF(AND(AV$3+6&gt;=$H34,AV$3&lt;=$I34),1,""))</f>
        <v/>
      </c>
      <c r="AW34" s="32" t="str">
        <f aca="false">IF(OR($B34="",$H34="",$I34=""),"",IF(AND(AW$3+6&gt;=$H34,AW$3&lt;=$I34),1,""))</f>
        <v/>
      </c>
      <c r="AX34" s="32" t="str">
        <f aca="false">IF(OR($B34="",$H34="",$I34=""),"",IF(AND(AX$3+6&gt;=$H34,AX$3&lt;=$I34),1,""))</f>
        <v/>
      </c>
      <c r="AY34" s="32" t="str">
        <f aca="false">IF(OR($B34="",$H34="",$I34=""),"",IF(AND(AY$3+6&gt;=$H34,AY$3&lt;=$I34),1,""))</f>
        <v/>
      </c>
      <c r="AZ34" s="32" t="str">
        <f aca="false">IF(OR($B34="",$H34="",$I34=""),"",IF(AND(AZ$3+6&gt;=$H34,AZ$3&lt;=$I34),1,""))</f>
        <v/>
      </c>
      <c r="BA34" s="32" t="str">
        <f aca="false">IF(OR($B34="",$H34="",$I34=""),"",IF(AND(BA$3+6&gt;=$H34,BA$3&lt;=$I34),1,""))</f>
        <v/>
      </c>
      <c r="BB34" s="32" t="str">
        <f aca="false">IF(OR($B34="",$H34="",$I34=""),"",IF(AND(BB$3+6&gt;=$H34,BB$3&lt;=$I34),1,""))</f>
        <v/>
      </c>
      <c r="BC34" s="32" t="str">
        <f aca="false">IF(OR($B34="",$H34="",$I34=""),"",IF(AND(BC$3+6&gt;=$H34,BC$3&lt;=$I34),1,""))</f>
        <v/>
      </c>
      <c r="BD34" s="32" t="str">
        <f aca="false">IF(OR($B34="",$H34="",$I34=""),"",IF(AND(BD$3+6&gt;=$H34,BD$3&lt;=$I34),1,""))</f>
        <v/>
      </c>
      <c r="BE34" s="32" t="str">
        <f aca="false">IF(OR($B34="",$H34="",$I34=""),"",IF(AND(BE$3+6&gt;=$H34,BE$3&lt;=$I34),1,""))</f>
        <v/>
      </c>
      <c r="BF34" s="32" t="str">
        <f aca="false">IF(OR($B34="",$H34="",$I34=""),"",IF(AND(BF$3+6&gt;=$H34,BF$3&lt;=$I34),1,""))</f>
        <v/>
      </c>
      <c r="BG34" s="32" t="str">
        <f aca="false">IF(OR($B34="",$H34="",$I34=""),"",IF(AND(BG$3+6&gt;=$H34,BG$3&lt;=$I34),1,""))</f>
        <v/>
      </c>
      <c r="BH34" s="32" t="str">
        <f aca="false">IF(OR($B34="",$H34="",$I34=""),"",IF(AND(BH$3+6&gt;=$H34,BH$3&lt;=$I34),1,""))</f>
        <v/>
      </c>
      <c r="BI34" s="32" t="str">
        <f aca="false">IF(OR($B34="",$H34="",$I34=""),"",IF(AND(BI$3+6&gt;=$H34,BI$3&lt;=$I34),1,""))</f>
        <v/>
      </c>
      <c r="BJ34" s="32" t="str">
        <f aca="false">IF(OR($B34="",$H34="",$I34=""),"",IF(AND(BJ$3+6&gt;=$H34,BJ$3&lt;=$I34),1,""))</f>
        <v/>
      </c>
      <c r="BK34" s="32" t="str">
        <f aca="false">IF(OR($B34="",$H34="",$I34=""),"",IF(AND(BK$3+6&gt;=$H34,BK$3&lt;=$I34),1,""))</f>
        <v/>
      </c>
      <c r="BM34" s="0" t="str">
        <f aca="false">IF($E34="",",,",","&amp;SUBSTITUTE($E34," ","")&amp;",")</f>
        <v>,,</v>
      </c>
    </row>
    <row r="35" customFormat="false" ht="21.75" hidden="false" customHeight="true" outlineLevel="0" collapsed="false">
      <c r="A35" s="26" t="str">
        <f aca="false">IF(B35="","",COUNTA($B$7:B35))</f>
        <v/>
      </c>
      <c r="B35" s="27"/>
      <c r="C35" s="28"/>
      <c r="D35" s="28"/>
      <c r="E35" s="27"/>
      <c r="F35" s="29"/>
      <c r="G35" s="28"/>
      <c r="H35" s="30"/>
      <c r="I35" s="30"/>
      <c r="J35" s="31"/>
      <c r="K35" s="27"/>
      <c r="L35" s="32" t="str">
        <f aca="false">IF(OR($B35="",$H35="",$I35=""),"",IF(AND(L$3+6&gt;=$H35,L$3&lt;=$I35),1,""))</f>
        <v/>
      </c>
      <c r="M35" s="32" t="str">
        <f aca="false">IF(OR($B35="",$H35="",$I35=""),"",IF(AND(M$3+6&gt;=$H35,M$3&lt;=$I35),1,""))</f>
        <v/>
      </c>
      <c r="N35" s="32" t="str">
        <f aca="false">IF(OR($B35="",$H35="",$I35=""),"",IF(AND(N$3+6&gt;=$H35,N$3&lt;=$I35),1,""))</f>
        <v/>
      </c>
      <c r="O35" s="32" t="str">
        <f aca="false">IF(OR($B35="",$H35="",$I35=""),"",IF(AND(O$3+6&gt;=$H35,O$3&lt;=$I35),1,""))</f>
        <v/>
      </c>
      <c r="P35" s="32" t="str">
        <f aca="false">IF(OR($B35="",$H35="",$I35=""),"",IF(AND(P$3+6&gt;=$H35,P$3&lt;=$I35),1,""))</f>
        <v/>
      </c>
      <c r="Q35" s="32" t="str">
        <f aca="false">IF(OR($B35="",$H35="",$I35=""),"",IF(AND(Q$3+6&gt;=$H35,Q$3&lt;=$I35),1,""))</f>
        <v/>
      </c>
      <c r="R35" s="32" t="str">
        <f aca="false">IF(OR($B35="",$H35="",$I35=""),"",IF(AND(R$3+6&gt;=$H35,R$3&lt;=$I35),1,""))</f>
        <v/>
      </c>
      <c r="S35" s="32" t="str">
        <f aca="false">IF(OR($B35="",$H35="",$I35=""),"",IF(AND(S$3+6&gt;=$H35,S$3&lt;=$I35),1,""))</f>
        <v/>
      </c>
      <c r="T35" s="32" t="str">
        <f aca="false">IF(OR($B35="",$H35="",$I35=""),"",IF(AND(T$3+6&gt;=$H35,T$3&lt;=$I35),1,""))</f>
        <v/>
      </c>
      <c r="U35" s="32" t="str">
        <f aca="false">IF(OR($B35="",$H35="",$I35=""),"",IF(AND(U$3+6&gt;=$H35,U$3&lt;=$I35),1,""))</f>
        <v/>
      </c>
      <c r="V35" s="32" t="str">
        <f aca="false">IF(OR($B35="",$H35="",$I35=""),"",IF(AND(V$3+6&gt;=$H35,V$3&lt;=$I35),1,""))</f>
        <v/>
      </c>
      <c r="W35" s="32" t="str">
        <f aca="false">IF(OR($B35="",$H35="",$I35=""),"",IF(AND(W$3+6&gt;=$H35,W$3&lt;=$I35),1,""))</f>
        <v/>
      </c>
      <c r="X35" s="32" t="str">
        <f aca="false">IF(OR($B35="",$H35="",$I35=""),"",IF(AND(X$3+6&gt;=$H35,X$3&lt;=$I35),1,""))</f>
        <v/>
      </c>
      <c r="Y35" s="32" t="str">
        <f aca="false">IF(OR($B35="",$H35="",$I35=""),"",IF(AND(Y$3+6&gt;=$H35,Y$3&lt;=$I35),1,""))</f>
        <v/>
      </c>
      <c r="Z35" s="32" t="str">
        <f aca="false">IF(OR($B35="",$H35="",$I35=""),"",IF(AND(Z$3+6&gt;=$H35,Z$3&lt;=$I35),1,""))</f>
        <v/>
      </c>
      <c r="AA35" s="32" t="str">
        <f aca="false">IF(OR($B35="",$H35="",$I35=""),"",IF(AND(AA$3+6&gt;=$H35,AA$3&lt;=$I35),1,""))</f>
        <v/>
      </c>
      <c r="AB35" s="32" t="str">
        <f aca="false">IF(OR($B35="",$H35="",$I35=""),"",IF(AND(AB$3+6&gt;=$H35,AB$3&lt;=$I35),1,""))</f>
        <v/>
      </c>
      <c r="AC35" s="32" t="str">
        <f aca="false">IF(OR($B35="",$H35="",$I35=""),"",IF(AND(AC$3+6&gt;=$H35,AC$3&lt;=$I35),1,""))</f>
        <v/>
      </c>
      <c r="AD35" s="32" t="str">
        <f aca="false">IF(OR($B35="",$H35="",$I35=""),"",IF(AND(AD$3+6&gt;=$H35,AD$3&lt;=$I35),1,""))</f>
        <v/>
      </c>
      <c r="AE35" s="32" t="str">
        <f aca="false">IF(OR($B35="",$H35="",$I35=""),"",IF(AND(AE$3+6&gt;=$H35,AE$3&lt;=$I35),1,""))</f>
        <v/>
      </c>
      <c r="AF35" s="32" t="str">
        <f aca="false">IF(OR($B35="",$H35="",$I35=""),"",IF(AND(AF$3+6&gt;=$H35,AF$3&lt;=$I35),1,""))</f>
        <v/>
      </c>
      <c r="AG35" s="32" t="str">
        <f aca="false">IF(OR($B35="",$H35="",$I35=""),"",IF(AND(AG$3+6&gt;=$H35,AG$3&lt;=$I35),1,""))</f>
        <v/>
      </c>
      <c r="AH35" s="32" t="str">
        <f aca="false">IF(OR($B35="",$H35="",$I35=""),"",IF(AND(AH$3+6&gt;=$H35,AH$3&lt;=$I35),1,""))</f>
        <v/>
      </c>
      <c r="AI35" s="32" t="str">
        <f aca="false">IF(OR($B35="",$H35="",$I35=""),"",IF(AND(AI$3+6&gt;=$H35,AI$3&lt;=$I35),1,""))</f>
        <v/>
      </c>
      <c r="AJ35" s="32" t="str">
        <f aca="false">IF(OR($B35="",$H35="",$I35=""),"",IF(AND(AJ$3+6&gt;=$H35,AJ$3&lt;=$I35),1,""))</f>
        <v/>
      </c>
      <c r="AK35" s="32" t="str">
        <f aca="false">IF(OR($B35="",$H35="",$I35=""),"",IF(AND(AK$3+6&gt;=$H35,AK$3&lt;=$I35),1,""))</f>
        <v/>
      </c>
      <c r="AL35" s="32" t="str">
        <f aca="false">IF(OR($B35="",$H35="",$I35=""),"",IF(AND(AL$3+6&gt;=$H35,AL$3&lt;=$I35),1,""))</f>
        <v/>
      </c>
      <c r="AM35" s="32" t="str">
        <f aca="false">IF(OR($B35="",$H35="",$I35=""),"",IF(AND(AM$3+6&gt;=$H35,AM$3&lt;=$I35),1,""))</f>
        <v/>
      </c>
      <c r="AN35" s="32" t="str">
        <f aca="false">IF(OR($B35="",$H35="",$I35=""),"",IF(AND(AN$3+6&gt;=$H35,AN$3&lt;=$I35),1,""))</f>
        <v/>
      </c>
      <c r="AO35" s="32" t="str">
        <f aca="false">IF(OR($B35="",$H35="",$I35=""),"",IF(AND(AO$3+6&gt;=$H35,AO$3&lt;=$I35),1,""))</f>
        <v/>
      </c>
      <c r="AP35" s="32" t="str">
        <f aca="false">IF(OR($B35="",$H35="",$I35=""),"",IF(AND(AP$3+6&gt;=$H35,AP$3&lt;=$I35),1,""))</f>
        <v/>
      </c>
      <c r="AQ35" s="32" t="str">
        <f aca="false">IF(OR($B35="",$H35="",$I35=""),"",IF(AND(AQ$3+6&gt;=$H35,AQ$3&lt;=$I35),1,""))</f>
        <v/>
      </c>
      <c r="AR35" s="32" t="str">
        <f aca="false">IF(OR($B35="",$H35="",$I35=""),"",IF(AND(AR$3+6&gt;=$H35,AR$3&lt;=$I35),1,""))</f>
        <v/>
      </c>
      <c r="AS35" s="32" t="str">
        <f aca="false">IF(OR($B35="",$H35="",$I35=""),"",IF(AND(AS$3+6&gt;=$H35,AS$3&lt;=$I35),1,""))</f>
        <v/>
      </c>
      <c r="AT35" s="32" t="str">
        <f aca="false">IF(OR($B35="",$H35="",$I35=""),"",IF(AND(AT$3+6&gt;=$H35,AT$3&lt;=$I35),1,""))</f>
        <v/>
      </c>
      <c r="AU35" s="32" t="str">
        <f aca="false">IF(OR($B35="",$H35="",$I35=""),"",IF(AND(AU$3+6&gt;=$H35,AU$3&lt;=$I35),1,""))</f>
        <v/>
      </c>
      <c r="AV35" s="32" t="str">
        <f aca="false">IF(OR($B35="",$H35="",$I35=""),"",IF(AND(AV$3+6&gt;=$H35,AV$3&lt;=$I35),1,""))</f>
        <v/>
      </c>
      <c r="AW35" s="32" t="str">
        <f aca="false">IF(OR($B35="",$H35="",$I35=""),"",IF(AND(AW$3+6&gt;=$H35,AW$3&lt;=$I35),1,""))</f>
        <v/>
      </c>
      <c r="AX35" s="32" t="str">
        <f aca="false">IF(OR($B35="",$H35="",$I35=""),"",IF(AND(AX$3+6&gt;=$H35,AX$3&lt;=$I35),1,""))</f>
        <v/>
      </c>
      <c r="AY35" s="32" t="str">
        <f aca="false">IF(OR($B35="",$H35="",$I35=""),"",IF(AND(AY$3+6&gt;=$H35,AY$3&lt;=$I35),1,""))</f>
        <v/>
      </c>
      <c r="AZ35" s="32" t="str">
        <f aca="false">IF(OR($B35="",$H35="",$I35=""),"",IF(AND(AZ$3+6&gt;=$H35,AZ$3&lt;=$I35),1,""))</f>
        <v/>
      </c>
      <c r="BA35" s="32" t="str">
        <f aca="false">IF(OR($B35="",$H35="",$I35=""),"",IF(AND(BA$3+6&gt;=$H35,BA$3&lt;=$I35),1,""))</f>
        <v/>
      </c>
      <c r="BB35" s="32" t="str">
        <f aca="false">IF(OR($B35="",$H35="",$I35=""),"",IF(AND(BB$3+6&gt;=$H35,BB$3&lt;=$I35),1,""))</f>
        <v/>
      </c>
      <c r="BC35" s="32" t="str">
        <f aca="false">IF(OR($B35="",$H35="",$I35=""),"",IF(AND(BC$3+6&gt;=$H35,BC$3&lt;=$I35),1,""))</f>
        <v/>
      </c>
      <c r="BD35" s="32" t="str">
        <f aca="false">IF(OR($B35="",$H35="",$I35=""),"",IF(AND(BD$3+6&gt;=$H35,BD$3&lt;=$I35),1,""))</f>
        <v/>
      </c>
      <c r="BE35" s="32" t="str">
        <f aca="false">IF(OR($B35="",$H35="",$I35=""),"",IF(AND(BE$3+6&gt;=$H35,BE$3&lt;=$I35),1,""))</f>
        <v/>
      </c>
      <c r="BF35" s="32" t="str">
        <f aca="false">IF(OR($B35="",$H35="",$I35=""),"",IF(AND(BF$3+6&gt;=$H35,BF$3&lt;=$I35),1,""))</f>
        <v/>
      </c>
      <c r="BG35" s="32" t="str">
        <f aca="false">IF(OR($B35="",$H35="",$I35=""),"",IF(AND(BG$3+6&gt;=$H35,BG$3&lt;=$I35),1,""))</f>
        <v/>
      </c>
      <c r="BH35" s="32" t="str">
        <f aca="false">IF(OR($B35="",$H35="",$I35=""),"",IF(AND(BH$3+6&gt;=$H35,BH$3&lt;=$I35),1,""))</f>
        <v/>
      </c>
      <c r="BI35" s="32" t="str">
        <f aca="false">IF(OR($B35="",$H35="",$I35=""),"",IF(AND(BI$3+6&gt;=$H35,BI$3&lt;=$I35),1,""))</f>
        <v/>
      </c>
      <c r="BJ35" s="32" t="str">
        <f aca="false">IF(OR($B35="",$H35="",$I35=""),"",IF(AND(BJ$3+6&gt;=$H35,BJ$3&lt;=$I35),1,""))</f>
        <v/>
      </c>
      <c r="BK35" s="32" t="str">
        <f aca="false">IF(OR($B35="",$H35="",$I35=""),"",IF(AND(BK$3+6&gt;=$H35,BK$3&lt;=$I35),1,""))</f>
        <v/>
      </c>
      <c r="BM35" s="0" t="str">
        <f aca="false">IF($E35="",",,",","&amp;SUBSTITUTE($E35," ","")&amp;",")</f>
        <v>,,</v>
      </c>
    </row>
    <row r="36" customFormat="false" ht="21.75" hidden="false" customHeight="true" outlineLevel="0" collapsed="false">
      <c r="A36" s="26" t="str">
        <f aca="false">IF(B36="","",COUNTA($B$7:B36))</f>
        <v/>
      </c>
      <c r="B36" s="27"/>
      <c r="C36" s="28"/>
      <c r="D36" s="28"/>
      <c r="E36" s="27"/>
      <c r="F36" s="29"/>
      <c r="G36" s="28"/>
      <c r="H36" s="30"/>
      <c r="I36" s="30"/>
      <c r="J36" s="31"/>
      <c r="K36" s="27"/>
      <c r="L36" s="32" t="str">
        <f aca="false">IF(OR($B36="",$H36="",$I36=""),"",IF(AND(L$3+6&gt;=$H36,L$3&lt;=$I36),1,""))</f>
        <v/>
      </c>
      <c r="M36" s="32" t="str">
        <f aca="false">IF(OR($B36="",$H36="",$I36=""),"",IF(AND(M$3+6&gt;=$H36,M$3&lt;=$I36),1,""))</f>
        <v/>
      </c>
      <c r="N36" s="32" t="str">
        <f aca="false">IF(OR($B36="",$H36="",$I36=""),"",IF(AND(N$3+6&gt;=$H36,N$3&lt;=$I36),1,""))</f>
        <v/>
      </c>
      <c r="O36" s="32" t="str">
        <f aca="false">IF(OR($B36="",$H36="",$I36=""),"",IF(AND(O$3+6&gt;=$H36,O$3&lt;=$I36),1,""))</f>
        <v/>
      </c>
      <c r="P36" s="32" t="str">
        <f aca="false">IF(OR($B36="",$H36="",$I36=""),"",IF(AND(P$3+6&gt;=$H36,P$3&lt;=$I36),1,""))</f>
        <v/>
      </c>
      <c r="Q36" s="32" t="str">
        <f aca="false">IF(OR($B36="",$H36="",$I36=""),"",IF(AND(Q$3+6&gt;=$H36,Q$3&lt;=$I36),1,""))</f>
        <v/>
      </c>
      <c r="R36" s="32" t="str">
        <f aca="false">IF(OR($B36="",$H36="",$I36=""),"",IF(AND(R$3+6&gt;=$H36,R$3&lt;=$I36),1,""))</f>
        <v/>
      </c>
      <c r="S36" s="32" t="str">
        <f aca="false">IF(OR($B36="",$H36="",$I36=""),"",IF(AND(S$3+6&gt;=$H36,S$3&lt;=$I36),1,""))</f>
        <v/>
      </c>
      <c r="T36" s="32" t="str">
        <f aca="false">IF(OR($B36="",$H36="",$I36=""),"",IF(AND(T$3+6&gt;=$H36,T$3&lt;=$I36),1,""))</f>
        <v/>
      </c>
      <c r="U36" s="32" t="str">
        <f aca="false">IF(OR($B36="",$H36="",$I36=""),"",IF(AND(U$3+6&gt;=$H36,U$3&lt;=$I36),1,""))</f>
        <v/>
      </c>
      <c r="V36" s="32" t="str">
        <f aca="false">IF(OR($B36="",$H36="",$I36=""),"",IF(AND(V$3+6&gt;=$H36,V$3&lt;=$I36),1,""))</f>
        <v/>
      </c>
      <c r="W36" s="32" t="str">
        <f aca="false">IF(OR($B36="",$H36="",$I36=""),"",IF(AND(W$3+6&gt;=$H36,W$3&lt;=$I36),1,""))</f>
        <v/>
      </c>
      <c r="X36" s="32" t="str">
        <f aca="false">IF(OR($B36="",$H36="",$I36=""),"",IF(AND(X$3+6&gt;=$H36,X$3&lt;=$I36),1,""))</f>
        <v/>
      </c>
      <c r="Y36" s="32" t="str">
        <f aca="false">IF(OR($B36="",$H36="",$I36=""),"",IF(AND(Y$3+6&gt;=$H36,Y$3&lt;=$I36),1,""))</f>
        <v/>
      </c>
      <c r="Z36" s="32" t="str">
        <f aca="false">IF(OR($B36="",$H36="",$I36=""),"",IF(AND(Z$3+6&gt;=$H36,Z$3&lt;=$I36),1,""))</f>
        <v/>
      </c>
      <c r="AA36" s="32" t="str">
        <f aca="false">IF(OR($B36="",$H36="",$I36=""),"",IF(AND(AA$3+6&gt;=$H36,AA$3&lt;=$I36),1,""))</f>
        <v/>
      </c>
      <c r="AB36" s="32" t="str">
        <f aca="false">IF(OR($B36="",$H36="",$I36=""),"",IF(AND(AB$3+6&gt;=$H36,AB$3&lt;=$I36),1,""))</f>
        <v/>
      </c>
      <c r="AC36" s="32" t="str">
        <f aca="false">IF(OR($B36="",$H36="",$I36=""),"",IF(AND(AC$3+6&gt;=$H36,AC$3&lt;=$I36),1,""))</f>
        <v/>
      </c>
      <c r="AD36" s="32" t="str">
        <f aca="false">IF(OR($B36="",$H36="",$I36=""),"",IF(AND(AD$3+6&gt;=$H36,AD$3&lt;=$I36),1,""))</f>
        <v/>
      </c>
      <c r="AE36" s="32" t="str">
        <f aca="false">IF(OR($B36="",$H36="",$I36=""),"",IF(AND(AE$3+6&gt;=$H36,AE$3&lt;=$I36),1,""))</f>
        <v/>
      </c>
      <c r="AF36" s="32" t="str">
        <f aca="false">IF(OR($B36="",$H36="",$I36=""),"",IF(AND(AF$3+6&gt;=$H36,AF$3&lt;=$I36),1,""))</f>
        <v/>
      </c>
      <c r="AG36" s="32" t="str">
        <f aca="false">IF(OR($B36="",$H36="",$I36=""),"",IF(AND(AG$3+6&gt;=$H36,AG$3&lt;=$I36),1,""))</f>
        <v/>
      </c>
      <c r="AH36" s="32" t="str">
        <f aca="false">IF(OR($B36="",$H36="",$I36=""),"",IF(AND(AH$3+6&gt;=$H36,AH$3&lt;=$I36),1,""))</f>
        <v/>
      </c>
      <c r="AI36" s="32" t="str">
        <f aca="false">IF(OR($B36="",$H36="",$I36=""),"",IF(AND(AI$3+6&gt;=$H36,AI$3&lt;=$I36),1,""))</f>
        <v/>
      </c>
      <c r="AJ36" s="32" t="str">
        <f aca="false">IF(OR($B36="",$H36="",$I36=""),"",IF(AND(AJ$3+6&gt;=$H36,AJ$3&lt;=$I36),1,""))</f>
        <v/>
      </c>
      <c r="AK36" s="32" t="str">
        <f aca="false">IF(OR($B36="",$H36="",$I36=""),"",IF(AND(AK$3+6&gt;=$H36,AK$3&lt;=$I36),1,""))</f>
        <v/>
      </c>
      <c r="AL36" s="32" t="str">
        <f aca="false">IF(OR($B36="",$H36="",$I36=""),"",IF(AND(AL$3+6&gt;=$H36,AL$3&lt;=$I36),1,""))</f>
        <v/>
      </c>
      <c r="AM36" s="32" t="str">
        <f aca="false">IF(OR($B36="",$H36="",$I36=""),"",IF(AND(AM$3+6&gt;=$H36,AM$3&lt;=$I36),1,""))</f>
        <v/>
      </c>
      <c r="AN36" s="32" t="str">
        <f aca="false">IF(OR($B36="",$H36="",$I36=""),"",IF(AND(AN$3+6&gt;=$H36,AN$3&lt;=$I36),1,""))</f>
        <v/>
      </c>
      <c r="AO36" s="32" t="str">
        <f aca="false">IF(OR($B36="",$H36="",$I36=""),"",IF(AND(AO$3+6&gt;=$H36,AO$3&lt;=$I36),1,""))</f>
        <v/>
      </c>
      <c r="AP36" s="32" t="str">
        <f aca="false">IF(OR($B36="",$H36="",$I36=""),"",IF(AND(AP$3+6&gt;=$H36,AP$3&lt;=$I36),1,""))</f>
        <v/>
      </c>
      <c r="AQ36" s="32" t="str">
        <f aca="false">IF(OR($B36="",$H36="",$I36=""),"",IF(AND(AQ$3+6&gt;=$H36,AQ$3&lt;=$I36),1,""))</f>
        <v/>
      </c>
      <c r="AR36" s="32" t="str">
        <f aca="false">IF(OR($B36="",$H36="",$I36=""),"",IF(AND(AR$3+6&gt;=$H36,AR$3&lt;=$I36),1,""))</f>
        <v/>
      </c>
      <c r="AS36" s="32" t="str">
        <f aca="false">IF(OR($B36="",$H36="",$I36=""),"",IF(AND(AS$3+6&gt;=$H36,AS$3&lt;=$I36),1,""))</f>
        <v/>
      </c>
      <c r="AT36" s="32" t="str">
        <f aca="false">IF(OR($B36="",$H36="",$I36=""),"",IF(AND(AT$3+6&gt;=$H36,AT$3&lt;=$I36),1,""))</f>
        <v/>
      </c>
      <c r="AU36" s="32" t="str">
        <f aca="false">IF(OR($B36="",$H36="",$I36=""),"",IF(AND(AU$3+6&gt;=$H36,AU$3&lt;=$I36),1,""))</f>
        <v/>
      </c>
      <c r="AV36" s="32" t="str">
        <f aca="false">IF(OR($B36="",$H36="",$I36=""),"",IF(AND(AV$3+6&gt;=$H36,AV$3&lt;=$I36),1,""))</f>
        <v/>
      </c>
      <c r="AW36" s="32" t="str">
        <f aca="false">IF(OR($B36="",$H36="",$I36=""),"",IF(AND(AW$3+6&gt;=$H36,AW$3&lt;=$I36),1,""))</f>
        <v/>
      </c>
      <c r="AX36" s="32" t="str">
        <f aca="false">IF(OR($B36="",$H36="",$I36=""),"",IF(AND(AX$3+6&gt;=$H36,AX$3&lt;=$I36),1,""))</f>
        <v/>
      </c>
      <c r="AY36" s="32" t="str">
        <f aca="false">IF(OR($B36="",$H36="",$I36=""),"",IF(AND(AY$3+6&gt;=$H36,AY$3&lt;=$I36),1,""))</f>
        <v/>
      </c>
      <c r="AZ36" s="32" t="str">
        <f aca="false">IF(OR($B36="",$H36="",$I36=""),"",IF(AND(AZ$3+6&gt;=$H36,AZ$3&lt;=$I36),1,""))</f>
        <v/>
      </c>
      <c r="BA36" s="32" t="str">
        <f aca="false">IF(OR($B36="",$H36="",$I36=""),"",IF(AND(BA$3+6&gt;=$H36,BA$3&lt;=$I36),1,""))</f>
        <v/>
      </c>
      <c r="BB36" s="32" t="str">
        <f aca="false">IF(OR($B36="",$H36="",$I36=""),"",IF(AND(BB$3+6&gt;=$H36,BB$3&lt;=$I36),1,""))</f>
        <v/>
      </c>
      <c r="BC36" s="32" t="str">
        <f aca="false">IF(OR($B36="",$H36="",$I36=""),"",IF(AND(BC$3+6&gt;=$H36,BC$3&lt;=$I36),1,""))</f>
        <v/>
      </c>
      <c r="BD36" s="32" t="str">
        <f aca="false">IF(OR($B36="",$H36="",$I36=""),"",IF(AND(BD$3+6&gt;=$H36,BD$3&lt;=$I36),1,""))</f>
        <v/>
      </c>
      <c r="BE36" s="32" t="str">
        <f aca="false">IF(OR($B36="",$H36="",$I36=""),"",IF(AND(BE$3+6&gt;=$H36,BE$3&lt;=$I36),1,""))</f>
        <v/>
      </c>
      <c r="BF36" s="32" t="str">
        <f aca="false">IF(OR($B36="",$H36="",$I36=""),"",IF(AND(BF$3+6&gt;=$H36,BF$3&lt;=$I36),1,""))</f>
        <v/>
      </c>
      <c r="BG36" s="32" t="str">
        <f aca="false">IF(OR($B36="",$H36="",$I36=""),"",IF(AND(BG$3+6&gt;=$H36,BG$3&lt;=$I36),1,""))</f>
        <v/>
      </c>
      <c r="BH36" s="32" t="str">
        <f aca="false">IF(OR($B36="",$H36="",$I36=""),"",IF(AND(BH$3+6&gt;=$H36,BH$3&lt;=$I36),1,""))</f>
        <v/>
      </c>
      <c r="BI36" s="32" t="str">
        <f aca="false">IF(OR($B36="",$H36="",$I36=""),"",IF(AND(BI$3+6&gt;=$H36,BI$3&lt;=$I36),1,""))</f>
        <v/>
      </c>
      <c r="BJ36" s="32" t="str">
        <f aca="false">IF(OR($B36="",$H36="",$I36=""),"",IF(AND(BJ$3+6&gt;=$H36,BJ$3&lt;=$I36),1,""))</f>
        <v/>
      </c>
      <c r="BK36" s="32" t="str">
        <f aca="false">IF(OR($B36="",$H36="",$I36=""),"",IF(AND(BK$3+6&gt;=$H36,BK$3&lt;=$I36),1,""))</f>
        <v/>
      </c>
      <c r="BM36" s="0" t="str">
        <f aca="false">IF($E36="",",,",","&amp;SUBSTITUTE($E36," ","")&amp;",")</f>
        <v>,,</v>
      </c>
    </row>
    <row r="37" customFormat="false" ht="21.75" hidden="false" customHeight="true" outlineLevel="0" collapsed="false">
      <c r="A37" s="26" t="str">
        <f aca="false">IF(B37="","",COUNTA($B$7:B37))</f>
        <v/>
      </c>
      <c r="B37" s="27"/>
      <c r="C37" s="28"/>
      <c r="D37" s="28"/>
      <c r="E37" s="27"/>
      <c r="F37" s="29"/>
      <c r="G37" s="28"/>
      <c r="H37" s="30"/>
      <c r="I37" s="30"/>
      <c r="J37" s="31"/>
      <c r="K37" s="27"/>
      <c r="L37" s="32" t="str">
        <f aca="false">IF(OR($B37="",$H37="",$I37=""),"",IF(AND(L$3+6&gt;=$H37,L$3&lt;=$I37),1,""))</f>
        <v/>
      </c>
      <c r="M37" s="32" t="str">
        <f aca="false">IF(OR($B37="",$H37="",$I37=""),"",IF(AND(M$3+6&gt;=$H37,M$3&lt;=$I37),1,""))</f>
        <v/>
      </c>
      <c r="N37" s="32" t="str">
        <f aca="false">IF(OR($B37="",$H37="",$I37=""),"",IF(AND(N$3+6&gt;=$H37,N$3&lt;=$I37),1,""))</f>
        <v/>
      </c>
      <c r="O37" s="32" t="str">
        <f aca="false">IF(OR($B37="",$H37="",$I37=""),"",IF(AND(O$3+6&gt;=$H37,O$3&lt;=$I37),1,""))</f>
        <v/>
      </c>
      <c r="P37" s="32" t="str">
        <f aca="false">IF(OR($B37="",$H37="",$I37=""),"",IF(AND(P$3+6&gt;=$H37,P$3&lt;=$I37),1,""))</f>
        <v/>
      </c>
      <c r="Q37" s="32" t="str">
        <f aca="false">IF(OR($B37="",$H37="",$I37=""),"",IF(AND(Q$3+6&gt;=$H37,Q$3&lt;=$I37),1,""))</f>
        <v/>
      </c>
      <c r="R37" s="32" t="str">
        <f aca="false">IF(OR($B37="",$H37="",$I37=""),"",IF(AND(R$3+6&gt;=$H37,R$3&lt;=$I37),1,""))</f>
        <v/>
      </c>
      <c r="S37" s="32" t="str">
        <f aca="false">IF(OR($B37="",$H37="",$I37=""),"",IF(AND(S$3+6&gt;=$H37,S$3&lt;=$I37),1,""))</f>
        <v/>
      </c>
      <c r="T37" s="32" t="str">
        <f aca="false">IF(OR($B37="",$H37="",$I37=""),"",IF(AND(T$3+6&gt;=$H37,T$3&lt;=$I37),1,""))</f>
        <v/>
      </c>
      <c r="U37" s="32" t="str">
        <f aca="false">IF(OR($B37="",$H37="",$I37=""),"",IF(AND(U$3+6&gt;=$H37,U$3&lt;=$I37),1,""))</f>
        <v/>
      </c>
      <c r="V37" s="32" t="str">
        <f aca="false">IF(OR($B37="",$H37="",$I37=""),"",IF(AND(V$3+6&gt;=$H37,V$3&lt;=$I37),1,""))</f>
        <v/>
      </c>
      <c r="W37" s="32" t="str">
        <f aca="false">IF(OR($B37="",$H37="",$I37=""),"",IF(AND(W$3+6&gt;=$H37,W$3&lt;=$I37),1,""))</f>
        <v/>
      </c>
      <c r="X37" s="32" t="str">
        <f aca="false">IF(OR($B37="",$H37="",$I37=""),"",IF(AND(X$3+6&gt;=$H37,X$3&lt;=$I37),1,""))</f>
        <v/>
      </c>
      <c r="Y37" s="32" t="str">
        <f aca="false">IF(OR($B37="",$H37="",$I37=""),"",IF(AND(Y$3+6&gt;=$H37,Y$3&lt;=$I37),1,""))</f>
        <v/>
      </c>
      <c r="Z37" s="32" t="str">
        <f aca="false">IF(OR($B37="",$H37="",$I37=""),"",IF(AND(Z$3+6&gt;=$H37,Z$3&lt;=$I37),1,""))</f>
        <v/>
      </c>
      <c r="AA37" s="32" t="str">
        <f aca="false">IF(OR($B37="",$H37="",$I37=""),"",IF(AND(AA$3+6&gt;=$H37,AA$3&lt;=$I37),1,""))</f>
        <v/>
      </c>
      <c r="AB37" s="32" t="str">
        <f aca="false">IF(OR($B37="",$H37="",$I37=""),"",IF(AND(AB$3+6&gt;=$H37,AB$3&lt;=$I37),1,""))</f>
        <v/>
      </c>
      <c r="AC37" s="32" t="str">
        <f aca="false">IF(OR($B37="",$H37="",$I37=""),"",IF(AND(AC$3+6&gt;=$H37,AC$3&lt;=$I37),1,""))</f>
        <v/>
      </c>
      <c r="AD37" s="32" t="str">
        <f aca="false">IF(OR($B37="",$H37="",$I37=""),"",IF(AND(AD$3+6&gt;=$H37,AD$3&lt;=$I37),1,""))</f>
        <v/>
      </c>
      <c r="AE37" s="32" t="str">
        <f aca="false">IF(OR($B37="",$H37="",$I37=""),"",IF(AND(AE$3+6&gt;=$H37,AE$3&lt;=$I37),1,""))</f>
        <v/>
      </c>
      <c r="AF37" s="32" t="str">
        <f aca="false">IF(OR($B37="",$H37="",$I37=""),"",IF(AND(AF$3+6&gt;=$H37,AF$3&lt;=$I37),1,""))</f>
        <v/>
      </c>
      <c r="AG37" s="32" t="str">
        <f aca="false">IF(OR($B37="",$H37="",$I37=""),"",IF(AND(AG$3+6&gt;=$H37,AG$3&lt;=$I37),1,""))</f>
        <v/>
      </c>
      <c r="AH37" s="32" t="str">
        <f aca="false">IF(OR($B37="",$H37="",$I37=""),"",IF(AND(AH$3+6&gt;=$H37,AH$3&lt;=$I37),1,""))</f>
        <v/>
      </c>
      <c r="AI37" s="32" t="str">
        <f aca="false">IF(OR($B37="",$H37="",$I37=""),"",IF(AND(AI$3+6&gt;=$H37,AI$3&lt;=$I37),1,""))</f>
        <v/>
      </c>
      <c r="AJ37" s="32" t="str">
        <f aca="false">IF(OR($B37="",$H37="",$I37=""),"",IF(AND(AJ$3+6&gt;=$H37,AJ$3&lt;=$I37),1,""))</f>
        <v/>
      </c>
      <c r="AK37" s="32" t="str">
        <f aca="false">IF(OR($B37="",$H37="",$I37=""),"",IF(AND(AK$3+6&gt;=$H37,AK$3&lt;=$I37),1,""))</f>
        <v/>
      </c>
      <c r="AL37" s="32" t="str">
        <f aca="false">IF(OR($B37="",$H37="",$I37=""),"",IF(AND(AL$3+6&gt;=$H37,AL$3&lt;=$I37),1,""))</f>
        <v/>
      </c>
      <c r="AM37" s="32" t="str">
        <f aca="false">IF(OR($B37="",$H37="",$I37=""),"",IF(AND(AM$3+6&gt;=$H37,AM$3&lt;=$I37),1,""))</f>
        <v/>
      </c>
      <c r="AN37" s="32" t="str">
        <f aca="false">IF(OR($B37="",$H37="",$I37=""),"",IF(AND(AN$3+6&gt;=$H37,AN$3&lt;=$I37),1,""))</f>
        <v/>
      </c>
      <c r="AO37" s="32" t="str">
        <f aca="false">IF(OR($B37="",$H37="",$I37=""),"",IF(AND(AO$3+6&gt;=$H37,AO$3&lt;=$I37),1,""))</f>
        <v/>
      </c>
      <c r="AP37" s="32" t="str">
        <f aca="false">IF(OR($B37="",$H37="",$I37=""),"",IF(AND(AP$3+6&gt;=$H37,AP$3&lt;=$I37),1,""))</f>
        <v/>
      </c>
      <c r="AQ37" s="32" t="str">
        <f aca="false">IF(OR($B37="",$H37="",$I37=""),"",IF(AND(AQ$3+6&gt;=$H37,AQ$3&lt;=$I37),1,""))</f>
        <v/>
      </c>
      <c r="AR37" s="32" t="str">
        <f aca="false">IF(OR($B37="",$H37="",$I37=""),"",IF(AND(AR$3+6&gt;=$H37,AR$3&lt;=$I37),1,""))</f>
        <v/>
      </c>
      <c r="AS37" s="32" t="str">
        <f aca="false">IF(OR($B37="",$H37="",$I37=""),"",IF(AND(AS$3+6&gt;=$H37,AS$3&lt;=$I37),1,""))</f>
        <v/>
      </c>
      <c r="AT37" s="32" t="str">
        <f aca="false">IF(OR($B37="",$H37="",$I37=""),"",IF(AND(AT$3+6&gt;=$H37,AT$3&lt;=$I37),1,""))</f>
        <v/>
      </c>
      <c r="AU37" s="32" t="str">
        <f aca="false">IF(OR($B37="",$H37="",$I37=""),"",IF(AND(AU$3+6&gt;=$H37,AU$3&lt;=$I37),1,""))</f>
        <v/>
      </c>
      <c r="AV37" s="32" t="str">
        <f aca="false">IF(OR($B37="",$H37="",$I37=""),"",IF(AND(AV$3+6&gt;=$H37,AV$3&lt;=$I37),1,""))</f>
        <v/>
      </c>
      <c r="AW37" s="32" t="str">
        <f aca="false">IF(OR($B37="",$H37="",$I37=""),"",IF(AND(AW$3+6&gt;=$H37,AW$3&lt;=$I37),1,""))</f>
        <v/>
      </c>
      <c r="AX37" s="32" t="str">
        <f aca="false">IF(OR($B37="",$H37="",$I37=""),"",IF(AND(AX$3+6&gt;=$H37,AX$3&lt;=$I37),1,""))</f>
        <v/>
      </c>
      <c r="AY37" s="32" t="str">
        <f aca="false">IF(OR($B37="",$H37="",$I37=""),"",IF(AND(AY$3+6&gt;=$H37,AY$3&lt;=$I37),1,""))</f>
        <v/>
      </c>
      <c r="AZ37" s="32" t="str">
        <f aca="false">IF(OR($B37="",$H37="",$I37=""),"",IF(AND(AZ$3+6&gt;=$H37,AZ$3&lt;=$I37),1,""))</f>
        <v/>
      </c>
      <c r="BA37" s="32" t="str">
        <f aca="false">IF(OR($B37="",$H37="",$I37=""),"",IF(AND(BA$3+6&gt;=$H37,BA$3&lt;=$I37),1,""))</f>
        <v/>
      </c>
      <c r="BB37" s="32" t="str">
        <f aca="false">IF(OR($B37="",$H37="",$I37=""),"",IF(AND(BB$3+6&gt;=$H37,BB$3&lt;=$I37),1,""))</f>
        <v/>
      </c>
      <c r="BC37" s="32" t="str">
        <f aca="false">IF(OR($B37="",$H37="",$I37=""),"",IF(AND(BC$3+6&gt;=$H37,BC$3&lt;=$I37),1,""))</f>
        <v/>
      </c>
      <c r="BD37" s="32" t="str">
        <f aca="false">IF(OR($B37="",$H37="",$I37=""),"",IF(AND(BD$3+6&gt;=$H37,BD$3&lt;=$I37),1,""))</f>
        <v/>
      </c>
      <c r="BE37" s="32" t="str">
        <f aca="false">IF(OR($B37="",$H37="",$I37=""),"",IF(AND(BE$3+6&gt;=$H37,BE$3&lt;=$I37),1,""))</f>
        <v/>
      </c>
      <c r="BF37" s="32" t="str">
        <f aca="false">IF(OR($B37="",$H37="",$I37=""),"",IF(AND(BF$3+6&gt;=$H37,BF$3&lt;=$I37),1,""))</f>
        <v/>
      </c>
      <c r="BG37" s="32" t="str">
        <f aca="false">IF(OR($B37="",$H37="",$I37=""),"",IF(AND(BG$3+6&gt;=$H37,BG$3&lt;=$I37),1,""))</f>
        <v/>
      </c>
      <c r="BH37" s="32" t="str">
        <f aca="false">IF(OR($B37="",$H37="",$I37=""),"",IF(AND(BH$3+6&gt;=$H37,BH$3&lt;=$I37),1,""))</f>
        <v/>
      </c>
      <c r="BI37" s="32" t="str">
        <f aca="false">IF(OR($B37="",$H37="",$I37=""),"",IF(AND(BI$3+6&gt;=$H37,BI$3&lt;=$I37),1,""))</f>
        <v/>
      </c>
      <c r="BJ37" s="32" t="str">
        <f aca="false">IF(OR($B37="",$H37="",$I37=""),"",IF(AND(BJ$3+6&gt;=$H37,BJ$3&lt;=$I37),1,""))</f>
        <v/>
      </c>
      <c r="BK37" s="32" t="str">
        <f aca="false">IF(OR($B37="",$H37="",$I37=""),"",IF(AND(BK$3+6&gt;=$H37,BK$3&lt;=$I37),1,""))</f>
        <v/>
      </c>
      <c r="BM37" s="0" t="str">
        <f aca="false">IF($E37="",",,",","&amp;SUBSTITUTE($E37," ","")&amp;",")</f>
        <v>,,</v>
      </c>
    </row>
    <row r="38" customFormat="false" ht="21.75" hidden="false" customHeight="true" outlineLevel="0" collapsed="false">
      <c r="A38" s="26" t="str">
        <f aca="false">IF(B38="","",COUNTA($B$7:B38))</f>
        <v/>
      </c>
      <c r="B38" s="27"/>
      <c r="C38" s="28"/>
      <c r="D38" s="28"/>
      <c r="E38" s="27"/>
      <c r="F38" s="29"/>
      <c r="G38" s="28"/>
      <c r="H38" s="30"/>
      <c r="I38" s="30"/>
      <c r="J38" s="31"/>
      <c r="K38" s="27"/>
      <c r="L38" s="32" t="str">
        <f aca="false">IF(OR($B38="",$H38="",$I38=""),"",IF(AND(L$3+6&gt;=$H38,L$3&lt;=$I38),1,""))</f>
        <v/>
      </c>
      <c r="M38" s="32" t="str">
        <f aca="false">IF(OR($B38="",$H38="",$I38=""),"",IF(AND(M$3+6&gt;=$H38,M$3&lt;=$I38),1,""))</f>
        <v/>
      </c>
      <c r="N38" s="32" t="str">
        <f aca="false">IF(OR($B38="",$H38="",$I38=""),"",IF(AND(N$3+6&gt;=$H38,N$3&lt;=$I38),1,""))</f>
        <v/>
      </c>
      <c r="O38" s="32" t="str">
        <f aca="false">IF(OR($B38="",$H38="",$I38=""),"",IF(AND(O$3+6&gt;=$H38,O$3&lt;=$I38),1,""))</f>
        <v/>
      </c>
      <c r="P38" s="32" t="str">
        <f aca="false">IF(OR($B38="",$H38="",$I38=""),"",IF(AND(P$3+6&gt;=$H38,P$3&lt;=$I38),1,""))</f>
        <v/>
      </c>
      <c r="Q38" s="32" t="str">
        <f aca="false">IF(OR($B38="",$H38="",$I38=""),"",IF(AND(Q$3+6&gt;=$H38,Q$3&lt;=$I38),1,""))</f>
        <v/>
      </c>
      <c r="R38" s="32" t="str">
        <f aca="false">IF(OR($B38="",$H38="",$I38=""),"",IF(AND(R$3+6&gt;=$H38,R$3&lt;=$I38),1,""))</f>
        <v/>
      </c>
      <c r="S38" s="32" t="str">
        <f aca="false">IF(OR($B38="",$H38="",$I38=""),"",IF(AND(S$3+6&gt;=$H38,S$3&lt;=$I38),1,""))</f>
        <v/>
      </c>
      <c r="T38" s="32" t="str">
        <f aca="false">IF(OR($B38="",$H38="",$I38=""),"",IF(AND(T$3+6&gt;=$H38,T$3&lt;=$I38),1,""))</f>
        <v/>
      </c>
      <c r="U38" s="32" t="str">
        <f aca="false">IF(OR($B38="",$H38="",$I38=""),"",IF(AND(U$3+6&gt;=$H38,U$3&lt;=$I38),1,""))</f>
        <v/>
      </c>
      <c r="V38" s="32" t="str">
        <f aca="false">IF(OR($B38="",$H38="",$I38=""),"",IF(AND(V$3+6&gt;=$H38,V$3&lt;=$I38),1,""))</f>
        <v/>
      </c>
      <c r="W38" s="32" t="str">
        <f aca="false">IF(OR($B38="",$H38="",$I38=""),"",IF(AND(W$3+6&gt;=$H38,W$3&lt;=$I38),1,""))</f>
        <v/>
      </c>
      <c r="X38" s="32" t="str">
        <f aca="false">IF(OR($B38="",$H38="",$I38=""),"",IF(AND(X$3+6&gt;=$H38,X$3&lt;=$I38),1,""))</f>
        <v/>
      </c>
      <c r="Y38" s="32" t="str">
        <f aca="false">IF(OR($B38="",$H38="",$I38=""),"",IF(AND(Y$3+6&gt;=$H38,Y$3&lt;=$I38),1,""))</f>
        <v/>
      </c>
      <c r="Z38" s="32" t="str">
        <f aca="false">IF(OR($B38="",$H38="",$I38=""),"",IF(AND(Z$3+6&gt;=$H38,Z$3&lt;=$I38),1,""))</f>
        <v/>
      </c>
      <c r="AA38" s="32" t="str">
        <f aca="false">IF(OR($B38="",$H38="",$I38=""),"",IF(AND(AA$3+6&gt;=$H38,AA$3&lt;=$I38),1,""))</f>
        <v/>
      </c>
      <c r="AB38" s="32" t="str">
        <f aca="false">IF(OR($B38="",$H38="",$I38=""),"",IF(AND(AB$3+6&gt;=$H38,AB$3&lt;=$I38),1,""))</f>
        <v/>
      </c>
      <c r="AC38" s="32" t="str">
        <f aca="false">IF(OR($B38="",$H38="",$I38=""),"",IF(AND(AC$3+6&gt;=$H38,AC$3&lt;=$I38),1,""))</f>
        <v/>
      </c>
      <c r="AD38" s="32" t="str">
        <f aca="false">IF(OR($B38="",$H38="",$I38=""),"",IF(AND(AD$3+6&gt;=$H38,AD$3&lt;=$I38),1,""))</f>
        <v/>
      </c>
      <c r="AE38" s="32" t="str">
        <f aca="false">IF(OR($B38="",$H38="",$I38=""),"",IF(AND(AE$3+6&gt;=$H38,AE$3&lt;=$I38),1,""))</f>
        <v/>
      </c>
      <c r="AF38" s="32" t="str">
        <f aca="false">IF(OR($B38="",$H38="",$I38=""),"",IF(AND(AF$3+6&gt;=$H38,AF$3&lt;=$I38),1,""))</f>
        <v/>
      </c>
      <c r="AG38" s="32" t="str">
        <f aca="false">IF(OR($B38="",$H38="",$I38=""),"",IF(AND(AG$3+6&gt;=$H38,AG$3&lt;=$I38),1,""))</f>
        <v/>
      </c>
      <c r="AH38" s="32" t="str">
        <f aca="false">IF(OR($B38="",$H38="",$I38=""),"",IF(AND(AH$3+6&gt;=$H38,AH$3&lt;=$I38),1,""))</f>
        <v/>
      </c>
      <c r="AI38" s="32" t="str">
        <f aca="false">IF(OR($B38="",$H38="",$I38=""),"",IF(AND(AI$3+6&gt;=$H38,AI$3&lt;=$I38),1,""))</f>
        <v/>
      </c>
      <c r="AJ38" s="32" t="str">
        <f aca="false">IF(OR($B38="",$H38="",$I38=""),"",IF(AND(AJ$3+6&gt;=$H38,AJ$3&lt;=$I38),1,""))</f>
        <v/>
      </c>
      <c r="AK38" s="32" t="str">
        <f aca="false">IF(OR($B38="",$H38="",$I38=""),"",IF(AND(AK$3+6&gt;=$H38,AK$3&lt;=$I38),1,""))</f>
        <v/>
      </c>
      <c r="AL38" s="32" t="str">
        <f aca="false">IF(OR($B38="",$H38="",$I38=""),"",IF(AND(AL$3+6&gt;=$H38,AL$3&lt;=$I38),1,""))</f>
        <v/>
      </c>
      <c r="AM38" s="32" t="str">
        <f aca="false">IF(OR($B38="",$H38="",$I38=""),"",IF(AND(AM$3+6&gt;=$H38,AM$3&lt;=$I38),1,""))</f>
        <v/>
      </c>
      <c r="AN38" s="32" t="str">
        <f aca="false">IF(OR($B38="",$H38="",$I38=""),"",IF(AND(AN$3+6&gt;=$H38,AN$3&lt;=$I38),1,""))</f>
        <v/>
      </c>
      <c r="AO38" s="32" t="str">
        <f aca="false">IF(OR($B38="",$H38="",$I38=""),"",IF(AND(AO$3+6&gt;=$H38,AO$3&lt;=$I38),1,""))</f>
        <v/>
      </c>
      <c r="AP38" s="32" t="str">
        <f aca="false">IF(OR($B38="",$H38="",$I38=""),"",IF(AND(AP$3+6&gt;=$H38,AP$3&lt;=$I38),1,""))</f>
        <v/>
      </c>
      <c r="AQ38" s="32" t="str">
        <f aca="false">IF(OR($B38="",$H38="",$I38=""),"",IF(AND(AQ$3+6&gt;=$H38,AQ$3&lt;=$I38),1,""))</f>
        <v/>
      </c>
      <c r="AR38" s="32" t="str">
        <f aca="false">IF(OR($B38="",$H38="",$I38=""),"",IF(AND(AR$3+6&gt;=$H38,AR$3&lt;=$I38),1,""))</f>
        <v/>
      </c>
      <c r="AS38" s="32" t="str">
        <f aca="false">IF(OR($B38="",$H38="",$I38=""),"",IF(AND(AS$3+6&gt;=$H38,AS$3&lt;=$I38),1,""))</f>
        <v/>
      </c>
      <c r="AT38" s="32" t="str">
        <f aca="false">IF(OR($B38="",$H38="",$I38=""),"",IF(AND(AT$3+6&gt;=$H38,AT$3&lt;=$I38),1,""))</f>
        <v/>
      </c>
      <c r="AU38" s="32" t="str">
        <f aca="false">IF(OR($B38="",$H38="",$I38=""),"",IF(AND(AU$3+6&gt;=$H38,AU$3&lt;=$I38),1,""))</f>
        <v/>
      </c>
      <c r="AV38" s="32" t="str">
        <f aca="false">IF(OR($B38="",$H38="",$I38=""),"",IF(AND(AV$3+6&gt;=$H38,AV$3&lt;=$I38),1,""))</f>
        <v/>
      </c>
      <c r="AW38" s="32" t="str">
        <f aca="false">IF(OR($B38="",$H38="",$I38=""),"",IF(AND(AW$3+6&gt;=$H38,AW$3&lt;=$I38),1,""))</f>
        <v/>
      </c>
      <c r="AX38" s="32" t="str">
        <f aca="false">IF(OR($B38="",$H38="",$I38=""),"",IF(AND(AX$3+6&gt;=$H38,AX$3&lt;=$I38),1,""))</f>
        <v/>
      </c>
      <c r="AY38" s="32" t="str">
        <f aca="false">IF(OR($B38="",$H38="",$I38=""),"",IF(AND(AY$3+6&gt;=$H38,AY$3&lt;=$I38),1,""))</f>
        <v/>
      </c>
      <c r="AZ38" s="32" t="str">
        <f aca="false">IF(OR($B38="",$H38="",$I38=""),"",IF(AND(AZ$3+6&gt;=$H38,AZ$3&lt;=$I38),1,""))</f>
        <v/>
      </c>
      <c r="BA38" s="32" t="str">
        <f aca="false">IF(OR($B38="",$H38="",$I38=""),"",IF(AND(BA$3+6&gt;=$H38,BA$3&lt;=$I38),1,""))</f>
        <v/>
      </c>
      <c r="BB38" s="32" t="str">
        <f aca="false">IF(OR($B38="",$H38="",$I38=""),"",IF(AND(BB$3+6&gt;=$H38,BB$3&lt;=$I38),1,""))</f>
        <v/>
      </c>
      <c r="BC38" s="32" t="str">
        <f aca="false">IF(OR($B38="",$H38="",$I38=""),"",IF(AND(BC$3+6&gt;=$H38,BC$3&lt;=$I38),1,""))</f>
        <v/>
      </c>
      <c r="BD38" s="32" t="str">
        <f aca="false">IF(OR($B38="",$H38="",$I38=""),"",IF(AND(BD$3+6&gt;=$H38,BD$3&lt;=$I38),1,""))</f>
        <v/>
      </c>
      <c r="BE38" s="32" t="str">
        <f aca="false">IF(OR($B38="",$H38="",$I38=""),"",IF(AND(BE$3+6&gt;=$H38,BE$3&lt;=$I38),1,""))</f>
        <v/>
      </c>
      <c r="BF38" s="32" t="str">
        <f aca="false">IF(OR($B38="",$H38="",$I38=""),"",IF(AND(BF$3+6&gt;=$H38,BF$3&lt;=$I38),1,""))</f>
        <v/>
      </c>
      <c r="BG38" s="32" t="str">
        <f aca="false">IF(OR($B38="",$H38="",$I38=""),"",IF(AND(BG$3+6&gt;=$H38,BG$3&lt;=$I38),1,""))</f>
        <v/>
      </c>
      <c r="BH38" s="32" t="str">
        <f aca="false">IF(OR($B38="",$H38="",$I38=""),"",IF(AND(BH$3+6&gt;=$H38,BH$3&lt;=$I38),1,""))</f>
        <v/>
      </c>
      <c r="BI38" s="32" t="str">
        <f aca="false">IF(OR($B38="",$H38="",$I38=""),"",IF(AND(BI$3+6&gt;=$H38,BI$3&lt;=$I38),1,""))</f>
        <v/>
      </c>
      <c r="BJ38" s="32" t="str">
        <f aca="false">IF(OR($B38="",$H38="",$I38=""),"",IF(AND(BJ$3+6&gt;=$H38,BJ$3&lt;=$I38),1,""))</f>
        <v/>
      </c>
      <c r="BK38" s="32" t="str">
        <f aca="false">IF(OR($B38="",$H38="",$I38=""),"",IF(AND(BK$3+6&gt;=$H38,BK$3&lt;=$I38),1,""))</f>
        <v/>
      </c>
      <c r="BM38" s="0" t="str">
        <f aca="false">IF($E38="",",,",","&amp;SUBSTITUTE($E38," ","")&amp;",")</f>
        <v>,,</v>
      </c>
    </row>
    <row r="39" customFormat="false" ht="21.75" hidden="false" customHeight="true" outlineLevel="0" collapsed="false">
      <c r="A39" s="26" t="str">
        <f aca="false">IF(B39="","",COUNTA($B$7:B39))</f>
        <v/>
      </c>
      <c r="B39" s="27"/>
      <c r="C39" s="28"/>
      <c r="D39" s="28"/>
      <c r="E39" s="27"/>
      <c r="F39" s="29"/>
      <c r="G39" s="28"/>
      <c r="H39" s="30"/>
      <c r="I39" s="30"/>
      <c r="J39" s="31"/>
      <c r="K39" s="27"/>
      <c r="L39" s="32" t="str">
        <f aca="false">IF(OR($B39="",$H39="",$I39=""),"",IF(AND(L$3+6&gt;=$H39,L$3&lt;=$I39),1,""))</f>
        <v/>
      </c>
      <c r="M39" s="32" t="str">
        <f aca="false">IF(OR($B39="",$H39="",$I39=""),"",IF(AND(M$3+6&gt;=$H39,M$3&lt;=$I39),1,""))</f>
        <v/>
      </c>
      <c r="N39" s="32" t="str">
        <f aca="false">IF(OR($B39="",$H39="",$I39=""),"",IF(AND(N$3+6&gt;=$H39,N$3&lt;=$I39),1,""))</f>
        <v/>
      </c>
      <c r="O39" s="32" t="str">
        <f aca="false">IF(OR($B39="",$H39="",$I39=""),"",IF(AND(O$3+6&gt;=$H39,O$3&lt;=$I39),1,""))</f>
        <v/>
      </c>
      <c r="P39" s="32" t="str">
        <f aca="false">IF(OR($B39="",$H39="",$I39=""),"",IF(AND(P$3+6&gt;=$H39,P$3&lt;=$I39),1,""))</f>
        <v/>
      </c>
      <c r="Q39" s="32" t="str">
        <f aca="false">IF(OR($B39="",$H39="",$I39=""),"",IF(AND(Q$3+6&gt;=$H39,Q$3&lt;=$I39),1,""))</f>
        <v/>
      </c>
      <c r="R39" s="32" t="str">
        <f aca="false">IF(OR($B39="",$H39="",$I39=""),"",IF(AND(R$3+6&gt;=$H39,R$3&lt;=$I39),1,""))</f>
        <v/>
      </c>
      <c r="S39" s="32" t="str">
        <f aca="false">IF(OR($B39="",$H39="",$I39=""),"",IF(AND(S$3+6&gt;=$H39,S$3&lt;=$I39),1,""))</f>
        <v/>
      </c>
      <c r="T39" s="32" t="str">
        <f aca="false">IF(OR($B39="",$H39="",$I39=""),"",IF(AND(T$3+6&gt;=$H39,T$3&lt;=$I39),1,""))</f>
        <v/>
      </c>
      <c r="U39" s="32" t="str">
        <f aca="false">IF(OR($B39="",$H39="",$I39=""),"",IF(AND(U$3+6&gt;=$H39,U$3&lt;=$I39),1,""))</f>
        <v/>
      </c>
      <c r="V39" s="32" t="str">
        <f aca="false">IF(OR($B39="",$H39="",$I39=""),"",IF(AND(V$3+6&gt;=$H39,V$3&lt;=$I39),1,""))</f>
        <v/>
      </c>
      <c r="W39" s="32" t="str">
        <f aca="false">IF(OR($B39="",$H39="",$I39=""),"",IF(AND(W$3+6&gt;=$H39,W$3&lt;=$I39),1,""))</f>
        <v/>
      </c>
      <c r="X39" s="32" t="str">
        <f aca="false">IF(OR($B39="",$H39="",$I39=""),"",IF(AND(X$3+6&gt;=$H39,X$3&lt;=$I39),1,""))</f>
        <v/>
      </c>
      <c r="Y39" s="32" t="str">
        <f aca="false">IF(OR($B39="",$H39="",$I39=""),"",IF(AND(Y$3+6&gt;=$H39,Y$3&lt;=$I39),1,""))</f>
        <v/>
      </c>
      <c r="Z39" s="32" t="str">
        <f aca="false">IF(OR($B39="",$H39="",$I39=""),"",IF(AND(Z$3+6&gt;=$H39,Z$3&lt;=$I39),1,""))</f>
        <v/>
      </c>
      <c r="AA39" s="32" t="str">
        <f aca="false">IF(OR($B39="",$H39="",$I39=""),"",IF(AND(AA$3+6&gt;=$H39,AA$3&lt;=$I39),1,""))</f>
        <v/>
      </c>
      <c r="AB39" s="32" t="str">
        <f aca="false">IF(OR($B39="",$H39="",$I39=""),"",IF(AND(AB$3+6&gt;=$H39,AB$3&lt;=$I39),1,""))</f>
        <v/>
      </c>
      <c r="AC39" s="32" t="str">
        <f aca="false">IF(OR($B39="",$H39="",$I39=""),"",IF(AND(AC$3+6&gt;=$H39,AC$3&lt;=$I39),1,""))</f>
        <v/>
      </c>
      <c r="AD39" s="32" t="str">
        <f aca="false">IF(OR($B39="",$H39="",$I39=""),"",IF(AND(AD$3+6&gt;=$H39,AD$3&lt;=$I39),1,""))</f>
        <v/>
      </c>
      <c r="AE39" s="32" t="str">
        <f aca="false">IF(OR($B39="",$H39="",$I39=""),"",IF(AND(AE$3+6&gt;=$H39,AE$3&lt;=$I39),1,""))</f>
        <v/>
      </c>
      <c r="AF39" s="32" t="str">
        <f aca="false">IF(OR($B39="",$H39="",$I39=""),"",IF(AND(AF$3+6&gt;=$H39,AF$3&lt;=$I39),1,""))</f>
        <v/>
      </c>
      <c r="AG39" s="32" t="str">
        <f aca="false">IF(OR($B39="",$H39="",$I39=""),"",IF(AND(AG$3+6&gt;=$H39,AG$3&lt;=$I39),1,""))</f>
        <v/>
      </c>
      <c r="AH39" s="32" t="str">
        <f aca="false">IF(OR($B39="",$H39="",$I39=""),"",IF(AND(AH$3+6&gt;=$H39,AH$3&lt;=$I39),1,""))</f>
        <v/>
      </c>
      <c r="AI39" s="32" t="str">
        <f aca="false">IF(OR($B39="",$H39="",$I39=""),"",IF(AND(AI$3+6&gt;=$H39,AI$3&lt;=$I39),1,""))</f>
        <v/>
      </c>
      <c r="AJ39" s="32" t="str">
        <f aca="false">IF(OR($B39="",$H39="",$I39=""),"",IF(AND(AJ$3+6&gt;=$H39,AJ$3&lt;=$I39),1,""))</f>
        <v/>
      </c>
      <c r="AK39" s="32" t="str">
        <f aca="false">IF(OR($B39="",$H39="",$I39=""),"",IF(AND(AK$3+6&gt;=$H39,AK$3&lt;=$I39),1,""))</f>
        <v/>
      </c>
      <c r="AL39" s="32" t="str">
        <f aca="false">IF(OR($B39="",$H39="",$I39=""),"",IF(AND(AL$3+6&gt;=$H39,AL$3&lt;=$I39),1,""))</f>
        <v/>
      </c>
      <c r="AM39" s="32" t="str">
        <f aca="false">IF(OR($B39="",$H39="",$I39=""),"",IF(AND(AM$3+6&gt;=$H39,AM$3&lt;=$I39),1,""))</f>
        <v/>
      </c>
      <c r="AN39" s="32" t="str">
        <f aca="false">IF(OR($B39="",$H39="",$I39=""),"",IF(AND(AN$3+6&gt;=$H39,AN$3&lt;=$I39),1,""))</f>
        <v/>
      </c>
      <c r="AO39" s="32" t="str">
        <f aca="false">IF(OR($B39="",$H39="",$I39=""),"",IF(AND(AO$3+6&gt;=$H39,AO$3&lt;=$I39),1,""))</f>
        <v/>
      </c>
      <c r="AP39" s="32" t="str">
        <f aca="false">IF(OR($B39="",$H39="",$I39=""),"",IF(AND(AP$3+6&gt;=$H39,AP$3&lt;=$I39),1,""))</f>
        <v/>
      </c>
      <c r="AQ39" s="32" t="str">
        <f aca="false">IF(OR($B39="",$H39="",$I39=""),"",IF(AND(AQ$3+6&gt;=$H39,AQ$3&lt;=$I39),1,""))</f>
        <v/>
      </c>
      <c r="AR39" s="32" t="str">
        <f aca="false">IF(OR($B39="",$H39="",$I39=""),"",IF(AND(AR$3+6&gt;=$H39,AR$3&lt;=$I39),1,""))</f>
        <v/>
      </c>
      <c r="AS39" s="32" t="str">
        <f aca="false">IF(OR($B39="",$H39="",$I39=""),"",IF(AND(AS$3+6&gt;=$H39,AS$3&lt;=$I39),1,""))</f>
        <v/>
      </c>
      <c r="AT39" s="32" t="str">
        <f aca="false">IF(OR($B39="",$H39="",$I39=""),"",IF(AND(AT$3+6&gt;=$H39,AT$3&lt;=$I39),1,""))</f>
        <v/>
      </c>
      <c r="AU39" s="32" t="str">
        <f aca="false">IF(OR($B39="",$H39="",$I39=""),"",IF(AND(AU$3+6&gt;=$H39,AU$3&lt;=$I39),1,""))</f>
        <v/>
      </c>
      <c r="AV39" s="32" t="str">
        <f aca="false">IF(OR($B39="",$H39="",$I39=""),"",IF(AND(AV$3+6&gt;=$H39,AV$3&lt;=$I39),1,""))</f>
        <v/>
      </c>
      <c r="AW39" s="32" t="str">
        <f aca="false">IF(OR($B39="",$H39="",$I39=""),"",IF(AND(AW$3+6&gt;=$H39,AW$3&lt;=$I39),1,""))</f>
        <v/>
      </c>
      <c r="AX39" s="32" t="str">
        <f aca="false">IF(OR($B39="",$H39="",$I39=""),"",IF(AND(AX$3+6&gt;=$H39,AX$3&lt;=$I39),1,""))</f>
        <v/>
      </c>
      <c r="AY39" s="32" t="str">
        <f aca="false">IF(OR($B39="",$H39="",$I39=""),"",IF(AND(AY$3+6&gt;=$H39,AY$3&lt;=$I39),1,""))</f>
        <v/>
      </c>
      <c r="AZ39" s="32" t="str">
        <f aca="false">IF(OR($B39="",$H39="",$I39=""),"",IF(AND(AZ$3+6&gt;=$H39,AZ$3&lt;=$I39),1,""))</f>
        <v/>
      </c>
      <c r="BA39" s="32" t="str">
        <f aca="false">IF(OR($B39="",$H39="",$I39=""),"",IF(AND(BA$3+6&gt;=$H39,BA$3&lt;=$I39),1,""))</f>
        <v/>
      </c>
      <c r="BB39" s="32" t="str">
        <f aca="false">IF(OR($B39="",$H39="",$I39=""),"",IF(AND(BB$3+6&gt;=$H39,BB$3&lt;=$I39),1,""))</f>
        <v/>
      </c>
      <c r="BC39" s="32" t="str">
        <f aca="false">IF(OR($B39="",$H39="",$I39=""),"",IF(AND(BC$3+6&gt;=$H39,BC$3&lt;=$I39),1,""))</f>
        <v/>
      </c>
      <c r="BD39" s="32" t="str">
        <f aca="false">IF(OR($B39="",$H39="",$I39=""),"",IF(AND(BD$3+6&gt;=$H39,BD$3&lt;=$I39),1,""))</f>
        <v/>
      </c>
      <c r="BE39" s="32" t="str">
        <f aca="false">IF(OR($B39="",$H39="",$I39=""),"",IF(AND(BE$3+6&gt;=$H39,BE$3&lt;=$I39),1,""))</f>
        <v/>
      </c>
      <c r="BF39" s="32" t="str">
        <f aca="false">IF(OR($B39="",$H39="",$I39=""),"",IF(AND(BF$3+6&gt;=$H39,BF$3&lt;=$I39),1,""))</f>
        <v/>
      </c>
      <c r="BG39" s="32" t="str">
        <f aca="false">IF(OR($B39="",$H39="",$I39=""),"",IF(AND(BG$3+6&gt;=$H39,BG$3&lt;=$I39),1,""))</f>
        <v/>
      </c>
      <c r="BH39" s="32" t="str">
        <f aca="false">IF(OR($B39="",$H39="",$I39=""),"",IF(AND(BH$3+6&gt;=$H39,BH$3&lt;=$I39),1,""))</f>
        <v/>
      </c>
      <c r="BI39" s="32" t="str">
        <f aca="false">IF(OR($B39="",$H39="",$I39=""),"",IF(AND(BI$3+6&gt;=$H39,BI$3&lt;=$I39),1,""))</f>
        <v/>
      </c>
      <c r="BJ39" s="32" t="str">
        <f aca="false">IF(OR($B39="",$H39="",$I39=""),"",IF(AND(BJ$3+6&gt;=$H39,BJ$3&lt;=$I39),1,""))</f>
        <v/>
      </c>
      <c r="BK39" s="32" t="str">
        <f aca="false">IF(OR($B39="",$H39="",$I39=""),"",IF(AND(BK$3+6&gt;=$H39,BK$3&lt;=$I39),1,""))</f>
        <v/>
      </c>
      <c r="BM39" s="0" t="str">
        <f aca="false">IF($E39="",",,",","&amp;SUBSTITUTE($E39," ","")&amp;",")</f>
        <v>,,</v>
      </c>
    </row>
    <row r="40" customFormat="false" ht="21.75" hidden="false" customHeight="true" outlineLevel="0" collapsed="false">
      <c r="A40" s="26" t="str">
        <f aca="false">IF(B40="","",COUNTA($B$7:B40))</f>
        <v/>
      </c>
      <c r="B40" s="27"/>
      <c r="C40" s="28"/>
      <c r="D40" s="28"/>
      <c r="E40" s="27"/>
      <c r="F40" s="29"/>
      <c r="G40" s="28"/>
      <c r="H40" s="30"/>
      <c r="I40" s="30"/>
      <c r="J40" s="31"/>
      <c r="K40" s="27"/>
      <c r="L40" s="32" t="str">
        <f aca="false">IF(OR($B40="",$H40="",$I40=""),"",IF(AND(L$3+6&gt;=$H40,L$3&lt;=$I40),1,""))</f>
        <v/>
      </c>
      <c r="M40" s="32" t="str">
        <f aca="false">IF(OR($B40="",$H40="",$I40=""),"",IF(AND(M$3+6&gt;=$H40,M$3&lt;=$I40),1,""))</f>
        <v/>
      </c>
      <c r="N40" s="32" t="str">
        <f aca="false">IF(OR($B40="",$H40="",$I40=""),"",IF(AND(N$3+6&gt;=$H40,N$3&lt;=$I40),1,""))</f>
        <v/>
      </c>
      <c r="O40" s="32" t="str">
        <f aca="false">IF(OR($B40="",$H40="",$I40=""),"",IF(AND(O$3+6&gt;=$H40,O$3&lt;=$I40),1,""))</f>
        <v/>
      </c>
      <c r="P40" s="32" t="str">
        <f aca="false">IF(OR($B40="",$H40="",$I40=""),"",IF(AND(P$3+6&gt;=$H40,P$3&lt;=$I40),1,""))</f>
        <v/>
      </c>
      <c r="Q40" s="32" t="str">
        <f aca="false">IF(OR($B40="",$H40="",$I40=""),"",IF(AND(Q$3+6&gt;=$H40,Q$3&lt;=$I40),1,""))</f>
        <v/>
      </c>
      <c r="R40" s="32" t="str">
        <f aca="false">IF(OR($B40="",$H40="",$I40=""),"",IF(AND(R$3+6&gt;=$H40,R$3&lt;=$I40),1,""))</f>
        <v/>
      </c>
      <c r="S40" s="32" t="str">
        <f aca="false">IF(OR($B40="",$H40="",$I40=""),"",IF(AND(S$3+6&gt;=$H40,S$3&lt;=$I40),1,""))</f>
        <v/>
      </c>
      <c r="T40" s="32" t="str">
        <f aca="false">IF(OR($B40="",$H40="",$I40=""),"",IF(AND(T$3+6&gt;=$H40,T$3&lt;=$I40),1,""))</f>
        <v/>
      </c>
      <c r="U40" s="32" t="str">
        <f aca="false">IF(OR($B40="",$H40="",$I40=""),"",IF(AND(U$3+6&gt;=$H40,U$3&lt;=$I40),1,""))</f>
        <v/>
      </c>
      <c r="V40" s="32" t="str">
        <f aca="false">IF(OR($B40="",$H40="",$I40=""),"",IF(AND(V$3+6&gt;=$H40,V$3&lt;=$I40),1,""))</f>
        <v/>
      </c>
      <c r="W40" s="32" t="str">
        <f aca="false">IF(OR($B40="",$H40="",$I40=""),"",IF(AND(W$3+6&gt;=$H40,W$3&lt;=$I40),1,""))</f>
        <v/>
      </c>
      <c r="X40" s="32" t="str">
        <f aca="false">IF(OR($B40="",$H40="",$I40=""),"",IF(AND(X$3+6&gt;=$H40,X$3&lt;=$I40),1,""))</f>
        <v/>
      </c>
      <c r="Y40" s="32" t="str">
        <f aca="false">IF(OR($B40="",$H40="",$I40=""),"",IF(AND(Y$3+6&gt;=$H40,Y$3&lt;=$I40),1,""))</f>
        <v/>
      </c>
      <c r="Z40" s="32" t="str">
        <f aca="false">IF(OR($B40="",$H40="",$I40=""),"",IF(AND(Z$3+6&gt;=$H40,Z$3&lt;=$I40),1,""))</f>
        <v/>
      </c>
      <c r="AA40" s="32" t="str">
        <f aca="false">IF(OR($B40="",$H40="",$I40=""),"",IF(AND(AA$3+6&gt;=$H40,AA$3&lt;=$I40),1,""))</f>
        <v/>
      </c>
      <c r="AB40" s="32" t="str">
        <f aca="false">IF(OR($B40="",$H40="",$I40=""),"",IF(AND(AB$3+6&gt;=$H40,AB$3&lt;=$I40),1,""))</f>
        <v/>
      </c>
      <c r="AC40" s="32" t="str">
        <f aca="false">IF(OR($B40="",$H40="",$I40=""),"",IF(AND(AC$3+6&gt;=$H40,AC$3&lt;=$I40),1,""))</f>
        <v/>
      </c>
      <c r="AD40" s="32" t="str">
        <f aca="false">IF(OR($B40="",$H40="",$I40=""),"",IF(AND(AD$3+6&gt;=$H40,AD$3&lt;=$I40),1,""))</f>
        <v/>
      </c>
      <c r="AE40" s="32" t="str">
        <f aca="false">IF(OR($B40="",$H40="",$I40=""),"",IF(AND(AE$3+6&gt;=$H40,AE$3&lt;=$I40),1,""))</f>
        <v/>
      </c>
      <c r="AF40" s="32" t="str">
        <f aca="false">IF(OR($B40="",$H40="",$I40=""),"",IF(AND(AF$3+6&gt;=$H40,AF$3&lt;=$I40),1,""))</f>
        <v/>
      </c>
      <c r="AG40" s="32" t="str">
        <f aca="false">IF(OR($B40="",$H40="",$I40=""),"",IF(AND(AG$3+6&gt;=$H40,AG$3&lt;=$I40),1,""))</f>
        <v/>
      </c>
      <c r="AH40" s="32" t="str">
        <f aca="false">IF(OR($B40="",$H40="",$I40=""),"",IF(AND(AH$3+6&gt;=$H40,AH$3&lt;=$I40),1,""))</f>
        <v/>
      </c>
      <c r="AI40" s="32" t="str">
        <f aca="false">IF(OR($B40="",$H40="",$I40=""),"",IF(AND(AI$3+6&gt;=$H40,AI$3&lt;=$I40),1,""))</f>
        <v/>
      </c>
      <c r="AJ40" s="32" t="str">
        <f aca="false">IF(OR($B40="",$H40="",$I40=""),"",IF(AND(AJ$3+6&gt;=$H40,AJ$3&lt;=$I40),1,""))</f>
        <v/>
      </c>
      <c r="AK40" s="32" t="str">
        <f aca="false">IF(OR($B40="",$H40="",$I40=""),"",IF(AND(AK$3+6&gt;=$H40,AK$3&lt;=$I40),1,""))</f>
        <v/>
      </c>
      <c r="AL40" s="32" t="str">
        <f aca="false">IF(OR($B40="",$H40="",$I40=""),"",IF(AND(AL$3+6&gt;=$H40,AL$3&lt;=$I40),1,""))</f>
        <v/>
      </c>
      <c r="AM40" s="32" t="str">
        <f aca="false">IF(OR($B40="",$H40="",$I40=""),"",IF(AND(AM$3+6&gt;=$H40,AM$3&lt;=$I40),1,""))</f>
        <v/>
      </c>
      <c r="AN40" s="32" t="str">
        <f aca="false">IF(OR($B40="",$H40="",$I40=""),"",IF(AND(AN$3+6&gt;=$H40,AN$3&lt;=$I40),1,""))</f>
        <v/>
      </c>
      <c r="AO40" s="32" t="str">
        <f aca="false">IF(OR($B40="",$H40="",$I40=""),"",IF(AND(AO$3+6&gt;=$H40,AO$3&lt;=$I40),1,""))</f>
        <v/>
      </c>
      <c r="AP40" s="32" t="str">
        <f aca="false">IF(OR($B40="",$H40="",$I40=""),"",IF(AND(AP$3+6&gt;=$H40,AP$3&lt;=$I40),1,""))</f>
        <v/>
      </c>
      <c r="AQ40" s="32" t="str">
        <f aca="false">IF(OR($B40="",$H40="",$I40=""),"",IF(AND(AQ$3+6&gt;=$H40,AQ$3&lt;=$I40),1,""))</f>
        <v/>
      </c>
      <c r="AR40" s="32" t="str">
        <f aca="false">IF(OR($B40="",$H40="",$I40=""),"",IF(AND(AR$3+6&gt;=$H40,AR$3&lt;=$I40),1,""))</f>
        <v/>
      </c>
      <c r="AS40" s="32" t="str">
        <f aca="false">IF(OR($B40="",$H40="",$I40=""),"",IF(AND(AS$3+6&gt;=$H40,AS$3&lt;=$I40),1,""))</f>
        <v/>
      </c>
      <c r="AT40" s="32" t="str">
        <f aca="false">IF(OR($B40="",$H40="",$I40=""),"",IF(AND(AT$3+6&gt;=$H40,AT$3&lt;=$I40),1,""))</f>
        <v/>
      </c>
      <c r="AU40" s="32" t="str">
        <f aca="false">IF(OR($B40="",$H40="",$I40=""),"",IF(AND(AU$3+6&gt;=$H40,AU$3&lt;=$I40),1,""))</f>
        <v/>
      </c>
      <c r="AV40" s="32" t="str">
        <f aca="false">IF(OR($B40="",$H40="",$I40=""),"",IF(AND(AV$3+6&gt;=$H40,AV$3&lt;=$I40),1,""))</f>
        <v/>
      </c>
      <c r="AW40" s="32" t="str">
        <f aca="false">IF(OR($B40="",$H40="",$I40=""),"",IF(AND(AW$3+6&gt;=$H40,AW$3&lt;=$I40),1,""))</f>
        <v/>
      </c>
      <c r="AX40" s="32" t="str">
        <f aca="false">IF(OR($B40="",$H40="",$I40=""),"",IF(AND(AX$3+6&gt;=$H40,AX$3&lt;=$I40),1,""))</f>
        <v/>
      </c>
      <c r="AY40" s="32" t="str">
        <f aca="false">IF(OR($B40="",$H40="",$I40=""),"",IF(AND(AY$3+6&gt;=$H40,AY$3&lt;=$I40),1,""))</f>
        <v/>
      </c>
      <c r="AZ40" s="32" t="str">
        <f aca="false">IF(OR($B40="",$H40="",$I40=""),"",IF(AND(AZ$3+6&gt;=$H40,AZ$3&lt;=$I40),1,""))</f>
        <v/>
      </c>
      <c r="BA40" s="32" t="str">
        <f aca="false">IF(OR($B40="",$H40="",$I40=""),"",IF(AND(BA$3+6&gt;=$H40,BA$3&lt;=$I40),1,""))</f>
        <v/>
      </c>
      <c r="BB40" s="32" t="str">
        <f aca="false">IF(OR($B40="",$H40="",$I40=""),"",IF(AND(BB$3+6&gt;=$H40,BB$3&lt;=$I40),1,""))</f>
        <v/>
      </c>
      <c r="BC40" s="32" t="str">
        <f aca="false">IF(OR($B40="",$H40="",$I40=""),"",IF(AND(BC$3+6&gt;=$H40,BC$3&lt;=$I40),1,""))</f>
        <v/>
      </c>
      <c r="BD40" s="32" t="str">
        <f aca="false">IF(OR($B40="",$H40="",$I40=""),"",IF(AND(BD$3+6&gt;=$H40,BD$3&lt;=$I40),1,""))</f>
        <v/>
      </c>
      <c r="BE40" s="32" t="str">
        <f aca="false">IF(OR($B40="",$H40="",$I40=""),"",IF(AND(BE$3+6&gt;=$H40,BE$3&lt;=$I40),1,""))</f>
        <v/>
      </c>
      <c r="BF40" s="32" t="str">
        <f aca="false">IF(OR($B40="",$H40="",$I40=""),"",IF(AND(BF$3+6&gt;=$H40,BF$3&lt;=$I40),1,""))</f>
        <v/>
      </c>
      <c r="BG40" s="32" t="str">
        <f aca="false">IF(OR($B40="",$H40="",$I40=""),"",IF(AND(BG$3+6&gt;=$H40,BG$3&lt;=$I40),1,""))</f>
        <v/>
      </c>
      <c r="BH40" s="32" t="str">
        <f aca="false">IF(OR($B40="",$H40="",$I40=""),"",IF(AND(BH$3+6&gt;=$H40,BH$3&lt;=$I40),1,""))</f>
        <v/>
      </c>
      <c r="BI40" s="32" t="str">
        <f aca="false">IF(OR($B40="",$H40="",$I40=""),"",IF(AND(BI$3+6&gt;=$H40,BI$3&lt;=$I40),1,""))</f>
        <v/>
      </c>
      <c r="BJ40" s="32" t="str">
        <f aca="false">IF(OR($B40="",$H40="",$I40=""),"",IF(AND(BJ$3+6&gt;=$H40,BJ$3&lt;=$I40),1,""))</f>
        <v/>
      </c>
      <c r="BK40" s="32" t="str">
        <f aca="false">IF(OR($B40="",$H40="",$I40=""),"",IF(AND(BK$3+6&gt;=$H40,BK$3&lt;=$I40),1,""))</f>
        <v/>
      </c>
      <c r="BM40" s="0" t="str">
        <f aca="false">IF($E40="",",,",","&amp;SUBSTITUTE($E40," ","")&amp;",")</f>
        <v>,,</v>
      </c>
    </row>
    <row r="41" customFormat="false" ht="21.75" hidden="false" customHeight="true" outlineLevel="0" collapsed="false">
      <c r="A41" s="26" t="str">
        <f aca="false">IF(B41="","",COUNTA($B$7:B41))</f>
        <v/>
      </c>
      <c r="B41" s="27"/>
      <c r="C41" s="28"/>
      <c r="D41" s="28"/>
      <c r="E41" s="27"/>
      <c r="F41" s="29"/>
      <c r="G41" s="28"/>
      <c r="H41" s="30"/>
      <c r="I41" s="30"/>
      <c r="J41" s="31"/>
      <c r="K41" s="27"/>
      <c r="L41" s="32" t="str">
        <f aca="false">IF(OR($B41="",$H41="",$I41=""),"",IF(AND(L$3+6&gt;=$H41,L$3&lt;=$I41),1,""))</f>
        <v/>
      </c>
      <c r="M41" s="32" t="str">
        <f aca="false">IF(OR($B41="",$H41="",$I41=""),"",IF(AND(M$3+6&gt;=$H41,M$3&lt;=$I41),1,""))</f>
        <v/>
      </c>
      <c r="N41" s="32" t="str">
        <f aca="false">IF(OR($B41="",$H41="",$I41=""),"",IF(AND(N$3+6&gt;=$H41,N$3&lt;=$I41),1,""))</f>
        <v/>
      </c>
      <c r="O41" s="32" t="str">
        <f aca="false">IF(OR($B41="",$H41="",$I41=""),"",IF(AND(O$3+6&gt;=$H41,O$3&lt;=$I41),1,""))</f>
        <v/>
      </c>
      <c r="P41" s="32" t="str">
        <f aca="false">IF(OR($B41="",$H41="",$I41=""),"",IF(AND(P$3+6&gt;=$H41,P$3&lt;=$I41),1,""))</f>
        <v/>
      </c>
      <c r="Q41" s="32" t="str">
        <f aca="false">IF(OR($B41="",$H41="",$I41=""),"",IF(AND(Q$3+6&gt;=$H41,Q$3&lt;=$I41),1,""))</f>
        <v/>
      </c>
      <c r="R41" s="32" t="str">
        <f aca="false">IF(OR($B41="",$H41="",$I41=""),"",IF(AND(R$3+6&gt;=$H41,R$3&lt;=$I41),1,""))</f>
        <v/>
      </c>
      <c r="S41" s="32" t="str">
        <f aca="false">IF(OR($B41="",$H41="",$I41=""),"",IF(AND(S$3+6&gt;=$H41,S$3&lt;=$I41),1,""))</f>
        <v/>
      </c>
      <c r="T41" s="32" t="str">
        <f aca="false">IF(OR($B41="",$H41="",$I41=""),"",IF(AND(T$3+6&gt;=$H41,T$3&lt;=$I41),1,""))</f>
        <v/>
      </c>
      <c r="U41" s="32" t="str">
        <f aca="false">IF(OR($B41="",$H41="",$I41=""),"",IF(AND(U$3+6&gt;=$H41,U$3&lt;=$I41),1,""))</f>
        <v/>
      </c>
      <c r="V41" s="32" t="str">
        <f aca="false">IF(OR($B41="",$H41="",$I41=""),"",IF(AND(V$3+6&gt;=$H41,V$3&lt;=$I41),1,""))</f>
        <v/>
      </c>
      <c r="W41" s="32" t="str">
        <f aca="false">IF(OR($B41="",$H41="",$I41=""),"",IF(AND(W$3+6&gt;=$H41,W$3&lt;=$I41),1,""))</f>
        <v/>
      </c>
      <c r="X41" s="32" t="str">
        <f aca="false">IF(OR($B41="",$H41="",$I41=""),"",IF(AND(X$3+6&gt;=$H41,X$3&lt;=$I41),1,""))</f>
        <v/>
      </c>
      <c r="Y41" s="32" t="str">
        <f aca="false">IF(OR($B41="",$H41="",$I41=""),"",IF(AND(Y$3+6&gt;=$H41,Y$3&lt;=$I41),1,""))</f>
        <v/>
      </c>
      <c r="Z41" s="32" t="str">
        <f aca="false">IF(OR($B41="",$H41="",$I41=""),"",IF(AND(Z$3+6&gt;=$H41,Z$3&lt;=$I41),1,""))</f>
        <v/>
      </c>
      <c r="AA41" s="32" t="str">
        <f aca="false">IF(OR($B41="",$H41="",$I41=""),"",IF(AND(AA$3+6&gt;=$H41,AA$3&lt;=$I41),1,""))</f>
        <v/>
      </c>
      <c r="AB41" s="32" t="str">
        <f aca="false">IF(OR($B41="",$H41="",$I41=""),"",IF(AND(AB$3+6&gt;=$H41,AB$3&lt;=$I41),1,""))</f>
        <v/>
      </c>
      <c r="AC41" s="32" t="str">
        <f aca="false">IF(OR($B41="",$H41="",$I41=""),"",IF(AND(AC$3+6&gt;=$H41,AC$3&lt;=$I41),1,""))</f>
        <v/>
      </c>
      <c r="AD41" s="32" t="str">
        <f aca="false">IF(OR($B41="",$H41="",$I41=""),"",IF(AND(AD$3+6&gt;=$H41,AD$3&lt;=$I41),1,""))</f>
        <v/>
      </c>
      <c r="AE41" s="32" t="str">
        <f aca="false">IF(OR($B41="",$H41="",$I41=""),"",IF(AND(AE$3+6&gt;=$H41,AE$3&lt;=$I41),1,""))</f>
        <v/>
      </c>
      <c r="AF41" s="32" t="str">
        <f aca="false">IF(OR($B41="",$H41="",$I41=""),"",IF(AND(AF$3+6&gt;=$H41,AF$3&lt;=$I41),1,""))</f>
        <v/>
      </c>
      <c r="AG41" s="32" t="str">
        <f aca="false">IF(OR($B41="",$H41="",$I41=""),"",IF(AND(AG$3+6&gt;=$H41,AG$3&lt;=$I41),1,""))</f>
        <v/>
      </c>
      <c r="AH41" s="32" t="str">
        <f aca="false">IF(OR($B41="",$H41="",$I41=""),"",IF(AND(AH$3+6&gt;=$H41,AH$3&lt;=$I41),1,""))</f>
        <v/>
      </c>
      <c r="AI41" s="32" t="str">
        <f aca="false">IF(OR($B41="",$H41="",$I41=""),"",IF(AND(AI$3+6&gt;=$H41,AI$3&lt;=$I41),1,""))</f>
        <v/>
      </c>
      <c r="AJ41" s="32" t="str">
        <f aca="false">IF(OR($B41="",$H41="",$I41=""),"",IF(AND(AJ$3+6&gt;=$H41,AJ$3&lt;=$I41),1,""))</f>
        <v/>
      </c>
      <c r="AK41" s="32" t="str">
        <f aca="false">IF(OR($B41="",$H41="",$I41=""),"",IF(AND(AK$3+6&gt;=$H41,AK$3&lt;=$I41),1,""))</f>
        <v/>
      </c>
      <c r="AL41" s="32" t="str">
        <f aca="false">IF(OR($B41="",$H41="",$I41=""),"",IF(AND(AL$3+6&gt;=$H41,AL$3&lt;=$I41),1,""))</f>
        <v/>
      </c>
      <c r="AM41" s="32" t="str">
        <f aca="false">IF(OR($B41="",$H41="",$I41=""),"",IF(AND(AM$3+6&gt;=$H41,AM$3&lt;=$I41),1,""))</f>
        <v/>
      </c>
      <c r="AN41" s="32" t="str">
        <f aca="false">IF(OR($B41="",$H41="",$I41=""),"",IF(AND(AN$3+6&gt;=$H41,AN$3&lt;=$I41),1,""))</f>
        <v/>
      </c>
      <c r="AO41" s="32" t="str">
        <f aca="false">IF(OR($B41="",$H41="",$I41=""),"",IF(AND(AO$3+6&gt;=$H41,AO$3&lt;=$I41),1,""))</f>
        <v/>
      </c>
      <c r="AP41" s="32" t="str">
        <f aca="false">IF(OR($B41="",$H41="",$I41=""),"",IF(AND(AP$3+6&gt;=$H41,AP$3&lt;=$I41),1,""))</f>
        <v/>
      </c>
      <c r="AQ41" s="32" t="str">
        <f aca="false">IF(OR($B41="",$H41="",$I41=""),"",IF(AND(AQ$3+6&gt;=$H41,AQ$3&lt;=$I41),1,""))</f>
        <v/>
      </c>
      <c r="AR41" s="32" t="str">
        <f aca="false">IF(OR($B41="",$H41="",$I41=""),"",IF(AND(AR$3+6&gt;=$H41,AR$3&lt;=$I41),1,""))</f>
        <v/>
      </c>
      <c r="AS41" s="32" t="str">
        <f aca="false">IF(OR($B41="",$H41="",$I41=""),"",IF(AND(AS$3+6&gt;=$H41,AS$3&lt;=$I41),1,""))</f>
        <v/>
      </c>
      <c r="AT41" s="32" t="str">
        <f aca="false">IF(OR($B41="",$H41="",$I41=""),"",IF(AND(AT$3+6&gt;=$H41,AT$3&lt;=$I41),1,""))</f>
        <v/>
      </c>
      <c r="AU41" s="32" t="str">
        <f aca="false">IF(OR($B41="",$H41="",$I41=""),"",IF(AND(AU$3+6&gt;=$H41,AU$3&lt;=$I41),1,""))</f>
        <v/>
      </c>
      <c r="AV41" s="32" t="str">
        <f aca="false">IF(OR($B41="",$H41="",$I41=""),"",IF(AND(AV$3+6&gt;=$H41,AV$3&lt;=$I41),1,""))</f>
        <v/>
      </c>
      <c r="AW41" s="32" t="str">
        <f aca="false">IF(OR($B41="",$H41="",$I41=""),"",IF(AND(AW$3+6&gt;=$H41,AW$3&lt;=$I41),1,""))</f>
        <v/>
      </c>
      <c r="AX41" s="32" t="str">
        <f aca="false">IF(OR($B41="",$H41="",$I41=""),"",IF(AND(AX$3+6&gt;=$H41,AX$3&lt;=$I41),1,""))</f>
        <v/>
      </c>
      <c r="AY41" s="32" t="str">
        <f aca="false">IF(OR($B41="",$H41="",$I41=""),"",IF(AND(AY$3+6&gt;=$H41,AY$3&lt;=$I41),1,""))</f>
        <v/>
      </c>
      <c r="AZ41" s="32" t="str">
        <f aca="false">IF(OR($B41="",$H41="",$I41=""),"",IF(AND(AZ$3+6&gt;=$H41,AZ$3&lt;=$I41),1,""))</f>
        <v/>
      </c>
      <c r="BA41" s="32" t="str">
        <f aca="false">IF(OR($B41="",$H41="",$I41=""),"",IF(AND(BA$3+6&gt;=$H41,BA$3&lt;=$I41),1,""))</f>
        <v/>
      </c>
      <c r="BB41" s="32" t="str">
        <f aca="false">IF(OR($B41="",$H41="",$I41=""),"",IF(AND(BB$3+6&gt;=$H41,BB$3&lt;=$I41),1,""))</f>
        <v/>
      </c>
      <c r="BC41" s="32" t="str">
        <f aca="false">IF(OR($B41="",$H41="",$I41=""),"",IF(AND(BC$3+6&gt;=$H41,BC$3&lt;=$I41),1,""))</f>
        <v/>
      </c>
      <c r="BD41" s="32" t="str">
        <f aca="false">IF(OR($B41="",$H41="",$I41=""),"",IF(AND(BD$3+6&gt;=$H41,BD$3&lt;=$I41),1,""))</f>
        <v/>
      </c>
      <c r="BE41" s="32" t="str">
        <f aca="false">IF(OR($B41="",$H41="",$I41=""),"",IF(AND(BE$3+6&gt;=$H41,BE$3&lt;=$I41),1,""))</f>
        <v/>
      </c>
      <c r="BF41" s="32" t="str">
        <f aca="false">IF(OR($B41="",$H41="",$I41=""),"",IF(AND(BF$3+6&gt;=$H41,BF$3&lt;=$I41),1,""))</f>
        <v/>
      </c>
      <c r="BG41" s="32" t="str">
        <f aca="false">IF(OR($B41="",$H41="",$I41=""),"",IF(AND(BG$3+6&gt;=$H41,BG$3&lt;=$I41),1,""))</f>
        <v/>
      </c>
      <c r="BH41" s="32" t="str">
        <f aca="false">IF(OR($B41="",$H41="",$I41=""),"",IF(AND(BH$3+6&gt;=$H41,BH$3&lt;=$I41),1,""))</f>
        <v/>
      </c>
      <c r="BI41" s="32" t="str">
        <f aca="false">IF(OR($B41="",$H41="",$I41=""),"",IF(AND(BI$3+6&gt;=$H41,BI$3&lt;=$I41),1,""))</f>
        <v/>
      </c>
      <c r="BJ41" s="32" t="str">
        <f aca="false">IF(OR($B41="",$H41="",$I41=""),"",IF(AND(BJ$3+6&gt;=$H41,BJ$3&lt;=$I41),1,""))</f>
        <v/>
      </c>
      <c r="BK41" s="32" t="str">
        <f aca="false">IF(OR($B41="",$H41="",$I41=""),"",IF(AND(BK$3+6&gt;=$H41,BK$3&lt;=$I41),1,""))</f>
        <v/>
      </c>
      <c r="BM41" s="0" t="str">
        <f aca="false">IF($E41="",",,",","&amp;SUBSTITUTE($E41," ","")&amp;",")</f>
        <v>,,</v>
      </c>
    </row>
    <row r="42" customFormat="false" ht="21.75" hidden="false" customHeight="true" outlineLevel="0" collapsed="false">
      <c r="A42" s="26" t="str">
        <f aca="false">IF(B42="","",COUNTA($B$7:B42))</f>
        <v/>
      </c>
      <c r="B42" s="27"/>
      <c r="C42" s="28"/>
      <c r="D42" s="28"/>
      <c r="E42" s="27"/>
      <c r="F42" s="29"/>
      <c r="G42" s="28"/>
      <c r="H42" s="30"/>
      <c r="I42" s="30"/>
      <c r="J42" s="31"/>
      <c r="K42" s="27"/>
      <c r="L42" s="32" t="str">
        <f aca="false">IF(OR($B42="",$H42="",$I42=""),"",IF(AND(L$3+6&gt;=$H42,L$3&lt;=$I42),1,""))</f>
        <v/>
      </c>
      <c r="M42" s="32" t="str">
        <f aca="false">IF(OR($B42="",$H42="",$I42=""),"",IF(AND(M$3+6&gt;=$H42,M$3&lt;=$I42),1,""))</f>
        <v/>
      </c>
      <c r="N42" s="32" t="str">
        <f aca="false">IF(OR($B42="",$H42="",$I42=""),"",IF(AND(N$3+6&gt;=$H42,N$3&lt;=$I42),1,""))</f>
        <v/>
      </c>
      <c r="O42" s="32" t="str">
        <f aca="false">IF(OR($B42="",$H42="",$I42=""),"",IF(AND(O$3+6&gt;=$H42,O$3&lt;=$I42),1,""))</f>
        <v/>
      </c>
      <c r="P42" s="32" t="str">
        <f aca="false">IF(OR($B42="",$H42="",$I42=""),"",IF(AND(P$3+6&gt;=$H42,P$3&lt;=$I42),1,""))</f>
        <v/>
      </c>
      <c r="Q42" s="32" t="str">
        <f aca="false">IF(OR($B42="",$H42="",$I42=""),"",IF(AND(Q$3+6&gt;=$H42,Q$3&lt;=$I42),1,""))</f>
        <v/>
      </c>
      <c r="R42" s="32" t="str">
        <f aca="false">IF(OR($B42="",$H42="",$I42=""),"",IF(AND(R$3+6&gt;=$H42,R$3&lt;=$I42),1,""))</f>
        <v/>
      </c>
      <c r="S42" s="32" t="str">
        <f aca="false">IF(OR($B42="",$H42="",$I42=""),"",IF(AND(S$3+6&gt;=$H42,S$3&lt;=$I42),1,""))</f>
        <v/>
      </c>
      <c r="T42" s="32" t="str">
        <f aca="false">IF(OR($B42="",$H42="",$I42=""),"",IF(AND(T$3+6&gt;=$H42,T$3&lt;=$I42),1,""))</f>
        <v/>
      </c>
      <c r="U42" s="32" t="str">
        <f aca="false">IF(OR($B42="",$H42="",$I42=""),"",IF(AND(U$3+6&gt;=$H42,U$3&lt;=$I42),1,""))</f>
        <v/>
      </c>
      <c r="V42" s="32" t="str">
        <f aca="false">IF(OR($B42="",$H42="",$I42=""),"",IF(AND(V$3+6&gt;=$H42,V$3&lt;=$I42),1,""))</f>
        <v/>
      </c>
      <c r="W42" s="32" t="str">
        <f aca="false">IF(OR($B42="",$H42="",$I42=""),"",IF(AND(W$3+6&gt;=$H42,W$3&lt;=$I42),1,""))</f>
        <v/>
      </c>
      <c r="X42" s="32" t="str">
        <f aca="false">IF(OR($B42="",$H42="",$I42=""),"",IF(AND(X$3+6&gt;=$H42,X$3&lt;=$I42),1,""))</f>
        <v/>
      </c>
      <c r="Y42" s="32" t="str">
        <f aca="false">IF(OR($B42="",$H42="",$I42=""),"",IF(AND(Y$3+6&gt;=$H42,Y$3&lt;=$I42),1,""))</f>
        <v/>
      </c>
      <c r="Z42" s="32" t="str">
        <f aca="false">IF(OR($B42="",$H42="",$I42=""),"",IF(AND(Z$3+6&gt;=$H42,Z$3&lt;=$I42),1,""))</f>
        <v/>
      </c>
      <c r="AA42" s="32" t="str">
        <f aca="false">IF(OR($B42="",$H42="",$I42=""),"",IF(AND(AA$3+6&gt;=$H42,AA$3&lt;=$I42),1,""))</f>
        <v/>
      </c>
      <c r="AB42" s="32" t="str">
        <f aca="false">IF(OR($B42="",$H42="",$I42=""),"",IF(AND(AB$3+6&gt;=$H42,AB$3&lt;=$I42),1,""))</f>
        <v/>
      </c>
      <c r="AC42" s="32" t="str">
        <f aca="false">IF(OR($B42="",$H42="",$I42=""),"",IF(AND(AC$3+6&gt;=$H42,AC$3&lt;=$I42),1,""))</f>
        <v/>
      </c>
      <c r="AD42" s="32" t="str">
        <f aca="false">IF(OR($B42="",$H42="",$I42=""),"",IF(AND(AD$3+6&gt;=$H42,AD$3&lt;=$I42),1,""))</f>
        <v/>
      </c>
      <c r="AE42" s="32" t="str">
        <f aca="false">IF(OR($B42="",$H42="",$I42=""),"",IF(AND(AE$3+6&gt;=$H42,AE$3&lt;=$I42),1,""))</f>
        <v/>
      </c>
      <c r="AF42" s="32" t="str">
        <f aca="false">IF(OR($B42="",$H42="",$I42=""),"",IF(AND(AF$3+6&gt;=$H42,AF$3&lt;=$I42),1,""))</f>
        <v/>
      </c>
      <c r="AG42" s="32" t="str">
        <f aca="false">IF(OR($B42="",$H42="",$I42=""),"",IF(AND(AG$3+6&gt;=$H42,AG$3&lt;=$I42),1,""))</f>
        <v/>
      </c>
      <c r="AH42" s="32" t="str">
        <f aca="false">IF(OR($B42="",$H42="",$I42=""),"",IF(AND(AH$3+6&gt;=$H42,AH$3&lt;=$I42),1,""))</f>
        <v/>
      </c>
      <c r="AI42" s="32" t="str">
        <f aca="false">IF(OR($B42="",$H42="",$I42=""),"",IF(AND(AI$3+6&gt;=$H42,AI$3&lt;=$I42),1,""))</f>
        <v/>
      </c>
      <c r="AJ42" s="32" t="str">
        <f aca="false">IF(OR($B42="",$H42="",$I42=""),"",IF(AND(AJ$3+6&gt;=$H42,AJ$3&lt;=$I42),1,""))</f>
        <v/>
      </c>
      <c r="AK42" s="32" t="str">
        <f aca="false">IF(OR($B42="",$H42="",$I42=""),"",IF(AND(AK$3+6&gt;=$H42,AK$3&lt;=$I42),1,""))</f>
        <v/>
      </c>
      <c r="AL42" s="32" t="str">
        <f aca="false">IF(OR($B42="",$H42="",$I42=""),"",IF(AND(AL$3+6&gt;=$H42,AL$3&lt;=$I42),1,""))</f>
        <v/>
      </c>
      <c r="AM42" s="32" t="str">
        <f aca="false">IF(OR($B42="",$H42="",$I42=""),"",IF(AND(AM$3+6&gt;=$H42,AM$3&lt;=$I42),1,""))</f>
        <v/>
      </c>
      <c r="AN42" s="32" t="str">
        <f aca="false">IF(OR($B42="",$H42="",$I42=""),"",IF(AND(AN$3+6&gt;=$H42,AN$3&lt;=$I42),1,""))</f>
        <v/>
      </c>
      <c r="AO42" s="32" t="str">
        <f aca="false">IF(OR($B42="",$H42="",$I42=""),"",IF(AND(AO$3+6&gt;=$H42,AO$3&lt;=$I42),1,""))</f>
        <v/>
      </c>
      <c r="AP42" s="32" t="str">
        <f aca="false">IF(OR($B42="",$H42="",$I42=""),"",IF(AND(AP$3+6&gt;=$H42,AP$3&lt;=$I42),1,""))</f>
        <v/>
      </c>
      <c r="AQ42" s="32" t="str">
        <f aca="false">IF(OR($B42="",$H42="",$I42=""),"",IF(AND(AQ$3+6&gt;=$H42,AQ$3&lt;=$I42),1,""))</f>
        <v/>
      </c>
      <c r="AR42" s="32" t="str">
        <f aca="false">IF(OR($B42="",$H42="",$I42=""),"",IF(AND(AR$3+6&gt;=$H42,AR$3&lt;=$I42),1,""))</f>
        <v/>
      </c>
      <c r="AS42" s="32" t="str">
        <f aca="false">IF(OR($B42="",$H42="",$I42=""),"",IF(AND(AS$3+6&gt;=$H42,AS$3&lt;=$I42),1,""))</f>
        <v/>
      </c>
      <c r="AT42" s="32" t="str">
        <f aca="false">IF(OR($B42="",$H42="",$I42=""),"",IF(AND(AT$3+6&gt;=$H42,AT$3&lt;=$I42),1,""))</f>
        <v/>
      </c>
      <c r="AU42" s="32" t="str">
        <f aca="false">IF(OR($B42="",$H42="",$I42=""),"",IF(AND(AU$3+6&gt;=$H42,AU$3&lt;=$I42),1,""))</f>
        <v/>
      </c>
      <c r="AV42" s="32" t="str">
        <f aca="false">IF(OR($B42="",$H42="",$I42=""),"",IF(AND(AV$3+6&gt;=$H42,AV$3&lt;=$I42),1,""))</f>
        <v/>
      </c>
      <c r="AW42" s="32" t="str">
        <f aca="false">IF(OR($B42="",$H42="",$I42=""),"",IF(AND(AW$3+6&gt;=$H42,AW$3&lt;=$I42),1,""))</f>
        <v/>
      </c>
      <c r="AX42" s="32" t="str">
        <f aca="false">IF(OR($B42="",$H42="",$I42=""),"",IF(AND(AX$3+6&gt;=$H42,AX$3&lt;=$I42),1,""))</f>
        <v/>
      </c>
      <c r="AY42" s="32" t="str">
        <f aca="false">IF(OR($B42="",$H42="",$I42=""),"",IF(AND(AY$3+6&gt;=$H42,AY$3&lt;=$I42),1,""))</f>
        <v/>
      </c>
      <c r="AZ42" s="32" t="str">
        <f aca="false">IF(OR($B42="",$H42="",$I42=""),"",IF(AND(AZ$3+6&gt;=$H42,AZ$3&lt;=$I42),1,""))</f>
        <v/>
      </c>
      <c r="BA42" s="32" t="str">
        <f aca="false">IF(OR($B42="",$H42="",$I42=""),"",IF(AND(BA$3+6&gt;=$H42,BA$3&lt;=$I42),1,""))</f>
        <v/>
      </c>
      <c r="BB42" s="32" t="str">
        <f aca="false">IF(OR($B42="",$H42="",$I42=""),"",IF(AND(BB$3+6&gt;=$H42,BB$3&lt;=$I42),1,""))</f>
        <v/>
      </c>
      <c r="BC42" s="32" t="str">
        <f aca="false">IF(OR($B42="",$H42="",$I42=""),"",IF(AND(BC$3+6&gt;=$H42,BC$3&lt;=$I42),1,""))</f>
        <v/>
      </c>
      <c r="BD42" s="32" t="str">
        <f aca="false">IF(OR($B42="",$H42="",$I42=""),"",IF(AND(BD$3+6&gt;=$H42,BD$3&lt;=$I42),1,""))</f>
        <v/>
      </c>
      <c r="BE42" s="32" t="str">
        <f aca="false">IF(OR($B42="",$H42="",$I42=""),"",IF(AND(BE$3+6&gt;=$H42,BE$3&lt;=$I42),1,""))</f>
        <v/>
      </c>
      <c r="BF42" s="32" t="str">
        <f aca="false">IF(OR($B42="",$H42="",$I42=""),"",IF(AND(BF$3+6&gt;=$H42,BF$3&lt;=$I42),1,""))</f>
        <v/>
      </c>
      <c r="BG42" s="32" t="str">
        <f aca="false">IF(OR($B42="",$H42="",$I42=""),"",IF(AND(BG$3+6&gt;=$H42,BG$3&lt;=$I42),1,""))</f>
        <v/>
      </c>
      <c r="BH42" s="32" t="str">
        <f aca="false">IF(OR($B42="",$H42="",$I42=""),"",IF(AND(BH$3+6&gt;=$H42,BH$3&lt;=$I42),1,""))</f>
        <v/>
      </c>
      <c r="BI42" s="32" t="str">
        <f aca="false">IF(OR($B42="",$H42="",$I42=""),"",IF(AND(BI$3+6&gt;=$H42,BI$3&lt;=$I42),1,""))</f>
        <v/>
      </c>
      <c r="BJ42" s="32" t="str">
        <f aca="false">IF(OR($B42="",$H42="",$I42=""),"",IF(AND(BJ$3+6&gt;=$H42,BJ$3&lt;=$I42),1,""))</f>
        <v/>
      </c>
      <c r="BK42" s="32" t="str">
        <f aca="false">IF(OR($B42="",$H42="",$I42=""),"",IF(AND(BK$3+6&gt;=$H42,BK$3&lt;=$I42),1,""))</f>
        <v/>
      </c>
      <c r="BM42" s="0" t="str">
        <f aca="false">IF($E42="",",,",","&amp;SUBSTITUTE($E42," ","")&amp;",")</f>
        <v>,,</v>
      </c>
    </row>
    <row r="43" customFormat="false" ht="21.75" hidden="false" customHeight="true" outlineLevel="0" collapsed="false">
      <c r="A43" s="26" t="str">
        <f aca="false">IF(B43="","",COUNTA($B$7:B43))</f>
        <v/>
      </c>
      <c r="B43" s="27"/>
      <c r="C43" s="28"/>
      <c r="D43" s="28"/>
      <c r="E43" s="27"/>
      <c r="F43" s="29"/>
      <c r="G43" s="28"/>
      <c r="H43" s="30"/>
      <c r="I43" s="30"/>
      <c r="J43" s="31"/>
      <c r="K43" s="27"/>
      <c r="L43" s="32" t="str">
        <f aca="false">IF(OR($B43="",$H43="",$I43=""),"",IF(AND(L$3+6&gt;=$H43,L$3&lt;=$I43),1,""))</f>
        <v/>
      </c>
      <c r="M43" s="32" t="str">
        <f aca="false">IF(OR($B43="",$H43="",$I43=""),"",IF(AND(M$3+6&gt;=$H43,M$3&lt;=$I43),1,""))</f>
        <v/>
      </c>
      <c r="N43" s="32" t="str">
        <f aca="false">IF(OR($B43="",$H43="",$I43=""),"",IF(AND(N$3+6&gt;=$H43,N$3&lt;=$I43),1,""))</f>
        <v/>
      </c>
      <c r="O43" s="32" t="str">
        <f aca="false">IF(OR($B43="",$H43="",$I43=""),"",IF(AND(O$3+6&gt;=$H43,O$3&lt;=$I43),1,""))</f>
        <v/>
      </c>
      <c r="P43" s="32" t="str">
        <f aca="false">IF(OR($B43="",$H43="",$I43=""),"",IF(AND(P$3+6&gt;=$H43,P$3&lt;=$I43),1,""))</f>
        <v/>
      </c>
      <c r="Q43" s="32" t="str">
        <f aca="false">IF(OR($B43="",$H43="",$I43=""),"",IF(AND(Q$3+6&gt;=$H43,Q$3&lt;=$I43),1,""))</f>
        <v/>
      </c>
      <c r="R43" s="32" t="str">
        <f aca="false">IF(OR($B43="",$H43="",$I43=""),"",IF(AND(R$3+6&gt;=$H43,R$3&lt;=$I43),1,""))</f>
        <v/>
      </c>
      <c r="S43" s="32" t="str">
        <f aca="false">IF(OR($B43="",$H43="",$I43=""),"",IF(AND(S$3+6&gt;=$H43,S$3&lt;=$I43),1,""))</f>
        <v/>
      </c>
      <c r="T43" s="32" t="str">
        <f aca="false">IF(OR($B43="",$H43="",$I43=""),"",IF(AND(T$3+6&gt;=$H43,T$3&lt;=$I43),1,""))</f>
        <v/>
      </c>
      <c r="U43" s="32" t="str">
        <f aca="false">IF(OR($B43="",$H43="",$I43=""),"",IF(AND(U$3+6&gt;=$H43,U$3&lt;=$I43),1,""))</f>
        <v/>
      </c>
      <c r="V43" s="32" t="str">
        <f aca="false">IF(OR($B43="",$H43="",$I43=""),"",IF(AND(V$3+6&gt;=$H43,V$3&lt;=$I43),1,""))</f>
        <v/>
      </c>
      <c r="W43" s="32" t="str">
        <f aca="false">IF(OR($B43="",$H43="",$I43=""),"",IF(AND(W$3+6&gt;=$H43,W$3&lt;=$I43),1,""))</f>
        <v/>
      </c>
      <c r="X43" s="32" t="str">
        <f aca="false">IF(OR($B43="",$H43="",$I43=""),"",IF(AND(X$3+6&gt;=$H43,X$3&lt;=$I43),1,""))</f>
        <v/>
      </c>
      <c r="Y43" s="32" t="str">
        <f aca="false">IF(OR($B43="",$H43="",$I43=""),"",IF(AND(Y$3+6&gt;=$H43,Y$3&lt;=$I43),1,""))</f>
        <v/>
      </c>
      <c r="Z43" s="32" t="str">
        <f aca="false">IF(OR($B43="",$H43="",$I43=""),"",IF(AND(Z$3+6&gt;=$H43,Z$3&lt;=$I43),1,""))</f>
        <v/>
      </c>
      <c r="AA43" s="32" t="str">
        <f aca="false">IF(OR($B43="",$H43="",$I43=""),"",IF(AND(AA$3+6&gt;=$H43,AA$3&lt;=$I43),1,""))</f>
        <v/>
      </c>
      <c r="AB43" s="32" t="str">
        <f aca="false">IF(OR($B43="",$H43="",$I43=""),"",IF(AND(AB$3+6&gt;=$H43,AB$3&lt;=$I43),1,""))</f>
        <v/>
      </c>
      <c r="AC43" s="32" t="str">
        <f aca="false">IF(OR($B43="",$H43="",$I43=""),"",IF(AND(AC$3+6&gt;=$H43,AC$3&lt;=$I43),1,""))</f>
        <v/>
      </c>
      <c r="AD43" s="32" t="str">
        <f aca="false">IF(OR($B43="",$H43="",$I43=""),"",IF(AND(AD$3+6&gt;=$H43,AD$3&lt;=$I43),1,""))</f>
        <v/>
      </c>
      <c r="AE43" s="32" t="str">
        <f aca="false">IF(OR($B43="",$H43="",$I43=""),"",IF(AND(AE$3+6&gt;=$H43,AE$3&lt;=$I43),1,""))</f>
        <v/>
      </c>
      <c r="AF43" s="32" t="str">
        <f aca="false">IF(OR($B43="",$H43="",$I43=""),"",IF(AND(AF$3+6&gt;=$H43,AF$3&lt;=$I43),1,""))</f>
        <v/>
      </c>
      <c r="AG43" s="32" t="str">
        <f aca="false">IF(OR($B43="",$H43="",$I43=""),"",IF(AND(AG$3+6&gt;=$H43,AG$3&lt;=$I43),1,""))</f>
        <v/>
      </c>
      <c r="AH43" s="32" t="str">
        <f aca="false">IF(OR($B43="",$H43="",$I43=""),"",IF(AND(AH$3+6&gt;=$H43,AH$3&lt;=$I43),1,""))</f>
        <v/>
      </c>
      <c r="AI43" s="32" t="str">
        <f aca="false">IF(OR($B43="",$H43="",$I43=""),"",IF(AND(AI$3+6&gt;=$H43,AI$3&lt;=$I43),1,""))</f>
        <v/>
      </c>
      <c r="AJ43" s="32" t="str">
        <f aca="false">IF(OR($B43="",$H43="",$I43=""),"",IF(AND(AJ$3+6&gt;=$H43,AJ$3&lt;=$I43),1,""))</f>
        <v/>
      </c>
      <c r="AK43" s="32" t="str">
        <f aca="false">IF(OR($B43="",$H43="",$I43=""),"",IF(AND(AK$3+6&gt;=$H43,AK$3&lt;=$I43),1,""))</f>
        <v/>
      </c>
      <c r="AL43" s="32" t="str">
        <f aca="false">IF(OR($B43="",$H43="",$I43=""),"",IF(AND(AL$3+6&gt;=$H43,AL$3&lt;=$I43),1,""))</f>
        <v/>
      </c>
      <c r="AM43" s="32" t="str">
        <f aca="false">IF(OR($B43="",$H43="",$I43=""),"",IF(AND(AM$3+6&gt;=$H43,AM$3&lt;=$I43),1,""))</f>
        <v/>
      </c>
      <c r="AN43" s="32" t="str">
        <f aca="false">IF(OR($B43="",$H43="",$I43=""),"",IF(AND(AN$3+6&gt;=$H43,AN$3&lt;=$I43),1,""))</f>
        <v/>
      </c>
      <c r="AO43" s="32" t="str">
        <f aca="false">IF(OR($B43="",$H43="",$I43=""),"",IF(AND(AO$3+6&gt;=$H43,AO$3&lt;=$I43),1,""))</f>
        <v/>
      </c>
      <c r="AP43" s="32" t="str">
        <f aca="false">IF(OR($B43="",$H43="",$I43=""),"",IF(AND(AP$3+6&gt;=$H43,AP$3&lt;=$I43),1,""))</f>
        <v/>
      </c>
      <c r="AQ43" s="32" t="str">
        <f aca="false">IF(OR($B43="",$H43="",$I43=""),"",IF(AND(AQ$3+6&gt;=$H43,AQ$3&lt;=$I43),1,""))</f>
        <v/>
      </c>
      <c r="AR43" s="32" t="str">
        <f aca="false">IF(OR($B43="",$H43="",$I43=""),"",IF(AND(AR$3+6&gt;=$H43,AR$3&lt;=$I43),1,""))</f>
        <v/>
      </c>
      <c r="AS43" s="32" t="str">
        <f aca="false">IF(OR($B43="",$H43="",$I43=""),"",IF(AND(AS$3+6&gt;=$H43,AS$3&lt;=$I43),1,""))</f>
        <v/>
      </c>
      <c r="AT43" s="32" t="str">
        <f aca="false">IF(OR($B43="",$H43="",$I43=""),"",IF(AND(AT$3+6&gt;=$H43,AT$3&lt;=$I43),1,""))</f>
        <v/>
      </c>
      <c r="AU43" s="32" t="str">
        <f aca="false">IF(OR($B43="",$H43="",$I43=""),"",IF(AND(AU$3+6&gt;=$H43,AU$3&lt;=$I43),1,""))</f>
        <v/>
      </c>
      <c r="AV43" s="32" t="str">
        <f aca="false">IF(OR($B43="",$H43="",$I43=""),"",IF(AND(AV$3+6&gt;=$H43,AV$3&lt;=$I43),1,""))</f>
        <v/>
      </c>
      <c r="AW43" s="32" t="str">
        <f aca="false">IF(OR($B43="",$H43="",$I43=""),"",IF(AND(AW$3+6&gt;=$H43,AW$3&lt;=$I43),1,""))</f>
        <v/>
      </c>
      <c r="AX43" s="32" t="str">
        <f aca="false">IF(OR($B43="",$H43="",$I43=""),"",IF(AND(AX$3+6&gt;=$H43,AX$3&lt;=$I43),1,""))</f>
        <v/>
      </c>
      <c r="AY43" s="32" t="str">
        <f aca="false">IF(OR($B43="",$H43="",$I43=""),"",IF(AND(AY$3+6&gt;=$H43,AY$3&lt;=$I43),1,""))</f>
        <v/>
      </c>
      <c r="AZ43" s="32" t="str">
        <f aca="false">IF(OR($B43="",$H43="",$I43=""),"",IF(AND(AZ$3+6&gt;=$H43,AZ$3&lt;=$I43),1,""))</f>
        <v/>
      </c>
      <c r="BA43" s="32" t="str">
        <f aca="false">IF(OR($B43="",$H43="",$I43=""),"",IF(AND(BA$3+6&gt;=$H43,BA$3&lt;=$I43),1,""))</f>
        <v/>
      </c>
      <c r="BB43" s="32" t="str">
        <f aca="false">IF(OR($B43="",$H43="",$I43=""),"",IF(AND(BB$3+6&gt;=$H43,BB$3&lt;=$I43),1,""))</f>
        <v/>
      </c>
      <c r="BC43" s="32" t="str">
        <f aca="false">IF(OR($B43="",$H43="",$I43=""),"",IF(AND(BC$3+6&gt;=$H43,BC$3&lt;=$I43),1,""))</f>
        <v/>
      </c>
      <c r="BD43" s="32" t="str">
        <f aca="false">IF(OR($B43="",$H43="",$I43=""),"",IF(AND(BD$3+6&gt;=$H43,BD$3&lt;=$I43),1,""))</f>
        <v/>
      </c>
      <c r="BE43" s="32" t="str">
        <f aca="false">IF(OR($B43="",$H43="",$I43=""),"",IF(AND(BE$3+6&gt;=$H43,BE$3&lt;=$I43),1,""))</f>
        <v/>
      </c>
      <c r="BF43" s="32" t="str">
        <f aca="false">IF(OR($B43="",$H43="",$I43=""),"",IF(AND(BF$3+6&gt;=$H43,BF$3&lt;=$I43),1,""))</f>
        <v/>
      </c>
      <c r="BG43" s="32" t="str">
        <f aca="false">IF(OR($B43="",$H43="",$I43=""),"",IF(AND(BG$3+6&gt;=$H43,BG$3&lt;=$I43),1,""))</f>
        <v/>
      </c>
      <c r="BH43" s="32" t="str">
        <f aca="false">IF(OR($B43="",$H43="",$I43=""),"",IF(AND(BH$3+6&gt;=$H43,BH$3&lt;=$I43),1,""))</f>
        <v/>
      </c>
      <c r="BI43" s="32" t="str">
        <f aca="false">IF(OR($B43="",$H43="",$I43=""),"",IF(AND(BI$3+6&gt;=$H43,BI$3&lt;=$I43),1,""))</f>
        <v/>
      </c>
      <c r="BJ43" s="32" t="str">
        <f aca="false">IF(OR($B43="",$H43="",$I43=""),"",IF(AND(BJ$3+6&gt;=$H43,BJ$3&lt;=$I43),1,""))</f>
        <v/>
      </c>
      <c r="BK43" s="32" t="str">
        <f aca="false">IF(OR($B43="",$H43="",$I43=""),"",IF(AND(BK$3+6&gt;=$H43,BK$3&lt;=$I43),1,""))</f>
        <v/>
      </c>
      <c r="BM43" s="0" t="str">
        <f aca="false">IF($E43="",",,",","&amp;SUBSTITUTE($E43," ","")&amp;",")</f>
        <v>,,</v>
      </c>
    </row>
    <row r="44" customFormat="false" ht="21.75" hidden="false" customHeight="true" outlineLevel="0" collapsed="false">
      <c r="A44" s="26" t="str">
        <f aca="false">IF(B44="","",COUNTA($B$7:B44))</f>
        <v/>
      </c>
      <c r="B44" s="27"/>
      <c r="C44" s="28"/>
      <c r="D44" s="28"/>
      <c r="E44" s="27"/>
      <c r="F44" s="29"/>
      <c r="G44" s="28"/>
      <c r="H44" s="30"/>
      <c r="I44" s="30"/>
      <c r="J44" s="31"/>
      <c r="K44" s="27"/>
      <c r="L44" s="32" t="str">
        <f aca="false">IF(OR($B44="",$H44="",$I44=""),"",IF(AND(L$3+6&gt;=$H44,L$3&lt;=$I44),1,""))</f>
        <v/>
      </c>
      <c r="M44" s="32" t="str">
        <f aca="false">IF(OR($B44="",$H44="",$I44=""),"",IF(AND(M$3+6&gt;=$H44,M$3&lt;=$I44),1,""))</f>
        <v/>
      </c>
      <c r="N44" s="32" t="str">
        <f aca="false">IF(OR($B44="",$H44="",$I44=""),"",IF(AND(N$3+6&gt;=$H44,N$3&lt;=$I44),1,""))</f>
        <v/>
      </c>
      <c r="O44" s="32" t="str">
        <f aca="false">IF(OR($B44="",$H44="",$I44=""),"",IF(AND(O$3+6&gt;=$H44,O$3&lt;=$I44),1,""))</f>
        <v/>
      </c>
      <c r="P44" s="32" t="str">
        <f aca="false">IF(OR($B44="",$H44="",$I44=""),"",IF(AND(P$3+6&gt;=$H44,P$3&lt;=$I44),1,""))</f>
        <v/>
      </c>
      <c r="Q44" s="32" t="str">
        <f aca="false">IF(OR($B44="",$H44="",$I44=""),"",IF(AND(Q$3+6&gt;=$H44,Q$3&lt;=$I44),1,""))</f>
        <v/>
      </c>
      <c r="R44" s="32" t="str">
        <f aca="false">IF(OR($B44="",$H44="",$I44=""),"",IF(AND(R$3+6&gt;=$H44,R$3&lt;=$I44),1,""))</f>
        <v/>
      </c>
      <c r="S44" s="32" t="str">
        <f aca="false">IF(OR($B44="",$H44="",$I44=""),"",IF(AND(S$3+6&gt;=$H44,S$3&lt;=$I44),1,""))</f>
        <v/>
      </c>
      <c r="T44" s="32" t="str">
        <f aca="false">IF(OR($B44="",$H44="",$I44=""),"",IF(AND(T$3+6&gt;=$H44,T$3&lt;=$I44),1,""))</f>
        <v/>
      </c>
      <c r="U44" s="32" t="str">
        <f aca="false">IF(OR($B44="",$H44="",$I44=""),"",IF(AND(U$3+6&gt;=$H44,U$3&lt;=$I44),1,""))</f>
        <v/>
      </c>
      <c r="V44" s="32" t="str">
        <f aca="false">IF(OR($B44="",$H44="",$I44=""),"",IF(AND(V$3+6&gt;=$H44,V$3&lt;=$I44),1,""))</f>
        <v/>
      </c>
      <c r="W44" s="32" t="str">
        <f aca="false">IF(OR($B44="",$H44="",$I44=""),"",IF(AND(W$3+6&gt;=$H44,W$3&lt;=$I44),1,""))</f>
        <v/>
      </c>
      <c r="X44" s="32" t="str">
        <f aca="false">IF(OR($B44="",$H44="",$I44=""),"",IF(AND(X$3+6&gt;=$H44,X$3&lt;=$I44),1,""))</f>
        <v/>
      </c>
      <c r="Y44" s="32" t="str">
        <f aca="false">IF(OR($B44="",$H44="",$I44=""),"",IF(AND(Y$3+6&gt;=$H44,Y$3&lt;=$I44),1,""))</f>
        <v/>
      </c>
      <c r="Z44" s="32" t="str">
        <f aca="false">IF(OR($B44="",$H44="",$I44=""),"",IF(AND(Z$3+6&gt;=$H44,Z$3&lt;=$I44),1,""))</f>
        <v/>
      </c>
      <c r="AA44" s="32" t="str">
        <f aca="false">IF(OR($B44="",$H44="",$I44=""),"",IF(AND(AA$3+6&gt;=$H44,AA$3&lt;=$I44),1,""))</f>
        <v/>
      </c>
      <c r="AB44" s="32" t="str">
        <f aca="false">IF(OR($B44="",$H44="",$I44=""),"",IF(AND(AB$3+6&gt;=$H44,AB$3&lt;=$I44),1,""))</f>
        <v/>
      </c>
      <c r="AC44" s="32" t="str">
        <f aca="false">IF(OR($B44="",$H44="",$I44=""),"",IF(AND(AC$3+6&gt;=$H44,AC$3&lt;=$I44),1,""))</f>
        <v/>
      </c>
      <c r="AD44" s="32" t="str">
        <f aca="false">IF(OR($B44="",$H44="",$I44=""),"",IF(AND(AD$3+6&gt;=$H44,AD$3&lt;=$I44),1,""))</f>
        <v/>
      </c>
      <c r="AE44" s="32" t="str">
        <f aca="false">IF(OR($B44="",$H44="",$I44=""),"",IF(AND(AE$3+6&gt;=$H44,AE$3&lt;=$I44),1,""))</f>
        <v/>
      </c>
      <c r="AF44" s="32" t="str">
        <f aca="false">IF(OR($B44="",$H44="",$I44=""),"",IF(AND(AF$3+6&gt;=$H44,AF$3&lt;=$I44),1,""))</f>
        <v/>
      </c>
      <c r="AG44" s="32" t="str">
        <f aca="false">IF(OR($B44="",$H44="",$I44=""),"",IF(AND(AG$3+6&gt;=$H44,AG$3&lt;=$I44),1,""))</f>
        <v/>
      </c>
      <c r="AH44" s="32" t="str">
        <f aca="false">IF(OR($B44="",$H44="",$I44=""),"",IF(AND(AH$3+6&gt;=$H44,AH$3&lt;=$I44),1,""))</f>
        <v/>
      </c>
      <c r="AI44" s="32" t="str">
        <f aca="false">IF(OR($B44="",$H44="",$I44=""),"",IF(AND(AI$3+6&gt;=$H44,AI$3&lt;=$I44),1,""))</f>
        <v/>
      </c>
      <c r="AJ44" s="32" t="str">
        <f aca="false">IF(OR($B44="",$H44="",$I44=""),"",IF(AND(AJ$3+6&gt;=$H44,AJ$3&lt;=$I44),1,""))</f>
        <v/>
      </c>
      <c r="AK44" s="32" t="str">
        <f aca="false">IF(OR($B44="",$H44="",$I44=""),"",IF(AND(AK$3+6&gt;=$H44,AK$3&lt;=$I44),1,""))</f>
        <v/>
      </c>
      <c r="AL44" s="32" t="str">
        <f aca="false">IF(OR($B44="",$H44="",$I44=""),"",IF(AND(AL$3+6&gt;=$H44,AL$3&lt;=$I44),1,""))</f>
        <v/>
      </c>
      <c r="AM44" s="32" t="str">
        <f aca="false">IF(OR($B44="",$H44="",$I44=""),"",IF(AND(AM$3+6&gt;=$H44,AM$3&lt;=$I44),1,""))</f>
        <v/>
      </c>
      <c r="AN44" s="32" t="str">
        <f aca="false">IF(OR($B44="",$H44="",$I44=""),"",IF(AND(AN$3+6&gt;=$H44,AN$3&lt;=$I44),1,""))</f>
        <v/>
      </c>
      <c r="AO44" s="32" t="str">
        <f aca="false">IF(OR($B44="",$H44="",$I44=""),"",IF(AND(AO$3+6&gt;=$H44,AO$3&lt;=$I44),1,""))</f>
        <v/>
      </c>
      <c r="AP44" s="32" t="str">
        <f aca="false">IF(OR($B44="",$H44="",$I44=""),"",IF(AND(AP$3+6&gt;=$H44,AP$3&lt;=$I44),1,""))</f>
        <v/>
      </c>
      <c r="AQ44" s="32" t="str">
        <f aca="false">IF(OR($B44="",$H44="",$I44=""),"",IF(AND(AQ$3+6&gt;=$H44,AQ$3&lt;=$I44),1,""))</f>
        <v/>
      </c>
      <c r="AR44" s="32" t="str">
        <f aca="false">IF(OR($B44="",$H44="",$I44=""),"",IF(AND(AR$3+6&gt;=$H44,AR$3&lt;=$I44),1,""))</f>
        <v/>
      </c>
      <c r="AS44" s="32" t="str">
        <f aca="false">IF(OR($B44="",$H44="",$I44=""),"",IF(AND(AS$3+6&gt;=$H44,AS$3&lt;=$I44),1,""))</f>
        <v/>
      </c>
      <c r="AT44" s="32" t="str">
        <f aca="false">IF(OR($B44="",$H44="",$I44=""),"",IF(AND(AT$3+6&gt;=$H44,AT$3&lt;=$I44),1,""))</f>
        <v/>
      </c>
      <c r="AU44" s="32" t="str">
        <f aca="false">IF(OR($B44="",$H44="",$I44=""),"",IF(AND(AU$3+6&gt;=$H44,AU$3&lt;=$I44),1,""))</f>
        <v/>
      </c>
      <c r="AV44" s="32" t="str">
        <f aca="false">IF(OR($B44="",$H44="",$I44=""),"",IF(AND(AV$3+6&gt;=$H44,AV$3&lt;=$I44),1,""))</f>
        <v/>
      </c>
      <c r="AW44" s="32" t="str">
        <f aca="false">IF(OR($B44="",$H44="",$I44=""),"",IF(AND(AW$3+6&gt;=$H44,AW$3&lt;=$I44),1,""))</f>
        <v/>
      </c>
      <c r="AX44" s="32" t="str">
        <f aca="false">IF(OR($B44="",$H44="",$I44=""),"",IF(AND(AX$3+6&gt;=$H44,AX$3&lt;=$I44),1,""))</f>
        <v/>
      </c>
      <c r="AY44" s="32" t="str">
        <f aca="false">IF(OR($B44="",$H44="",$I44=""),"",IF(AND(AY$3+6&gt;=$H44,AY$3&lt;=$I44),1,""))</f>
        <v/>
      </c>
      <c r="AZ44" s="32" t="str">
        <f aca="false">IF(OR($B44="",$H44="",$I44=""),"",IF(AND(AZ$3+6&gt;=$H44,AZ$3&lt;=$I44),1,""))</f>
        <v/>
      </c>
      <c r="BA44" s="32" t="str">
        <f aca="false">IF(OR($B44="",$H44="",$I44=""),"",IF(AND(BA$3+6&gt;=$H44,BA$3&lt;=$I44),1,""))</f>
        <v/>
      </c>
      <c r="BB44" s="32" t="str">
        <f aca="false">IF(OR($B44="",$H44="",$I44=""),"",IF(AND(BB$3+6&gt;=$H44,BB$3&lt;=$I44),1,""))</f>
        <v/>
      </c>
      <c r="BC44" s="32" t="str">
        <f aca="false">IF(OR($B44="",$H44="",$I44=""),"",IF(AND(BC$3+6&gt;=$H44,BC$3&lt;=$I44),1,""))</f>
        <v/>
      </c>
      <c r="BD44" s="32" t="str">
        <f aca="false">IF(OR($B44="",$H44="",$I44=""),"",IF(AND(BD$3+6&gt;=$H44,BD$3&lt;=$I44),1,""))</f>
        <v/>
      </c>
      <c r="BE44" s="32" t="str">
        <f aca="false">IF(OR($B44="",$H44="",$I44=""),"",IF(AND(BE$3+6&gt;=$H44,BE$3&lt;=$I44),1,""))</f>
        <v/>
      </c>
      <c r="BF44" s="32" t="str">
        <f aca="false">IF(OR($B44="",$H44="",$I44=""),"",IF(AND(BF$3+6&gt;=$H44,BF$3&lt;=$I44),1,""))</f>
        <v/>
      </c>
      <c r="BG44" s="32" t="str">
        <f aca="false">IF(OR($B44="",$H44="",$I44=""),"",IF(AND(BG$3+6&gt;=$H44,BG$3&lt;=$I44),1,""))</f>
        <v/>
      </c>
      <c r="BH44" s="32" t="str">
        <f aca="false">IF(OR($B44="",$H44="",$I44=""),"",IF(AND(BH$3+6&gt;=$H44,BH$3&lt;=$I44),1,""))</f>
        <v/>
      </c>
      <c r="BI44" s="32" t="str">
        <f aca="false">IF(OR($B44="",$H44="",$I44=""),"",IF(AND(BI$3+6&gt;=$H44,BI$3&lt;=$I44),1,""))</f>
        <v/>
      </c>
      <c r="BJ44" s="32" t="str">
        <f aca="false">IF(OR($B44="",$H44="",$I44=""),"",IF(AND(BJ$3+6&gt;=$H44,BJ$3&lt;=$I44),1,""))</f>
        <v/>
      </c>
      <c r="BK44" s="32" t="str">
        <f aca="false">IF(OR($B44="",$H44="",$I44=""),"",IF(AND(BK$3+6&gt;=$H44,BK$3&lt;=$I44),1,""))</f>
        <v/>
      </c>
      <c r="BM44" s="0" t="str">
        <f aca="false">IF($E44="",",,",","&amp;SUBSTITUTE($E44," ","")&amp;",")</f>
        <v>,,</v>
      </c>
    </row>
    <row r="45" customFormat="false" ht="21.75" hidden="false" customHeight="true" outlineLevel="0" collapsed="false">
      <c r="A45" s="26" t="str">
        <f aca="false">IF(B45="","",COUNTA($B$7:B45))</f>
        <v/>
      </c>
      <c r="B45" s="27"/>
      <c r="C45" s="28"/>
      <c r="D45" s="28"/>
      <c r="E45" s="27"/>
      <c r="F45" s="29"/>
      <c r="G45" s="28"/>
      <c r="H45" s="30"/>
      <c r="I45" s="30"/>
      <c r="J45" s="31"/>
      <c r="K45" s="27"/>
      <c r="L45" s="32" t="str">
        <f aca="false">IF(OR($B45="",$H45="",$I45=""),"",IF(AND(L$3+6&gt;=$H45,L$3&lt;=$I45),1,""))</f>
        <v/>
      </c>
      <c r="M45" s="32" t="str">
        <f aca="false">IF(OR($B45="",$H45="",$I45=""),"",IF(AND(M$3+6&gt;=$H45,M$3&lt;=$I45),1,""))</f>
        <v/>
      </c>
      <c r="N45" s="32" t="str">
        <f aca="false">IF(OR($B45="",$H45="",$I45=""),"",IF(AND(N$3+6&gt;=$H45,N$3&lt;=$I45),1,""))</f>
        <v/>
      </c>
      <c r="O45" s="32" t="str">
        <f aca="false">IF(OR($B45="",$H45="",$I45=""),"",IF(AND(O$3+6&gt;=$H45,O$3&lt;=$I45),1,""))</f>
        <v/>
      </c>
      <c r="P45" s="32" t="str">
        <f aca="false">IF(OR($B45="",$H45="",$I45=""),"",IF(AND(P$3+6&gt;=$H45,P$3&lt;=$I45),1,""))</f>
        <v/>
      </c>
      <c r="Q45" s="32" t="str">
        <f aca="false">IF(OR($B45="",$H45="",$I45=""),"",IF(AND(Q$3+6&gt;=$H45,Q$3&lt;=$I45),1,""))</f>
        <v/>
      </c>
      <c r="R45" s="32" t="str">
        <f aca="false">IF(OR($B45="",$H45="",$I45=""),"",IF(AND(R$3+6&gt;=$H45,R$3&lt;=$I45),1,""))</f>
        <v/>
      </c>
      <c r="S45" s="32" t="str">
        <f aca="false">IF(OR($B45="",$H45="",$I45=""),"",IF(AND(S$3+6&gt;=$H45,S$3&lt;=$I45),1,""))</f>
        <v/>
      </c>
      <c r="T45" s="32" t="str">
        <f aca="false">IF(OR($B45="",$H45="",$I45=""),"",IF(AND(T$3+6&gt;=$H45,T$3&lt;=$I45),1,""))</f>
        <v/>
      </c>
      <c r="U45" s="32" t="str">
        <f aca="false">IF(OR($B45="",$H45="",$I45=""),"",IF(AND(U$3+6&gt;=$H45,U$3&lt;=$I45),1,""))</f>
        <v/>
      </c>
      <c r="V45" s="32" t="str">
        <f aca="false">IF(OR($B45="",$H45="",$I45=""),"",IF(AND(V$3+6&gt;=$H45,V$3&lt;=$I45),1,""))</f>
        <v/>
      </c>
      <c r="W45" s="32" t="str">
        <f aca="false">IF(OR($B45="",$H45="",$I45=""),"",IF(AND(W$3+6&gt;=$H45,W$3&lt;=$I45),1,""))</f>
        <v/>
      </c>
      <c r="X45" s="32" t="str">
        <f aca="false">IF(OR($B45="",$H45="",$I45=""),"",IF(AND(X$3+6&gt;=$H45,X$3&lt;=$I45),1,""))</f>
        <v/>
      </c>
      <c r="Y45" s="32" t="str">
        <f aca="false">IF(OR($B45="",$H45="",$I45=""),"",IF(AND(Y$3+6&gt;=$H45,Y$3&lt;=$I45),1,""))</f>
        <v/>
      </c>
      <c r="Z45" s="32" t="str">
        <f aca="false">IF(OR($B45="",$H45="",$I45=""),"",IF(AND(Z$3+6&gt;=$H45,Z$3&lt;=$I45),1,""))</f>
        <v/>
      </c>
      <c r="AA45" s="32" t="str">
        <f aca="false">IF(OR($B45="",$H45="",$I45=""),"",IF(AND(AA$3+6&gt;=$H45,AA$3&lt;=$I45),1,""))</f>
        <v/>
      </c>
      <c r="AB45" s="32" t="str">
        <f aca="false">IF(OR($B45="",$H45="",$I45=""),"",IF(AND(AB$3+6&gt;=$H45,AB$3&lt;=$I45),1,""))</f>
        <v/>
      </c>
      <c r="AC45" s="32" t="str">
        <f aca="false">IF(OR($B45="",$H45="",$I45=""),"",IF(AND(AC$3+6&gt;=$H45,AC$3&lt;=$I45),1,""))</f>
        <v/>
      </c>
      <c r="AD45" s="32" t="str">
        <f aca="false">IF(OR($B45="",$H45="",$I45=""),"",IF(AND(AD$3+6&gt;=$H45,AD$3&lt;=$I45),1,""))</f>
        <v/>
      </c>
      <c r="AE45" s="32" t="str">
        <f aca="false">IF(OR($B45="",$H45="",$I45=""),"",IF(AND(AE$3+6&gt;=$H45,AE$3&lt;=$I45),1,""))</f>
        <v/>
      </c>
      <c r="AF45" s="32" t="str">
        <f aca="false">IF(OR($B45="",$H45="",$I45=""),"",IF(AND(AF$3+6&gt;=$H45,AF$3&lt;=$I45),1,""))</f>
        <v/>
      </c>
      <c r="AG45" s="32" t="str">
        <f aca="false">IF(OR($B45="",$H45="",$I45=""),"",IF(AND(AG$3+6&gt;=$H45,AG$3&lt;=$I45),1,""))</f>
        <v/>
      </c>
      <c r="AH45" s="32" t="str">
        <f aca="false">IF(OR($B45="",$H45="",$I45=""),"",IF(AND(AH$3+6&gt;=$H45,AH$3&lt;=$I45),1,""))</f>
        <v/>
      </c>
      <c r="AI45" s="32" t="str">
        <f aca="false">IF(OR($B45="",$H45="",$I45=""),"",IF(AND(AI$3+6&gt;=$H45,AI$3&lt;=$I45),1,""))</f>
        <v/>
      </c>
      <c r="AJ45" s="32" t="str">
        <f aca="false">IF(OR($B45="",$H45="",$I45=""),"",IF(AND(AJ$3+6&gt;=$H45,AJ$3&lt;=$I45),1,""))</f>
        <v/>
      </c>
      <c r="AK45" s="32" t="str">
        <f aca="false">IF(OR($B45="",$H45="",$I45=""),"",IF(AND(AK$3+6&gt;=$H45,AK$3&lt;=$I45),1,""))</f>
        <v/>
      </c>
      <c r="AL45" s="32" t="str">
        <f aca="false">IF(OR($B45="",$H45="",$I45=""),"",IF(AND(AL$3+6&gt;=$H45,AL$3&lt;=$I45),1,""))</f>
        <v/>
      </c>
      <c r="AM45" s="32" t="str">
        <f aca="false">IF(OR($B45="",$H45="",$I45=""),"",IF(AND(AM$3+6&gt;=$H45,AM$3&lt;=$I45),1,""))</f>
        <v/>
      </c>
      <c r="AN45" s="32" t="str">
        <f aca="false">IF(OR($B45="",$H45="",$I45=""),"",IF(AND(AN$3+6&gt;=$H45,AN$3&lt;=$I45),1,""))</f>
        <v/>
      </c>
      <c r="AO45" s="32" t="str">
        <f aca="false">IF(OR($B45="",$H45="",$I45=""),"",IF(AND(AO$3+6&gt;=$H45,AO$3&lt;=$I45),1,""))</f>
        <v/>
      </c>
      <c r="AP45" s="32" t="str">
        <f aca="false">IF(OR($B45="",$H45="",$I45=""),"",IF(AND(AP$3+6&gt;=$H45,AP$3&lt;=$I45),1,""))</f>
        <v/>
      </c>
      <c r="AQ45" s="32" t="str">
        <f aca="false">IF(OR($B45="",$H45="",$I45=""),"",IF(AND(AQ$3+6&gt;=$H45,AQ$3&lt;=$I45),1,""))</f>
        <v/>
      </c>
      <c r="AR45" s="32" t="str">
        <f aca="false">IF(OR($B45="",$H45="",$I45=""),"",IF(AND(AR$3+6&gt;=$H45,AR$3&lt;=$I45),1,""))</f>
        <v/>
      </c>
      <c r="AS45" s="32" t="str">
        <f aca="false">IF(OR($B45="",$H45="",$I45=""),"",IF(AND(AS$3+6&gt;=$H45,AS$3&lt;=$I45),1,""))</f>
        <v/>
      </c>
      <c r="AT45" s="32" t="str">
        <f aca="false">IF(OR($B45="",$H45="",$I45=""),"",IF(AND(AT$3+6&gt;=$H45,AT$3&lt;=$I45),1,""))</f>
        <v/>
      </c>
      <c r="AU45" s="32" t="str">
        <f aca="false">IF(OR($B45="",$H45="",$I45=""),"",IF(AND(AU$3+6&gt;=$H45,AU$3&lt;=$I45),1,""))</f>
        <v/>
      </c>
      <c r="AV45" s="32" t="str">
        <f aca="false">IF(OR($B45="",$H45="",$I45=""),"",IF(AND(AV$3+6&gt;=$H45,AV$3&lt;=$I45),1,""))</f>
        <v/>
      </c>
      <c r="AW45" s="32" t="str">
        <f aca="false">IF(OR($B45="",$H45="",$I45=""),"",IF(AND(AW$3+6&gt;=$H45,AW$3&lt;=$I45),1,""))</f>
        <v/>
      </c>
      <c r="AX45" s="32" t="str">
        <f aca="false">IF(OR($B45="",$H45="",$I45=""),"",IF(AND(AX$3+6&gt;=$H45,AX$3&lt;=$I45),1,""))</f>
        <v/>
      </c>
      <c r="AY45" s="32" t="str">
        <f aca="false">IF(OR($B45="",$H45="",$I45=""),"",IF(AND(AY$3+6&gt;=$H45,AY$3&lt;=$I45),1,""))</f>
        <v/>
      </c>
      <c r="AZ45" s="32" t="str">
        <f aca="false">IF(OR($B45="",$H45="",$I45=""),"",IF(AND(AZ$3+6&gt;=$H45,AZ$3&lt;=$I45),1,""))</f>
        <v/>
      </c>
      <c r="BA45" s="32" t="str">
        <f aca="false">IF(OR($B45="",$H45="",$I45=""),"",IF(AND(BA$3+6&gt;=$H45,BA$3&lt;=$I45),1,""))</f>
        <v/>
      </c>
      <c r="BB45" s="32" t="str">
        <f aca="false">IF(OR($B45="",$H45="",$I45=""),"",IF(AND(BB$3+6&gt;=$H45,BB$3&lt;=$I45),1,""))</f>
        <v/>
      </c>
      <c r="BC45" s="32" t="str">
        <f aca="false">IF(OR($B45="",$H45="",$I45=""),"",IF(AND(BC$3+6&gt;=$H45,BC$3&lt;=$I45),1,""))</f>
        <v/>
      </c>
      <c r="BD45" s="32" t="str">
        <f aca="false">IF(OR($B45="",$H45="",$I45=""),"",IF(AND(BD$3+6&gt;=$H45,BD$3&lt;=$I45),1,""))</f>
        <v/>
      </c>
      <c r="BE45" s="32" t="str">
        <f aca="false">IF(OR($B45="",$H45="",$I45=""),"",IF(AND(BE$3+6&gt;=$H45,BE$3&lt;=$I45),1,""))</f>
        <v/>
      </c>
      <c r="BF45" s="32" t="str">
        <f aca="false">IF(OR($B45="",$H45="",$I45=""),"",IF(AND(BF$3+6&gt;=$H45,BF$3&lt;=$I45),1,""))</f>
        <v/>
      </c>
      <c r="BG45" s="32" t="str">
        <f aca="false">IF(OR($B45="",$H45="",$I45=""),"",IF(AND(BG$3+6&gt;=$H45,BG$3&lt;=$I45),1,""))</f>
        <v/>
      </c>
      <c r="BH45" s="32" t="str">
        <f aca="false">IF(OR($B45="",$H45="",$I45=""),"",IF(AND(BH$3+6&gt;=$H45,BH$3&lt;=$I45),1,""))</f>
        <v/>
      </c>
      <c r="BI45" s="32" t="str">
        <f aca="false">IF(OR($B45="",$H45="",$I45=""),"",IF(AND(BI$3+6&gt;=$H45,BI$3&lt;=$I45),1,""))</f>
        <v/>
      </c>
      <c r="BJ45" s="32" t="str">
        <f aca="false">IF(OR($B45="",$H45="",$I45=""),"",IF(AND(BJ$3+6&gt;=$H45,BJ$3&lt;=$I45),1,""))</f>
        <v/>
      </c>
      <c r="BK45" s="32" t="str">
        <f aca="false">IF(OR($B45="",$H45="",$I45=""),"",IF(AND(BK$3+6&gt;=$H45,BK$3&lt;=$I45),1,""))</f>
        <v/>
      </c>
      <c r="BM45" s="0" t="str">
        <f aca="false">IF($E45="",",,",","&amp;SUBSTITUTE($E45," ","")&amp;",")</f>
        <v>,,</v>
      </c>
    </row>
    <row r="46" customFormat="false" ht="21.75" hidden="false" customHeight="true" outlineLevel="0" collapsed="false">
      <c r="A46" s="26" t="str">
        <f aca="false">IF(B46="","",COUNTA($B$7:B46))</f>
        <v/>
      </c>
      <c r="B46" s="27"/>
      <c r="C46" s="28"/>
      <c r="D46" s="28"/>
      <c r="E46" s="27"/>
      <c r="F46" s="29"/>
      <c r="G46" s="28"/>
      <c r="H46" s="30"/>
      <c r="I46" s="30"/>
      <c r="J46" s="31"/>
      <c r="K46" s="27"/>
      <c r="L46" s="32" t="str">
        <f aca="false">IF(OR($B46="",$H46="",$I46=""),"",IF(AND(L$3+6&gt;=$H46,L$3&lt;=$I46),1,""))</f>
        <v/>
      </c>
      <c r="M46" s="32" t="str">
        <f aca="false">IF(OR($B46="",$H46="",$I46=""),"",IF(AND(M$3+6&gt;=$H46,M$3&lt;=$I46),1,""))</f>
        <v/>
      </c>
      <c r="N46" s="32" t="str">
        <f aca="false">IF(OR($B46="",$H46="",$I46=""),"",IF(AND(N$3+6&gt;=$H46,N$3&lt;=$I46),1,""))</f>
        <v/>
      </c>
      <c r="O46" s="32" t="str">
        <f aca="false">IF(OR($B46="",$H46="",$I46=""),"",IF(AND(O$3+6&gt;=$H46,O$3&lt;=$I46),1,""))</f>
        <v/>
      </c>
      <c r="P46" s="32" t="str">
        <f aca="false">IF(OR($B46="",$H46="",$I46=""),"",IF(AND(P$3+6&gt;=$H46,P$3&lt;=$I46),1,""))</f>
        <v/>
      </c>
      <c r="Q46" s="32" t="str">
        <f aca="false">IF(OR($B46="",$H46="",$I46=""),"",IF(AND(Q$3+6&gt;=$H46,Q$3&lt;=$I46),1,""))</f>
        <v/>
      </c>
      <c r="R46" s="32" t="str">
        <f aca="false">IF(OR($B46="",$H46="",$I46=""),"",IF(AND(R$3+6&gt;=$H46,R$3&lt;=$I46),1,""))</f>
        <v/>
      </c>
      <c r="S46" s="32" t="str">
        <f aca="false">IF(OR($B46="",$H46="",$I46=""),"",IF(AND(S$3+6&gt;=$H46,S$3&lt;=$I46),1,""))</f>
        <v/>
      </c>
      <c r="T46" s="32" t="str">
        <f aca="false">IF(OR($B46="",$H46="",$I46=""),"",IF(AND(T$3+6&gt;=$H46,T$3&lt;=$I46),1,""))</f>
        <v/>
      </c>
      <c r="U46" s="32" t="str">
        <f aca="false">IF(OR($B46="",$H46="",$I46=""),"",IF(AND(U$3+6&gt;=$H46,U$3&lt;=$I46),1,""))</f>
        <v/>
      </c>
      <c r="V46" s="32" t="str">
        <f aca="false">IF(OR($B46="",$H46="",$I46=""),"",IF(AND(V$3+6&gt;=$H46,V$3&lt;=$I46),1,""))</f>
        <v/>
      </c>
      <c r="W46" s="32" t="str">
        <f aca="false">IF(OR($B46="",$H46="",$I46=""),"",IF(AND(W$3+6&gt;=$H46,W$3&lt;=$I46),1,""))</f>
        <v/>
      </c>
      <c r="X46" s="32" t="str">
        <f aca="false">IF(OR($B46="",$H46="",$I46=""),"",IF(AND(X$3+6&gt;=$H46,X$3&lt;=$I46),1,""))</f>
        <v/>
      </c>
      <c r="Y46" s="32" t="str">
        <f aca="false">IF(OR($B46="",$H46="",$I46=""),"",IF(AND(Y$3+6&gt;=$H46,Y$3&lt;=$I46),1,""))</f>
        <v/>
      </c>
      <c r="Z46" s="32" t="str">
        <f aca="false">IF(OR($B46="",$H46="",$I46=""),"",IF(AND(Z$3+6&gt;=$H46,Z$3&lt;=$I46),1,""))</f>
        <v/>
      </c>
      <c r="AA46" s="32" t="str">
        <f aca="false">IF(OR($B46="",$H46="",$I46=""),"",IF(AND(AA$3+6&gt;=$H46,AA$3&lt;=$I46),1,""))</f>
        <v/>
      </c>
      <c r="AB46" s="32" t="str">
        <f aca="false">IF(OR($B46="",$H46="",$I46=""),"",IF(AND(AB$3+6&gt;=$H46,AB$3&lt;=$I46),1,""))</f>
        <v/>
      </c>
      <c r="AC46" s="32" t="str">
        <f aca="false">IF(OR($B46="",$H46="",$I46=""),"",IF(AND(AC$3+6&gt;=$H46,AC$3&lt;=$I46),1,""))</f>
        <v/>
      </c>
      <c r="AD46" s="32" t="str">
        <f aca="false">IF(OR($B46="",$H46="",$I46=""),"",IF(AND(AD$3+6&gt;=$H46,AD$3&lt;=$I46),1,""))</f>
        <v/>
      </c>
      <c r="AE46" s="32" t="str">
        <f aca="false">IF(OR($B46="",$H46="",$I46=""),"",IF(AND(AE$3+6&gt;=$H46,AE$3&lt;=$I46),1,""))</f>
        <v/>
      </c>
      <c r="AF46" s="32" t="str">
        <f aca="false">IF(OR($B46="",$H46="",$I46=""),"",IF(AND(AF$3+6&gt;=$H46,AF$3&lt;=$I46),1,""))</f>
        <v/>
      </c>
      <c r="AG46" s="32" t="str">
        <f aca="false">IF(OR($B46="",$H46="",$I46=""),"",IF(AND(AG$3+6&gt;=$H46,AG$3&lt;=$I46),1,""))</f>
        <v/>
      </c>
      <c r="AH46" s="32" t="str">
        <f aca="false">IF(OR($B46="",$H46="",$I46=""),"",IF(AND(AH$3+6&gt;=$H46,AH$3&lt;=$I46),1,""))</f>
        <v/>
      </c>
      <c r="AI46" s="32" t="str">
        <f aca="false">IF(OR($B46="",$H46="",$I46=""),"",IF(AND(AI$3+6&gt;=$H46,AI$3&lt;=$I46),1,""))</f>
        <v/>
      </c>
      <c r="AJ46" s="32" t="str">
        <f aca="false">IF(OR($B46="",$H46="",$I46=""),"",IF(AND(AJ$3+6&gt;=$H46,AJ$3&lt;=$I46),1,""))</f>
        <v/>
      </c>
      <c r="AK46" s="32" t="str">
        <f aca="false">IF(OR($B46="",$H46="",$I46=""),"",IF(AND(AK$3+6&gt;=$H46,AK$3&lt;=$I46),1,""))</f>
        <v/>
      </c>
      <c r="AL46" s="32" t="str">
        <f aca="false">IF(OR($B46="",$H46="",$I46=""),"",IF(AND(AL$3+6&gt;=$H46,AL$3&lt;=$I46),1,""))</f>
        <v/>
      </c>
      <c r="AM46" s="32" t="str">
        <f aca="false">IF(OR($B46="",$H46="",$I46=""),"",IF(AND(AM$3+6&gt;=$H46,AM$3&lt;=$I46),1,""))</f>
        <v/>
      </c>
      <c r="AN46" s="32" t="str">
        <f aca="false">IF(OR($B46="",$H46="",$I46=""),"",IF(AND(AN$3+6&gt;=$H46,AN$3&lt;=$I46),1,""))</f>
        <v/>
      </c>
      <c r="AO46" s="32" t="str">
        <f aca="false">IF(OR($B46="",$H46="",$I46=""),"",IF(AND(AO$3+6&gt;=$H46,AO$3&lt;=$I46),1,""))</f>
        <v/>
      </c>
      <c r="AP46" s="32" t="str">
        <f aca="false">IF(OR($B46="",$H46="",$I46=""),"",IF(AND(AP$3+6&gt;=$H46,AP$3&lt;=$I46),1,""))</f>
        <v/>
      </c>
      <c r="AQ46" s="32" t="str">
        <f aca="false">IF(OR($B46="",$H46="",$I46=""),"",IF(AND(AQ$3+6&gt;=$H46,AQ$3&lt;=$I46),1,""))</f>
        <v/>
      </c>
      <c r="AR46" s="32" t="str">
        <f aca="false">IF(OR($B46="",$H46="",$I46=""),"",IF(AND(AR$3+6&gt;=$H46,AR$3&lt;=$I46),1,""))</f>
        <v/>
      </c>
      <c r="AS46" s="32" t="str">
        <f aca="false">IF(OR($B46="",$H46="",$I46=""),"",IF(AND(AS$3+6&gt;=$H46,AS$3&lt;=$I46),1,""))</f>
        <v/>
      </c>
      <c r="AT46" s="32" t="str">
        <f aca="false">IF(OR($B46="",$H46="",$I46=""),"",IF(AND(AT$3+6&gt;=$H46,AT$3&lt;=$I46),1,""))</f>
        <v/>
      </c>
      <c r="AU46" s="32" t="str">
        <f aca="false">IF(OR($B46="",$H46="",$I46=""),"",IF(AND(AU$3+6&gt;=$H46,AU$3&lt;=$I46),1,""))</f>
        <v/>
      </c>
      <c r="AV46" s="32" t="str">
        <f aca="false">IF(OR($B46="",$H46="",$I46=""),"",IF(AND(AV$3+6&gt;=$H46,AV$3&lt;=$I46),1,""))</f>
        <v/>
      </c>
      <c r="AW46" s="32" t="str">
        <f aca="false">IF(OR($B46="",$H46="",$I46=""),"",IF(AND(AW$3+6&gt;=$H46,AW$3&lt;=$I46),1,""))</f>
        <v/>
      </c>
      <c r="AX46" s="32" t="str">
        <f aca="false">IF(OR($B46="",$H46="",$I46=""),"",IF(AND(AX$3+6&gt;=$H46,AX$3&lt;=$I46),1,""))</f>
        <v/>
      </c>
      <c r="AY46" s="32" t="str">
        <f aca="false">IF(OR($B46="",$H46="",$I46=""),"",IF(AND(AY$3+6&gt;=$H46,AY$3&lt;=$I46),1,""))</f>
        <v/>
      </c>
      <c r="AZ46" s="32" t="str">
        <f aca="false">IF(OR($B46="",$H46="",$I46=""),"",IF(AND(AZ$3+6&gt;=$H46,AZ$3&lt;=$I46),1,""))</f>
        <v/>
      </c>
      <c r="BA46" s="32" t="str">
        <f aca="false">IF(OR($B46="",$H46="",$I46=""),"",IF(AND(BA$3+6&gt;=$H46,BA$3&lt;=$I46),1,""))</f>
        <v/>
      </c>
      <c r="BB46" s="32" t="str">
        <f aca="false">IF(OR($B46="",$H46="",$I46=""),"",IF(AND(BB$3+6&gt;=$H46,BB$3&lt;=$I46),1,""))</f>
        <v/>
      </c>
      <c r="BC46" s="32" t="str">
        <f aca="false">IF(OR($B46="",$H46="",$I46=""),"",IF(AND(BC$3+6&gt;=$H46,BC$3&lt;=$I46),1,""))</f>
        <v/>
      </c>
      <c r="BD46" s="32" t="str">
        <f aca="false">IF(OR($B46="",$H46="",$I46=""),"",IF(AND(BD$3+6&gt;=$H46,BD$3&lt;=$I46),1,""))</f>
        <v/>
      </c>
      <c r="BE46" s="32" t="str">
        <f aca="false">IF(OR($B46="",$H46="",$I46=""),"",IF(AND(BE$3+6&gt;=$H46,BE$3&lt;=$I46),1,""))</f>
        <v/>
      </c>
      <c r="BF46" s="32" t="str">
        <f aca="false">IF(OR($B46="",$H46="",$I46=""),"",IF(AND(BF$3+6&gt;=$H46,BF$3&lt;=$I46),1,""))</f>
        <v/>
      </c>
      <c r="BG46" s="32" t="str">
        <f aca="false">IF(OR($B46="",$H46="",$I46=""),"",IF(AND(BG$3+6&gt;=$H46,BG$3&lt;=$I46),1,""))</f>
        <v/>
      </c>
      <c r="BH46" s="32" t="str">
        <f aca="false">IF(OR($B46="",$H46="",$I46=""),"",IF(AND(BH$3+6&gt;=$H46,BH$3&lt;=$I46),1,""))</f>
        <v/>
      </c>
      <c r="BI46" s="32" t="str">
        <f aca="false">IF(OR($B46="",$H46="",$I46=""),"",IF(AND(BI$3+6&gt;=$H46,BI$3&lt;=$I46),1,""))</f>
        <v/>
      </c>
      <c r="BJ46" s="32" t="str">
        <f aca="false">IF(OR($B46="",$H46="",$I46=""),"",IF(AND(BJ$3+6&gt;=$H46,BJ$3&lt;=$I46),1,""))</f>
        <v/>
      </c>
      <c r="BK46" s="32" t="str">
        <f aca="false">IF(OR($B46="",$H46="",$I46=""),"",IF(AND(BK$3+6&gt;=$H46,BK$3&lt;=$I46),1,""))</f>
        <v/>
      </c>
      <c r="BM46" s="0" t="str">
        <f aca="false">IF($E46="",",,",","&amp;SUBSTITUTE($E46," ","")&amp;",")</f>
        <v>,,</v>
      </c>
    </row>
    <row r="48" customFormat="false" ht="15" hidden="false" customHeight="false" outlineLevel="0" collapsed="false">
      <c r="A48" s="33" t="s">
        <v>154</v>
      </c>
      <c r="B48" s="33"/>
      <c r="C48" s="34" t="n">
        <f aca="false">COUNTIFS($G$7:$G$46,"On track")+COUNTIFS($G$7:$G$46,"At risk")+COUNTIFS($G$7:$G$46,"Off track")</f>
        <v>4</v>
      </c>
      <c r="D48" s="33" t="s">
        <v>155</v>
      </c>
      <c r="E48" s="33"/>
      <c r="F48" s="34" t="n">
        <f aca="false">COUNTIFS($G$7:$G$46,"At risk")+COUNTIFS($G$7:$G$46,"Off track")</f>
        <v>1</v>
      </c>
      <c r="G48" s="12" t="s">
        <v>156</v>
      </c>
      <c r="H48" s="35" t="n">
        <f aca="false">SUM($F$7:$F$46)</f>
        <v>10</v>
      </c>
    </row>
  </sheetData>
  <autoFilter ref="A6:K46"/>
  <mergeCells count="6">
    <mergeCell ref="L4:X4"/>
    <mergeCell ref="Y4:AK4"/>
    <mergeCell ref="AL4:AX4"/>
    <mergeCell ref="AY4:BK4"/>
    <mergeCell ref="A48:B48"/>
    <mergeCell ref="D48:E48"/>
  </mergeCells>
  <conditionalFormatting sqref="L7:BK46">
    <cfRule type="expression" priority="2" aboveAverage="0" equalAverage="0" bottom="0" percent="0" rank="0" text="" dxfId="10">
      <formula>AND(L7=1,$G7="On track")</formula>
    </cfRule>
    <cfRule type="expression" priority="3" aboveAverage="0" equalAverage="0" bottom="0" percent="0" rank="0" text="" dxfId="11">
      <formula>AND(L7=1,$G7="At risk")</formula>
    </cfRule>
    <cfRule type="expression" priority="4" aboveAverage="0" equalAverage="0" bottom="0" percent="0" rank="0" text="" dxfId="12">
      <formula>AND(L7=1,$G7="Off track")</formula>
    </cfRule>
    <cfRule type="expression" priority="5" aboveAverage="0" equalAverage="0" bottom="0" percent="0" rank="0" text="" dxfId="13">
      <formula>AND(L7=1,$G7="Complete")</formula>
    </cfRule>
    <cfRule type="expression" priority="6" aboveAverage="0" equalAverage="0" bottom="0" percent="0" rank="0" text="" dxfId="14">
      <formula>AND(L7=1,$G7="Not started")</formula>
    </cfRule>
  </conditionalFormatting>
  <conditionalFormatting sqref="L6:BK6">
    <cfRule type="expression" priority="7" aboveAverage="0" equalAverage="0" bottom="0" percent="0" rank="0" text="" dxfId="15">
      <formula>AND(L$3&lt;=TODAY(),L$3+6&gt;TODAY())</formula>
    </cfRule>
  </conditionalFormatting>
  <conditionalFormatting sqref="G7:G46">
    <cfRule type="cellIs" priority="8" operator="equal" aboveAverage="0" equalAverage="0" bottom="0" percent="0" rank="0" text="" dxfId="16">
      <formula>"On track"</formula>
    </cfRule>
    <cfRule type="cellIs" priority="9" operator="equal" aboveAverage="0" equalAverage="0" bottom="0" percent="0" rank="0" text="" dxfId="17">
      <formula>"At risk"</formula>
    </cfRule>
    <cfRule type="cellIs" priority="10" operator="equal" aboveAverage="0" equalAverage="0" bottom="0" percent="0" rank="0" text="" dxfId="18">
      <formula>"Off track"</formula>
    </cfRule>
    <cfRule type="cellIs" priority="11" operator="equal" aboveAverage="0" equalAverage="0" bottom="0" percent="0" rank="0" text="" dxfId="19">
      <formula>"Complete"</formula>
    </cfRule>
    <cfRule type="cellIs" priority="12" operator="equal" aboveAverage="0" equalAverage="0" bottom="0" percent="0" rank="0" text="" dxfId="20">
      <formula>"Not started"</formula>
    </cfRule>
  </conditionalFormatting>
  <dataValidations count="3">
    <dataValidation allowBlank="true" errorStyle="stop" operator="between" showDropDown="false" showErrorMessage="false" showInputMessage="false" sqref="G7:G46" type="list">
      <formula1>StatusList</formula1>
      <formula2>0</formula2>
    </dataValidation>
    <dataValidation allowBlank="true" errorStyle="stop" operator="between" showDropDown="false" showErrorMessage="false" showInputMessage="false" sqref="D7:D46" type="list">
      <formula1>PeopleList</formula1>
      <formula2>0</formula2>
    </dataValidation>
    <dataValidation allowBlank="true" errorStyle="stop" operator="between" showDropDown="false" showErrorMessage="false" showInputMessage="false" sqref="C7:C46" type="list">
      <formula1>ProgramList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6" min="4" style="0" width="12"/>
    <col collapsed="false" customWidth="true" hidden="false" outlineLevel="0" max="7" min="7" style="0" width="8"/>
    <col collapsed="false" customWidth="true" hidden="false" outlineLevel="0" max="20" min="8" style="0" width="6.51"/>
  </cols>
  <sheetData>
    <row r="1" customFormat="false" ht="22.05" hidden="false" customHeight="false" outlineLevel="0" collapsed="false">
      <c r="A1" s="19" t="str">
        <f aca="false">Setup!C5</f>
        <v>Engineering Portfolio 2026-27</v>
      </c>
    </row>
    <row r="2" customFormat="false" ht="15" hidden="false" customHeight="false" outlineLevel="0" collapsed="false">
      <c r="A2" s="12" t="s">
        <v>157</v>
      </c>
      <c r="B2" s="36" t="n">
        <v>1</v>
      </c>
      <c r="C2" s="2" t="str">
        <f aca="false">"Weeks "&amp;(($B$2-1)*13+1)&amp;" to "&amp;($B$2*13)&amp;"  |  "&amp;TEXT(INDEX('Year Plan'!$L$3:$BK$3,($B$2-1)*13+1),"dd mmm yyyy")&amp;" - "&amp;TEXT(INDEX('Year Plan'!$L$3:$BK$3,$B$2*13)+6,"dd mmm yyyy")</f>
        <v>Weeks 1 to 13  |  07 Sep 2026 - 06 Dec 2026</v>
      </c>
    </row>
    <row r="3" customFormat="false" ht="15" hidden="false" customHeight="false" outlineLevel="0" collapsed="false">
      <c r="H3" s="37" t="n">
        <f aca="false">INDEX('Year Plan'!$L$3:$BK$3,($B$2-1)*13+H$5)</f>
        <v>46272</v>
      </c>
      <c r="I3" s="37" t="n">
        <f aca="false">INDEX('Year Plan'!$L$3:$BK$3,($B$2-1)*13+I$5)</f>
        <v>46279</v>
      </c>
      <c r="J3" s="37" t="n">
        <f aca="false">INDEX('Year Plan'!$L$3:$BK$3,($B$2-1)*13+J$5)</f>
        <v>46286</v>
      </c>
      <c r="K3" s="37" t="n">
        <f aca="false">INDEX('Year Plan'!$L$3:$BK$3,($B$2-1)*13+K$5)</f>
        <v>46293</v>
      </c>
      <c r="L3" s="37" t="n">
        <f aca="false">INDEX('Year Plan'!$L$3:$BK$3,($B$2-1)*13+L$5)</f>
        <v>46300</v>
      </c>
      <c r="M3" s="37" t="n">
        <f aca="false">INDEX('Year Plan'!$L$3:$BK$3,($B$2-1)*13+M$5)</f>
        <v>46307</v>
      </c>
      <c r="N3" s="37" t="n">
        <f aca="false">INDEX('Year Plan'!$L$3:$BK$3,($B$2-1)*13+N$5)</f>
        <v>46314</v>
      </c>
      <c r="O3" s="37" t="n">
        <f aca="false">INDEX('Year Plan'!$L$3:$BK$3,($B$2-1)*13+O$5)</f>
        <v>46321</v>
      </c>
      <c r="P3" s="37" t="n">
        <f aca="false">INDEX('Year Plan'!$L$3:$BK$3,($B$2-1)*13+P$5)</f>
        <v>46328</v>
      </c>
      <c r="Q3" s="37" t="n">
        <f aca="false">INDEX('Year Plan'!$L$3:$BK$3,($B$2-1)*13+Q$5)</f>
        <v>46335</v>
      </c>
      <c r="R3" s="37" t="n">
        <f aca="false">INDEX('Year Plan'!$L$3:$BK$3,($B$2-1)*13+R$5)</f>
        <v>46342</v>
      </c>
      <c r="S3" s="37" t="n">
        <f aca="false">INDEX('Year Plan'!$L$3:$BK$3,($B$2-1)*13+S$5)</f>
        <v>46349</v>
      </c>
      <c r="T3" s="37" t="n">
        <f aca="false">INDEX('Year Plan'!$L$3:$BK$3,($B$2-1)*13+T$5)</f>
        <v>46356</v>
      </c>
    </row>
    <row r="5" customFormat="false" ht="15" hidden="true" customHeight="false" outlineLevel="0" collapsed="false">
      <c r="H5" s="0" t="n">
        <v>1</v>
      </c>
      <c r="I5" s="0" t="n">
        <v>2</v>
      </c>
      <c r="J5" s="0" t="n">
        <v>3</v>
      </c>
      <c r="K5" s="0" t="n">
        <v>4</v>
      </c>
      <c r="L5" s="0" t="n">
        <v>5</v>
      </c>
      <c r="M5" s="0" t="n">
        <v>6</v>
      </c>
      <c r="N5" s="0" t="n">
        <v>7</v>
      </c>
      <c r="O5" s="0" t="n">
        <v>8</v>
      </c>
      <c r="P5" s="0" t="n">
        <v>9</v>
      </c>
      <c r="Q5" s="0" t="n">
        <v>10</v>
      </c>
      <c r="R5" s="0" t="n">
        <v>11</v>
      </c>
      <c r="S5" s="0" t="n">
        <v>12</v>
      </c>
      <c r="T5" s="0" t="n">
        <v>13</v>
      </c>
    </row>
    <row r="6" customFormat="false" ht="25.5" hidden="false" customHeight="true" outlineLevel="0" collapsed="false">
      <c r="A6" s="24" t="s">
        <v>75</v>
      </c>
      <c r="B6" s="24" t="s">
        <v>77</v>
      </c>
      <c r="C6" s="24" t="s">
        <v>158</v>
      </c>
      <c r="D6" s="24" t="s">
        <v>48</v>
      </c>
      <c r="E6" s="24" t="s">
        <v>80</v>
      </c>
      <c r="F6" s="24" t="s">
        <v>81</v>
      </c>
      <c r="G6" s="24" t="s">
        <v>82</v>
      </c>
      <c r="H6" s="25" t="str">
        <f aca="false">"W"&amp;(($B$2-1)*13+H$5)</f>
        <v>W1</v>
      </c>
      <c r="I6" s="25" t="str">
        <f aca="false">"W"&amp;(($B$2-1)*13+I$5)</f>
        <v>W2</v>
      </c>
      <c r="J6" s="25" t="str">
        <f aca="false">"W"&amp;(($B$2-1)*13+J$5)</f>
        <v>W3</v>
      </c>
      <c r="K6" s="25" t="str">
        <f aca="false">"W"&amp;(($B$2-1)*13+K$5)</f>
        <v>W4</v>
      </c>
      <c r="L6" s="25" t="str">
        <f aca="false">"W"&amp;(($B$2-1)*13+L$5)</f>
        <v>W5</v>
      </c>
      <c r="M6" s="25" t="str">
        <f aca="false">"W"&amp;(($B$2-1)*13+M$5)</f>
        <v>W6</v>
      </c>
      <c r="N6" s="25" t="str">
        <f aca="false">"W"&amp;(($B$2-1)*13+N$5)</f>
        <v>W7</v>
      </c>
      <c r="O6" s="25" t="str">
        <f aca="false">"W"&amp;(($B$2-1)*13+O$5)</f>
        <v>W8</v>
      </c>
      <c r="P6" s="25" t="str">
        <f aca="false">"W"&amp;(($B$2-1)*13+P$5)</f>
        <v>W9</v>
      </c>
      <c r="Q6" s="25" t="str">
        <f aca="false">"W"&amp;(($B$2-1)*13+Q$5)</f>
        <v>W10</v>
      </c>
      <c r="R6" s="25" t="str">
        <f aca="false">"W"&amp;(($B$2-1)*13+R$5)</f>
        <v>W11</v>
      </c>
      <c r="S6" s="25" t="str">
        <f aca="false">"W"&amp;(($B$2-1)*13+S$5)</f>
        <v>W12</v>
      </c>
      <c r="T6" s="25" t="str">
        <f aca="false">"W"&amp;(($B$2-1)*13+T$5)</f>
        <v>W13</v>
      </c>
    </row>
    <row r="7" customFormat="false" ht="21.75" hidden="false" customHeight="true" outlineLevel="0" collapsed="false">
      <c r="A7" s="38" t="str">
        <f aca="false">IF('Year Plan'!$B7="","",'Year Plan'!$B7)</f>
        <v>RepApp modernization - remaining 55%</v>
      </c>
      <c r="B7" s="39" t="str">
        <f aca="false">IF('Year Plan'!$B7="","",'Year Plan'!$D7)</f>
        <v>Priya Nathan</v>
      </c>
      <c r="C7" s="38" t="str">
        <f aca="false">IF('Year Plan'!$B7="","",'Year Plan'!$E7)</f>
        <v>Priya Nathan, Marcus Bell, Dana Okafor, Tom Whitfield</v>
      </c>
      <c r="D7" s="39" t="str">
        <f aca="false">IF('Year Plan'!$B7="","",'Year Plan'!$G7)</f>
        <v>At risk</v>
      </c>
      <c r="E7" s="40" t="n">
        <f aca="false">IF('Year Plan'!$B7="","",'Year Plan'!$H7)</f>
        <v>46272</v>
      </c>
      <c r="F7" s="40" t="n">
        <f aca="false">IF('Year Plan'!$B7="","",'Year Plan'!$I7)</f>
        <v>46451</v>
      </c>
      <c r="G7" s="41" t="n">
        <f aca="false">IF('Year Plan'!$B7="","",'Year Plan'!$J7)</f>
        <v>0.45</v>
      </c>
      <c r="H7" s="32" t="n">
        <f aca="false">IF($A7="","",IF(INDEX('Year Plan'!$L7:$BK7,($B$2-1)*13+H$5)=1,1,""))</f>
        <v>1</v>
      </c>
      <c r="I7" s="32" t="n">
        <f aca="false">IF($A7="","",IF(INDEX('Year Plan'!$L7:$BK7,($B$2-1)*13+I$5)=1,1,""))</f>
        <v>1</v>
      </c>
      <c r="J7" s="32" t="n">
        <f aca="false">IF($A7="","",IF(INDEX('Year Plan'!$L7:$BK7,($B$2-1)*13+J$5)=1,1,""))</f>
        <v>1</v>
      </c>
      <c r="K7" s="32" t="n">
        <f aca="false">IF($A7="","",IF(INDEX('Year Plan'!$L7:$BK7,($B$2-1)*13+K$5)=1,1,""))</f>
        <v>1</v>
      </c>
      <c r="L7" s="32" t="n">
        <f aca="false">IF($A7="","",IF(INDEX('Year Plan'!$L7:$BK7,($B$2-1)*13+L$5)=1,1,""))</f>
        <v>1</v>
      </c>
      <c r="M7" s="32" t="n">
        <f aca="false">IF($A7="","",IF(INDEX('Year Plan'!$L7:$BK7,($B$2-1)*13+M$5)=1,1,""))</f>
        <v>1</v>
      </c>
      <c r="N7" s="32" t="n">
        <f aca="false">IF($A7="","",IF(INDEX('Year Plan'!$L7:$BK7,($B$2-1)*13+N$5)=1,1,""))</f>
        <v>1</v>
      </c>
      <c r="O7" s="32" t="n">
        <f aca="false">IF($A7="","",IF(INDEX('Year Plan'!$L7:$BK7,($B$2-1)*13+O$5)=1,1,""))</f>
        <v>1</v>
      </c>
      <c r="P7" s="32" t="n">
        <f aca="false">IF($A7="","",IF(INDEX('Year Plan'!$L7:$BK7,($B$2-1)*13+P$5)=1,1,""))</f>
        <v>1</v>
      </c>
      <c r="Q7" s="32" t="n">
        <f aca="false">IF($A7="","",IF(INDEX('Year Plan'!$L7:$BK7,($B$2-1)*13+Q$5)=1,1,""))</f>
        <v>1</v>
      </c>
      <c r="R7" s="32" t="n">
        <f aca="false">IF($A7="","",IF(INDEX('Year Plan'!$L7:$BK7,($B$2-1)*13+R$5)=1,1,""))</f>
        <v>1</v>
      </c>
      <c r="S7" s="32" t="n">
        <f aca="false">IF($A7="","",IF(INDEX('Year Plan'!$L7:$BK7,($B$2-1)*13+S$5)=1,1,""))</f>
        <v>1</v>
      </c>
      <c r="T7" s="32" t="n">
        <f aca="false">IF($A7="","",IF(INDEX('Year Plan'!$L7:$BK7,($B$2-1)*13+T$5)=1,1,""))</f>
        <v>1</v>
      </c>
    </row>
    <row r="8" customFormat="false" ht="21.75" hidden="false" customHeight="true" outlineLevel="0" collapsed="false">
      <c r="A8" s="38" t="str">
        <f aca="false">IF('Year Plan'!$B8="","",'Year Plan'!$B8)</f>
        <v>RepApp backend API hardening</v>
      </c>
      <c r="B8" s="39" t="str">
        <f aca="false">IF('Year Plan'!$B8="","",'Year Plan'!$D8)</f>
        <v>Marcus Bell</v>
      </c>
      <c r="C8" s="38" t="str">
        <f aca="false">IF('Year Plan'!$B8="","",'Year Plan'!$E8)</f>
        <v>Marcus Bell, Ravi Menon</v>
      </c>
      <c r="D8" s="39" t="str">
        <f aca="false">IF('Year Plan'!$B8="","",'Year Plan'!$G8)</f>
        <v>On track</v>
      </c>
      <c r="E8" s="40" t="n">
        <f aca="false">IF('Year Plan'!$B8="","",'Year Plan'!$H8)</f>
        <v>46272</v>
      </c>
      <c r="F8" s="40" t="n">
        <f aca="false">IF('Year Plan'!$B8="","",'Year Plan'!$I8)</f>
        <v>46360</v>
      </c>
      <c r="G8" s="41" t="n">
        <f aca="false">IF('Year Plan'!$B8="","",'Year Plan'!$J8)</f>
        <v>0.6</v>
      </c>
      <c r="H8" s="32" t="n">
        <f aca="false">IF($A8="","",IF(INDEX('Year Plan'!$L8:$BK8,($B$2-1)*13+H$5)=1,1,""))</f>
        <v>1</v>
      </c>
      <c r="I8" s="32" t="n">
        <f aca="false">IF($A8="","",IF(INDEX('Year Plan'!$L8:$BK8,($B$2-1)*13+I$5)=1,1,""))</f>
        <v>1</v>
      </c>
      <c r="J8" s="32" t="n">
        <f aca="false">IF($A8="","",IF(INDEX('Year Plan'!$L8:$BK8,($B$2-1)*13+J$5)=1,1,""))</f>
        <v>1</v>
      </c>
      <c r="K8" s="32" t="n">
        <f aca="false">IF($A8="","",IF(INDEX('Year Plan'!$L8:$BK8,($B$2-1)*13+K$5)=1,1,""))</f>
        <v>1</v>
      </c>
      <c r="L8" s="32" t="n">
        <f aca="false">IF($A8="","",IF(INDEX('Year Plan'!$L8:$BK8,($B$2-1)*13+L$5)=1,1,""))</f>
        <v>1</v>
      </c>
      <c r="M8" s="32" t="n">
        <f aca="false">IF($A8="","",IF(INDEX('Year Plan'!$L8:$BK8,($B$2-1)*13+M$5)=1,1,""))</f>
        <v>1</v>
      </c>
      <c r="N8" s="32" t="n">
        <f aca="false">IF($A8="","",IF(INDEX('Year Plan'!$L8:$BK8,($B$2-1)*13+N$5)=1,1,""))</f>
        <v>1</v>
      </c>
      <c r="O8" s="32" t="n">
        <f aca="false">IF($A8="","",IF(INDEX('Year Plan'!$L8:$BK8,($B$2-1)*13+O$5)=1,1,""))</f>
        <v>1</v>
      </c>
      <c r="P8" s="32" t="n">
        <f aca="false">IF($A8="","",IF(INDEX('Year Plan'!$L8:$BK8,($B$2-1)*13+P$5)=1,1,""))</f>
        <v>1</v>
      </c>
      <c r="Q8" s="32" t="n">
        <f aca="false">IF($A8="","",IF(INDEX('Year Plan'!$L8:$BK8,($B$2-1)*13+Q$5)=1,1,""))</f>
        <v>1</v>
      </c>
      <c r="R8" s="32" t="n">
        <f aca="false">IF($A8="","",IF(INDEX('Year Plan'!$L8:$BK8,($B$2-1)*13+R$5)=1,1,""))</f>
        <v>1</v>
      </c>
      <c r="S8" s="32" t="n">
        <f aca="false">IF($A8="","",IF(INDEX('Year Plan'!$L8:$BK8,($B$2-1)*13+S$5)=1,1,""))</f>
        <v>1</v>
      </c>
      <c r="T8" s="32" t="n">
        <f aca="false">IF($A8="","",IF(INDEX('Year Plan'!$L8:$BK8,($B$2-1)*13+T$5)=1,1,""))</f>
        <v>1</v>
      </c>
    </row>
    <row r="9" customFormat="false" ht="21.75" hidden="false" customHeight="true" outlineLevel="0" collapsed="false">
      <c r="A9" s="38" t="str">
        <f aca="false">IF('Year Plan'!$B9="","",'Year Plan'!$B9)</f>
        <v>Application portfolio dashboard</v>
      </c>
      <c r="B9" s="39" t="str">
        <f aca="false">IF('Year Plan'!$B9="","",'Year Plan'!$D9)</f>
        <v>Dana Okafor</v>
      </c>
      <c r="C9" s="38" t="str">
        <f aca="false">IF('Year Plan'!$B9="","",'Year Plan'!$E9)</f>
        <v>Dana Okafor, Ellen Vargas</v>
      </c>
      <c r="D9" s="39" t="str">
        <f aca="false">IF('Year Plan'!$B9="","",'Year Plan'!$G9)</f>
        <v>On track</v>
      </c>
      <c r="E9" s="40" t="n">
        <f aca="false">IF('Year Plan'!$B9="","",'Year Plan'!$H9)</f>
        <v>46286</v>
      </c>
      <c r="F9" s="40" t="n">
        <f aca="false">IF('Year Plan'!$B9="","",'Year Plan'!$I9)</f>
        <v>46346</v>
      </c>
      <c r="G9" s="41" t="n">
        <f aca="false">IF('Year Plan'!$B9="","",'Year Plan'!$J9)</f>
        <v>0.7</v>
      </c>
      <c r="H9" s="32" t="str">
        <f aca="false">IF($A9="","",IF(INDEX('Year Plan'!$L9:$BK9,($B$2-1)*13+H$5)=1,1,""))</f>
        <v/>
      </c>
      <c r="I9" s="32" t="str">
        <f aca="false">IF($A9="","",IF(INDEX('Year Plan'!$L9:$BK9,($B$2-1)*13+I$5)=1,1,""))</f>
        <v/>
      </c>
      <c r="J9" s="32" t="n">
        <f aca="false">IF($A9="","",IF(INDEX('Year Plan'!$L9:$BK9,($B$2-1)*13+J$5)=1,1,""))</f>
        <v>1</v>
      </c>
      <c r="K9" s="32" t="n">
        <f aca="false">IF($A9="","",IF(INDEX('Year Plan'!$L9:$BK9,($B$2-1)*13+K$5)=1,1,""))</f>
        <v>1</v>
      </c>
      <c r="L9" s="32" t="n">
        <f aca="false">IF($A9="","",IF(INDEX('Year Plan'!$L9:$BK9,($B$2-1)*13+L$5)=1,1,""))</f>
        <v>1</v>
      </c>
      <c r="M9" s="32" t="n">
        <f aca="false">IF($A9="","",IF(INDEX('Year Plan'!$L9:$BK9,($B$2-1)*13+M$5)=1,1,""))</f>
        <v>1</v>
      </c>
      <c r="N9" s="32" t="n">
        <f aca="false">IF($A9="","",IF(INDEX('Year Plan'!$L9:$BK9,($B$2-1)*13+N$5)=1,1,""))</f>
        <v>1</v>
      </c>
      <c r="O9" s="32" t="n">
        <f aca="false">IF($A9="","",IF(INDEX('Year Plan'!$L9:$BK9,($B$2-1)*13+O$5)=1,1,""))</f>
        <v>1</v>
      </c>
      <c r="P9" s="32" t="n">
        <f aca="false">IF($A9="","",IF(INDEX('Year Plan'!$L9:$BK9,($B$2-1)*13+P$5)=1,1,""))</f>
        <v>1</v>
      </c>
      <c r="Q9" s="32" t="n">
        <f aca="false">IF($A9="","",IF(INDEX('Year Plan'!$L9:$BK9,($B$2-1)*13+Q$5)=1,1,""))</f>
        <v>1</v>
      </c>
      <c r="R9" s="32" t="n">
        <f aca="false">IF($A9="","",IF(INDEX('Year Plan'!$L9:$BK9,($B$2-1)*13+R$5)=1,1,""))</f>
        <v>1</v>
      </c>
      <c r="S9" s="32" t="str">
        <f aca="false">IF($A9="","",IF(INDEX('Year Plan'!$L9:$BK9,($B$2-1)*13+S$5)=1,1,""))</f>
        <v/>
      </c>
      <c r="T9" s="32" t="str">
        <f aca="false">IF($A9="","",IF(INDEX('Year Plan'!$L9:$BK9,($B$2-1)*13+T$5)=1,1,""))</f>
        <v/>
      </c>
    </row>
    <row r="10" customFormat="false" ht="21.75" hidden="false" customHeight="true" outlineLevel="0" collapsed="false">
      <c r="A10" s="38" t="str">
        <f aca="false">IF('Year Plan'!$B10="","",'Year Plan'!$B10)</f>
        <v>Rep chat assistant - discovery</v>
      </c>
      <c r="B10" s="39" t="str">
        <f aca="false">IF('Year Plan'!$B10="","",'Year Plan'!$D10)</f>
        <v>Grace Lin</v>
      </c>
      <c r="C10" s="38" t="str">
        <f aca="false">IF('Year Plan'!$B10="","",'Year Plan'!$E10)</f>
        <v>Grace Lin, Omar Haddad</v>
      </c>
      <c r="D10" s="39" t="str">
        <f aca="false">IF('Year Plan'!$B10="","",'Year Plan'!$G10)</f>
        <v>Not started</v>
      </c>
      <c r="E10" s="40" t="n">
        <f aca="false">IF('Year Plan'!$B10="","",'Year Plan'!$H10)</f>
        <v>46370</v>
      </c>
      <c r="F10" s="40" t="n">
        <f aca="false">IF('Year Plan'!$B10="","",'Year Plan'!$I10)</f>
        <v>46486</v>
      </c>
      <c r="G10" s="41" t="n">
        <f aca="false">IF('Year Plan'!$B10="","",'Year Plan'!$J10)</f>
        <v>0</v>
      </c>
      <c r="H10" s="32" t="str">
        <f aca="false">IF($A10="","",IF(INDEX('Year Plan'!$L10:$BK10,($B$2-1)*13+H$5)=1,1,""))</f>
        <v/>
      </c>
      <c r="I10" s="32" t="str">
        <f aca="false">IF($A10="","",IF(INDEX('Year Plan'!$L10:$BK10,($B$2-1)*13+I$5)=1,1,""))</f>
        <v/>
      </c>
      <c r="J10" s="32" t="str">
        <f aca="false">IF($A10="","",IF(INDEX('Year Plan'!$L10:$BK10,($B$2-1)*13+J$5)=1,1,""))</f>
        <v/>
      </c>
      <c r="K10" s="32" t="str">
        <f aca="false">IF($A10="","",IF(INDEX('Year Plan'!$L10:$BK10,($B$2-1)*13+K$5)=1,1,""))</f>
        <v/>
      </c>
      <c r="L10" s="32" t="str">
        <f aca="false">IF($A10="","",IF(INDEX('Year Plan'!$L10:$BK10,($B$2-1)*13+L$5)=1,1,""))</f>
        <v/>
      </c>
      <c r="M10" s="32" t="str">
        <f aca="false">IF($A10="","",IF(INDEX('Year Plan'!$L10:$BK10,($B$2-1)*13+M$5)=1,1,""))</f>
        <v/>
      </c>
      <c r="N10" s="32" t="str">
        <f aca="false">IF($A10="","",IF(INDEX('Year Plan'!$L10:$BK10,($B$2-1)*13+N$5)=1,1,""))</f>
        <v/>
      </c>
      <c r="O10" s="32" t="str">
        <f aca="false">IF($A10="","",IF(INDEX('Year Plan'!$L10:$BK10,($B$2-1)*13+O$5)=1,1,""))</f>
        <v/>
      </c>
      <c r="P10" s="32" t="str">
        <f aca="false">IF($A10="","",IF(INDEX('Year Plan'!$L10:$BK10,($B$2-1)*13+P$5)=1,1,""))</f>
        <v/>
      </c>
      <c r="Q10" s="32" t="str">
        <f aca="false">IF($A10="","",IF(INDEX('Year Plan'!$L10:$BK10,($B$2-1)*13+Q$5)=1,1,""))</f>
        <v/>
      </c>
      <c r="R10" s="32" t="str">
        <f aca="false">IF($A10="","",IF(INDEX('Year Plan'!$L10:$BK10,($B$2-1)*13+R$5)=1,1,""))</f>
        <v/>
      </c>
      <c r="S10" s="32" t="str">
        <f aca="false">IF($A10="","",IF(INDEX('Year Plan'!$L10:$BK10,($B$2-1)*13+S$5)=1,1,""))</f>
        <v/>
      </c>
      <c r="T10" s="32" t="str">
        <f aca="false">IF($A10="","",IF(INDEX('Year Plan'!$L10:$BK10,($B$2-1)*13+T$5)=1,1,""))</f>
        <v/>
      </c>
    </row>
    <row r="11" customFormat="false" ht="21.75" hidden="false" customHeight="true" outlineLevel="0" collapsed="false">
      <c r="A11" s="38" t="str">
        <f aca="false">IF('Year Plan'!$B11="","",'Year Plan'!$B11)</f>
        <v>Quality gate remediation</v>
      </c>
      <c r="B11" s="39" t="str">
        <f aca="false">IF('Year Plan'!$B11="","",'Year Plan'!$D11)</f>
        <v>Tom Whitfield</v>
      </c>
      <c r="C11" s="38" t="str">
        <f aca="false">IF('Year Plan'!$B11="","",'Year Plan'!$E11)</f>
        <v>Tom Whitfield, Ravi Menon</v>
      </c>
      <c r="D11" s="39" t="str">
        <f aca="false">IF('Year Plan'!$B11="","",'Year Plan'!$G11)</f>
        <v>On track</v>
      </c>
      <c r="E11" s="40" t="n">
        <f aca="false">IF('Year Plan'!$B11="","",'Year Plan'!$H11)</f>
        <v>46272</v>
      </c>
      <c r="F11" s="40" t="n">
        <f aca="false">IF('Year Plan'!$B11="","",'Year Plan'!$I11)</f>
        <v>46416</v>
      </c>
      <c r="G11" s="41" t="n">
        <f aca="false">IF('Year Plan'!$B11="","",'Year Plan'!$J11)</f>
        <v>0.3</v>
      </c>
      <c r="H11" s="32" t="n">
        <f aca="false">IF($A11="","",IF(INDEX('Year Plan'!$L11:$BK11,($B$2-1)*13+H$5)=1,1,""))</f>
        <v>1</v>
      </c>
      <c r="I11" s="32" t="n">
        <f aca="false">IF($A11="","",IF(INDEX('Year Plan'!$L11:$BK11,($B$2-1)*13+I$5)=1,1,""))</f>
        <v>1</v>
      </c>
      <c r="J11" s="32" t="n">
        <f aca="false">IF($A11="","",IF(INDEX('Year Plan'!$L11:$BK11,($B$2-1)*13+J$5)=1,1,""))</f>
        <v>1</v>
      </c>
      <c r="K11" s="32" t="n">
        <f aca="false">IF($A11="","",IF(INDEX('Year Plan'!$L11:$BK11,($B$2-1)*13+K$5)=1,1,""))</f>
        <v>1</v>
      </c>
      <c r="L11" s="32" t="n">
        <f aca="false">IF($A11="","",IF(INDEX('Year Plan'!$L11:$BK11,($B$2-1)*13+L$5)=1,1,""))</f>
        <v>1</v>
      </c>
      <c r="M11" s="32" t="n">
        <f aca="false">IF($A11="","",IF(INDEX('Year Plan'!$L11:$BK11,($B$2-1)*13+M$5)=1,1,""))</f>
        <v>1</v>
      </c>
      <c r="N11" s="32" t="n">
        <f aca="false">IF($A11="","",IF(INDEX('Year Plan'!$L11:$BK11,($B$2-1)*13+N$5)=1,1,""))</f>
        <v>1</v>
      </c>
      <c r="O11" s="32" t="n">
        <f aca="false">IF($A11="","",IF(INDEX('Year Plan'!$L11:$BK11,($B$2-1)*13+O$5)=1,1,""))</f>
        <v>1</v>
      </c>
      <c r="P11" s="32" t="n">
        <f aca="false">IF($A11="","",IF(INDEX('Year Plan'!$L11:$BK11,($B$2-1)*13+P$5)=1,1,""))</f>
        <v>1</v>
      </c>
      <c r="Q11" s="32" t="n">
        <f aca="false">IF($A11="","",IF(INDEX('Year Plan'!$L11:$BK11,($B$2-1)*13+Q$5)=1,1,""))</f>
        <v>1</v>
      </c>
      <c r="R11" s="32" t="n">
        <f aca="false">IF($A11="","",IF(INDEX('Year Plan'!$L11:$BK11,($B$2-1)*13+R$5)=1,1,""))</f>
        <v>1</v>
      </c>
      <c r="S11" s="32" t="n">
        <f aca="false">IF($A11="","",IF(INDEX('Year Plan'!$L11:$BK11,($B$2-1)*13+S$5)=1,1,""))</f>
        <v>1</v>
      </c>
      <c r="T11" s="32" t="n">
        <f aca="false">IF($A11="","",IF(INDEX('Year Plan'!$L11:$BK11,($B$2-1)*13+T$5)=1,1,""))</f>
        <v>1</v>
      </c>
    </row>
    <row r="12" customFormat="false" ht="21.75" hidden="false" customHeight="true" outlineLevel="0" collapsed="false">
      <c r="A12" s="38" t="str">
        <f aca="false">IF('Year Plan'!$B12="","",'Year Plan'!$B12)</f>
        <v>Sample row - delete me</v>
      </c>
      <c r="B12" s="39" t="str">
        <f aca="false">IF('Year Plan'!$B12="","",'Year Plan'!$D12)</f>
        <v>Ellen Vargas</v>
      </c>
      <c r="C12" s="38" t="str">
        <f aca="false">IF('Year Plan'!$B12="","",'Year Plan'!$E12)</f>
        <v>Ellen Vargas, Omar Haddad</v>
      </c>
      <c r="D12" s="39" t="str">
        <f aca="false">IF('Year Plan'!$B12="","",'Year Plan'!$G12)</f>
        <v>Complete</v>
      </c>
      <c r="E12" s="40" t="n">
        <f aca="false">IF('Year Plan'!$B12="","",'Year Plan'!$H12)</f>
        <v>46272</v>
      </c>
      <c r="F12" s="40" t="n">
        <f aca="false">IF('Year Plan'!$B12="","",'Year Plan'!$I12)</f>
        <v>46318</v>
      </c>
      <c r="G12" s="41" t="n">
        <f aca="false">IF('Year Plan'!$B12="","",'Year Plan'!$J12)</f>
        <v>1</v>
      </c>
      <c r="H12" s="32" t="n">
        <f aca="false">IF($A12="","",IF(INDEX('Year Plan'!$L12:$BK12,($B$2-1)*13+H$5)=1,1,""))</f>
        <v>1</v>
      </c>
      <c r="I12" s="32" t="n">
        <f aca="false">IF($A12="","",IF(INDEX('Year Plan'!$L12:$BK12,($B$2-1)*13+I$5)=1,1,""))</f>
        <v>1</v>
      </c>
      <c r="J12" s="32" t="n">
        <f aca="false">IF($A12="","",IF(INDEX('Year Plan'!$L12:$BK12,($B$2-1)*13+J$5)=1,1,""))</f>
        <v>1</v>
      </c>
      <c r="K12" s="32" t="n">
        <f aca="false">IF($A12="","",IF(INDEX('Year Plan'!$L12:$BK12,($B$2-1)*13+K$5)=1,1,""))</f>
        <v>1</v>
      </c>
      <c r="L12" s="32" t="n">
        <f aca="false">IF($A12="","",IF(INDEX('Year Plan'!$L12:$BK12,($B$2-1)*13+L$5)=1,1,""))</f>
        <v>1</v>
      </c>
      <c r="M12" s="32" t="n">
        <f aca="false">IF($A12="","",IF(INDEX('Year Plan'!$L12:$BK12,($B$2-1)*13+M$5)=1,1,""))</f>
        <v>1</v>
      </c>
      <c r="N12" s="32" t="n">
        <f aca="false">IF($A12="","",IF(INDEX('Year Plan'!$L12:$BK12,($B$2-1)*13+N$5)=1,1,""))</f>
        <v>1</v>
      </c>
      <c r="O12" s="32" t="str">
        <f aca="false">IF($A12="","",IF(INDEX('Year Plan'!$L12:$BK12,($B$2-1)*13+O$5)=1,1,""))</f>
        <v/>
      </c>
      <c r="P12" s="32" t="str">
        <f aca="false">IF($A12="","",IF(INDEX('Year Plan'!$L12:$BK12,($B$2-1)*13+P$5)=1,1,""))</f>
        <v/>
      </c>
      <c r="Q12" s="32" t="str">
        <f aca="false">IF($A12="","",IF(INDEX('Year Plan'!$L12:$BK12,($B$2-1)*13+Q$5)=1,1,""))</f>
        <v/>
      </c>
      <c r="R12" s="32" t="str">
        <f aca="false">IF($A12="","",IF(INDEX('Year Plan'!$L12:$BK12,($B$2-1)*13+R$5)=1,1,""))</f>
        <v/>
      </c>
      <c r="S12" s="32" t="str">
        <f aca="false">IF($A12="","",IF(INDEX('Year Plan'!$L12:$BK12,($B$2-1)*13+S$5)=1,1,""))</f>
        <v/>
      </c>
      <c r="T12" s="32" t="str">
        <f aca="false">IF($A12="","",IF(INDEX('Year Plan'!$L12:$BK12,($B$2-1)*13+T$5)=1,1,""))</f>
        <v/>
      </c>
    </row>
    <row r="13" customFormat="false" ht="21.75" hidden="false" customHeight="true" outlineLevel="0" collapsed="false">
      <c r="A13" s="38" t="str">
        <f aca="false">IF('Year Plan'!$B13="","",'Year Plan'!$B13)</f>
        <v/>
      </c>
      <c r="B13" s="39" t="str">
        <f aca="false">IF('Year Plan'!$B13="","",'Year Plan'!$D13)</f>
        <v/>
      </c>
      <c r="C13" s="38" t="str">
        <f aca="false">IF('Year Plan'!$B13="","",'Year Plan'!$E13)</f>
        <v/>
      </c>
      <c r="D13" s="39" t="str">
        <f aca="false">IF('Year Plan'!$B13="","",'Year Plan'!$G13)</f>
        <v/>
      </c>
      <c r="E13" s="40" t="str">
        <f aca="false">IF('Year Plan'!$B13="","",'Year Plan'!$H13)</f>
        <v/>
      </c>
      <c r="F13" s="40" t="str">
        <f aca="false">IF('Year Plan'!$B13="","",'Year Plan'!$I13)</f>
        <v/>
      </c>
      <c r="G13" s="41" t="str">
        <f aca="false">IF('Year Plan'!$B13="","",'Year Plan'!$J13)</f>
        <v/>
      </c>
      <c r="H13" s="32" t="str">
        <f aca="false">IF($A13="","",IF(INDEX('Year Plan'!$L13:$BK13,($B$2-1)*13+H$5)=1,1,""))</f>
        <v/>
      </c>
      <c r="I13" s="32" t="str">
        <f aca="false">IF($A13="","",IF(INDEX('Year Plan'!$L13:$BK13,($B$2-1)*13+I$5)=1,1,""))</f>
        <v/>
      </c>
      <c r="J13" s="32" t="str">
        <f aca="false">IF($A13="","",IF(INDEX('Year Plan'!$L13:$BK13,($B$2-1)*13+J$5)=1,1,""))</f>
        <v/>
      </c>
      <c r="K13" s="32" t="str">
        <f aca="false">IF($A13="","",IF(INDEX('Year Plan'!$L13:$BK13,($B$2-1)*13+K$5)=1,1,""))</f>
        <v/>
      </c>
      <c r="L13" s="32" t="str">
        <f aca="false">IF($A13="","",IF(INDEX('Year Plan'!$L13:$BK13,($B$2-1)*13+L$5)=1,1,""))</f>
        <v/>
      </c>
      <c r="M13" s="32" t="str">
        <f aca="false">IF($A13="","",IF(INDEX('Year Plan'!$L13:$BK13,($B$2-1)*13+M$5)=1,1,""))</f>
        <v/>
      </c>
      <c r="N13" s="32" t="str">
        <f aca="false">IF($A13="","",IF(INDEX('Year Plan'!$L13:$BK13,($B$2-1)*13+N$5)=1,1,""))</f>
        <v/>
      </c>
      <c r="O13" s="32" t="str">
        <f aca="false">IF($A13="","",IF(INDEX('Year Plan'!$L13:$BK13,($B$2-1)*13+O$5)=1,1,""))</f>
        <v/>
      </c>
      <c r="P13" s="32" t="str">
        <f aca="false">IF($A13="","",IF(INDEX('Year Plan'!$L13:$BK13,($B$2-1)*13+P$5)=1,1,""))</f>
        <v/>
      </c>
      <c r="Q13" s="32" t="str">
        <f aca="false">IF($A13="","",IF(INDEX('Year Plan'!$L13:$BK13,($B$2-1)*13+Q$5)=1,1,""))</f>
        <v/>
      </c>
      <c r="R13" s="32" t="str">
        <f aca="false">IF($A13="","",IF(INDEX('Year Plan'!$L13:$BK13,($B$2-1)*13+R$5)=1,1,""))</f>
        <v/>
      </c>
      <c r="S13" s="32" t="str">
        <f aca="false">IF($A13="","",IF(INDEX('Year Plan'!$L13:$BK13,($B$2-1)*13+S$5)=1,1,""))</f>
        <v/>
      </c>
      <c r="T13" s="32" t="str">
        <f aca="false">IF($A13="","",IF(INDEX('Year Plan'!$L13:$BK13,($B$2-1)*13+T$5)=1,1,""))</f>
        <v/>
      </c>
    </row>
    <row r="14" customFormat="false" ht="21.75" hidden="false" customHeight="true" outlineLevel="0" collapsed="false">
      <c r="A14" s="38" t="str">
        <f aca="false">IF('Year Plan'!$B14="","",'Year Plan'!$B14)</f>
        <v/>
      </c>
      <c r="B14" s="39" t="str">
        <f aca="false">IF('Year Plan'!$B14="","",'Year Plan'!$D14)</f>
        <v/>
      </c>
      <c r="C14" s="38" t="str">
        <f aca="false">IF('Year Plan'!$B14="","",'Year Plan'!$E14)</f>
        <v/>
      </c>
      <c r="D14" s="39" t="str">
        <f aca="false">IF('Year Plan'!$B14="","",'Year Plan'!$G14)</f>
        <v/>
      </c>
      <c r="E14" s="40" t="str">
        <f aca="false">IF('Year Plan'!$B14="","",'Year Plan'!$H14)</f>
        <v/>
      </c>
      <c r="F14" s="40" t="str">
        <f aca="false">IF('Year Plan'!$B14="","",'Year Plan'!$I14)</f>
        <v/>
      </c>
      <c r="G14" s="41" t="str">
        <f aca="false">IF('Year Plan'!$B14="","",'Year Plan'!$J14)</f>
        <v/>
      </c>
      <c r="H14" s="32" t="str">
        <f aca="false">IF($A14="","",IF(INDEX('Year Plan'!$L14:$BK14,($B$2-1)*13+H$5)=1,1,""))</f>
        <v/>
      </c>
      <c r="I14" s="32" t="str">
        <f aca="false">IF($A14="","",IF(INDEX('Year Plan'!$L14:$BK14,($B$2-1)*13+I$5)=1,1,""))</f>
        <v/>
      </c>
      <c r="J14" s="32" t="str">
        <f aca="false">IF($A14="","",IF(INDEX('Year Plan'!$L14:$BK14,($B$2-1)*13+J$5)=1,1,""))</f>
        <v/>
      </c>
      <c r="K14" s="32" t="str">
        <f aca="false">IF($A14="","",IF(INDEX('Year Plan'!$L14:$BK14,($B$2-1)*13+K$5)=1,1,""))</f>
        <v/>
      </c>
      <c r="L14" s="32" t="str">
        <f aca="false">IF($A14="","",IF(INDEX('Year Plan'!$L14:$BK14,($B$2-1)*13+L$5)=1,1,""))</f>
        <v/>
      </c>
      <c r="M14" s="32" t="str">
        <f aca="false">IF($A14="","",IF(INDEX('Year Plan'!$L14:$BK14,($B$2-1)*13+M$5)=1,1,""))</f>
        <v/>
      </c>
      <c r="N14" s="32" t="str">
        <f aca="false">IF($A14="","",IF(INDEX('Year Plan'!$L14:$BK14,($B$2-1)*13+N$5)=1,1,""))</f>
        <v/>
      </c>
      <c r="O14" s="32" t="str">
        <f aca="false">IF($A14="","",IF(INDEX('Year Plan'!$L14:$BK14,($B$2-1)*13+O$5)=1,1,""))</f>
        <v/>
      </c>
      <c r="P14" s="32" t="str">
        <f aca="false">IF($A14="","",IF(INDEX('Year Plan'!$L14:$BK14,($B$2-1)*13+P$5)=1,1,""))</f>
        <v/>
      </c>
      <c r="Q14" s="32" t="str">
        <f aca="false">IF($A14="","",IF(INDEX('Year Plan'!$L14:$BK14,($B$2-1)*13+Q$5)=1,1,""))</f>
        <v/>
      </c>
      <c r="R14" s="32" t="str">
        <f aca="false">IF($A14="","",IF(INDEX('Year Plan'!$L14:$BK14,($B$2-1)*13+R$5)=1,1,""))</f>
        <v/>
      </c>
      <c r="S14" s="32" t="str">
        <f aca="false">IF($A14="","",IF(INDEX('Year Plan'!$L14:$BK14,($B$2-1)*13+S$5)=1,1,""))</f>
        <v/>
      </c>
      <c r="T14" s="32" t="str">
        <f aca="false">IF($A14="","",IF(INDEX('Year Plan'!$L14:$BK14,($B$2-1)*13+T$5)=1,1,""))</f>
        <v/>
      </c>
    </row>
    <row r="15" customFormat="false" ht="21.75" hidden="false" customHeight="true" outlineLevel="0" collapsed="false">
      <c r="A15" s="38" t="str">
        <f aca="false">IF('Year Plan'!$B15="","",'Year Plan'!$B15)</f>
        <v/>
      </c>
      <c r="B15" s="39" t="str">
        <f aca="false">IF('Year Plan'!$B15="","",'Year Plan'!$D15)</f>
        <v/>
      </c>
      <c r="C15" s="38" t="str">
        <f aca="false">IF('Year Plan'!$B15="","",'Year Plan'!$E15)</f>
        <v/>
      </c>
      <c r="D15" s="39" t="str">
        <f aca="false">IF('Year Plan'!$B15="","",'Year Plan'!$G15)</f>
        <v/>
      </c>
      <c r="E15" s="40" t="str">
        <f aca="false">IF('Year Plan'!$B15="","",'Year Plan'!$H15)</f>
        <v/>
      </c>
      <c r="F15" s="40" t="str">
        <f aca="false">IF('Year Plan'!$B15="","",'Year Plan'!$I15)</f>
        <v/>
      </c>
      <c r="G15" s="41" t="str">
        <f aca="false">IF('Year Plan'!$B15="","",'Year Plan'!$J15)</f>
        <v/>
      </c>
      <c r="H15" s="32" t="str">
        <f aca="false">IF($A15="","",IF(INDEX('Year Plan'!$L15:$BK15,($B$2-1)*13+H$5)=1,1,""))</f>
        <v/>
      </c>
      <c r="I15" s="32" t="str">
        <f aca="false">IF($A15="","",IF(INDEX('Year Plan'!$L15:$BK15,($B$2-1)*13+I$5)=1,1,""))</f>
        <v/>
      </c>
      <c r="J15" s="32" t="str">
        <f aca="false">IF($A15="","",IF(INDEX('Year Plan'!$L15:$BK15,($B$2-1)*13+J$5)=1,1,""))</f>
        <v/>
      </c>
      <c r="K15" s="32" t="str">
        <f aca="false">IF($A15="","",IF(INDEX('Year Plan'!$L15:$BK15,($B$2-1)*13+K$5)=1,1,""))</f>
        <v/>
      </c>
      <c r="L15" s="32" t="str">
        <f aca="false">IF($A15="","",IF(INDEX('Year Plan'!$L15:$BK15,($B$2-1)*13+L$5)=1,1,""))</f>
        <v/>
      </c>
      <c r="M15" s="32" t="str">
        <f aca="false">IF($A15="","",IF(INDEX('Year Plan'!$L15:$BK15,($B$2-1)*13+M$5)=1,1,""))</f>
        <v/>
      </c>
      <c r="N15" s="32" t="str">
        <f aca="false">IF($A15="","",IF(INDEX('Year Plan'!$L15:$BK15,($B$2-1)*13+N$5)=1,1,""))</f>
        <v/>
      </c>
      <c r="O15" s="32" t="str">
        <f aca="false">IF($A15="","",IF(INDEX('Year Plan'!$L15:$BK15,($B$2-1)*13+O$5)=1,1,""))</f>
        <v/>
      </c>
      <c r="P15" s="32" t="str">
        <f aca="false">IF($A15="","",IF(INDEX('Year Plan'!$L15:$BK15,($B$2-1)*13+P$5)=1,1,""))</f>
        <v/>
      </c>
      <c r="Q15" s="32" t="str">
        <f aca="false">IF($A15="","",IF(INDEX('Year Plan'!$L15:$BK15,($B$2-1)*13+Q$5)=1,1,""))</f>
        <v/>
      </c>
      <c r="R15" s="32" t="str">
        <f aca="false">IF($A15="","",IF(INDEX('Year Plan'!$L15:$BK15,($B$2-1)*13+R$5)=1,1,""))</f>
        <v/>
      </c>
      <c r="S15" s="32" t="str">
        <f aca="false">IF($A15="","",IF(INDEX('Year Plan'!$L15:$BK15,($B$2-1)*13+S$5)=1,1,""))</f>
        <v/>
      </c>
      <c r="T15" s="32" t="str">
        <f aca="false">IF($A15="","",IF(INDEX('Year Plan'!$L15:$BK15,($B$2-1)*13+T$5)=1,1,""))</f>
        <v/>
      </c>
    </row>
    <row r="16" customFormat="false" ht="21.75" hidden="false" customHeight="true" outlineLevel="0" collapsed="false">
      <c r="A16" s="38" t="str">
        <f aca="false">IF('Year Plan'!$B16="","",'Year Plan'!$B16)</f>
        <v/>
      </c>
      <c r="B16" s="39" t="str">
        <f aca="false">IF('Year Plan'!$B16="","",'Year Plan'!$D16)</f>
        <v/>
      </c>
      <c r="C16" s="38" t="str">
        <f aca="false">IF('Year Plan'!$B16="","",'Year Plan'!$E16)</f>
        <v/>
      </c>
      <c r="D16" s="39" t="str">
        <f aca="false">IF('Year Plan'!$B16="","",'Year Plan'!$G16)</f>
        <v/>
      </c>
      <c r="E16" s="40" t="str">
        <f aca="false">IF('Year Plan'!$B16="","",'Year Plan'!$H16)</f>
        <v/>
      </c>
      <c r="F16" s="40" t="str">
        <f aca="false">IF('Year Plan'!$B16="","",'Year Plan'!$I16)</f>
        <v/>
      </c>
      <c r="G16" s="41" t="str">
        <f aca="false">IF('Year Plan'!$B16="","",'Year Plan'!$J16)</f>
        <v/>
      </c>
      <c r="H16" s="32" t="str">
        <f aca="false">IF($A16="","",IF(INDEX('Year Plan'!$L16:$BK16,($B$2-1)*13+H$5)=1,1,""))</f>
        <v/>
      </c>
      <c r="I16" s="32" t="str">
        <f aca="false">IF($A16="","",IF(INDEX('Year Plan'!$L16:$BK16,($B$2-1)*13+I$5)=1,1,""))</f>
        <v/>
      </c>
      <c r="J16" s="32" t="str">
        <f aca="false">IF($A16="","",IF(INDEX('Year Plan'!$L16:$BK16,($B$2-1)*13+J$5)=1,1,""))</f>
        <v/>
      </c>
      <c r="K16" s="32" t="str">
        <f aca="false">IF($A16="","",IF(INDEX('Year Plan'!$L16:$BK16,($B$2-1)*13+K$5)=1,1,""))</f>
        <v/>
      </c>
      <c r="L16" s="32" t="str">
        <f aca="false">IF($A16="","",IF(INDEX('Year Plan'!$L16:$BK16,($B$2-1)*13+L$5)=1,1,""))</f>
        <v/>
      </c>
      <c r="M16" s="32" t="str">
        <f aca="false">IF($A16="","",IF(INDEX('Year Plan'!$L16:$BK16,($B$2-1)*13+M$5)=1,1,""))</f>
        <v/>
      </c>
      <c r="N16" s="32" t="str">
        <f aca="false">IF($A16="","",IF(INDEX('Year Plan'!$L16:$BK16,($B$2-1)*13+N$5)=1,1,""))</f>
        <v/>
      </c>
      <c r="O16" s="32" t="str">
        <f aca="false">IF($A16="","",IF(INDEX('Year Plan'!$L16:$BK16,($B$2-1)*13+O$5)=1,1,""))</f>
        <v/>
      </c>
      <c r="P16" s="32" t="str">
        <f aca="false">IF($A16="","",IF(INDEX('Year Plan'!$L16:$BK16,($B$2-1)*13+P$5)=1,1,""))</f>
        <v/>
      </c>
      <c r="Q16" s="32" t="str">
        <f aca="false">IF($A16="","",IF(INDEX('Year Plan'!$L16:$BK16,($B$2-1)*13+Q$5)=1,1,""))</f>
        <v/>
      </c>
      <c r="R16" s="32" t="str">
        <f aca="false">IF($A16="","",IF(INDEX('Year Plan'!$L16:$BK16,($B$2-1)*13+R$5)=1,1,""))</f>
        <v/>
      </c>
      <c r="S16" s="32" t="str">
        <f aca="false">IF($A16="","",IF(INDEX('Year Plan'!$L16:$BK16,($B$2-1)*13+S$5)=1,1,""))</f>
        <v/>
      </c>
      <c r="T16" s="32" t="str">
        <f aca="false">IF($A16="","",IF(INDEX('Year Plan'!$L16:$BK16,($B$2-1)*13+T$5)=1,1,""))</f>
        <v/>
      </c>
    </row>
    <row r="17" customFormat="false" ht="21.75" hidden="false" customHeight="true" outlineLevel="0" collapsed="false">
      <c r="A17" s="38" t="str">
        <f aca="false">IF('Year Plan'!$B17="","",'Year Plan'!$B17)</f>
        <v/>
      </c>
      <c r="B17" s="39" t="str">
        <f aca="false">IF('Year Plan'!$B17="","",'Year Plan'!$D17)</f>
        <v/>
      </c>
      <c r="C17" s="38" t="str">
        <f aca="false">IF('Year Plan'!$B17="","",'Year Plan'!$E17)</f>
        <v/>
      </c>
      <c r="D17" s="39" t="str">
        <f aca="false">IF('Year Plan'!$B17="","",'Year Plan'!$G17)</f>
        <v/>
      </c>
      <c r="E17" s="40" t="str">
        <f aca="false">IF('Year Plan'!$B17="","",'Year Plan'!$H17)</f>
        <v/>
      </c>
      <c r="F17" s="40" t="str">
        <f aca="false">IF('Year Plan'!$B17="","",'Year Plan'!$I17)</f>
        <v/>
      </c>
      <c r="G17" s="41" t="str">
        <f aca="false">IF('Year Plan'!$B17="","",'Year Plan'!$J17)</f>
        <v/>
      </c>
      <c r="H17" s="32" t="str">
        <f aca="false">IF($A17="","",IF(INDEX('Year Plan'!$L17:$BK17,($B$2-1)*13+H$5)=1,1,""))</f>
        <v/>
      </c>
      <c r="I17" s="32" t="str">
        <f aca="false">IF($A17="","",IF(INDEX('Year Plan'!$L17:$BK17,($B$2-1)*13+I$5)=1,1,""))</f>
        <v/>
      </c>
      <c r="J17" s="32" t="str">
        <f aca="false">IF($A17="","",IF(INDEX('Year Plan'!$L17:$BK17,($B$2-1)*13+J$5)=1,1,""))</f>
        <v/>
      </c>
      <c r="K17" s="32" t="str">
        <f aca="false">IF($A17="","",IF(INDEX('Year Plan'!$L17:$BK17,($B$2-1)*13+K$5)=1,1,""))</f>
        <v/>
      </c>
      <c r="L17" s="32" t="str">
        <f aca="false">IF($A17="","",IF(INDEX('Year Plan'!$L17:$BK17,($B$2-1)*13+L$5)=1,1,""))</f>
        <v/>
      </c>
      <c r="M17" s="32" t="str">
        <f aca="false">IF($A17="","",IF(INDEX('Year Plan'!$L17:$BK17,($B$2-1)*13+M$5)=1,1,""))</f>
        <v/>
      </c>
      <c r="N17" s="32" t="str">
        <f aca="false">IF($A17="","",IF(INDEX('Year Plan'!$L17:$BK17,($B$2-1)*13+N$5)=1,1,""))</f>
        <v/>
      </c>
      <c r="O17" s="32" t="str">
        <f aca="false">IF($A17="","",IF(INDEX('Year Plan'!$L17:$BK17,($B$2-1)*13+O$5)=1,1,""))</f>
        <v/>
      </c>
      <c r="P17" s="32" t="str">
        <f aca="false">IF($A17="","",IF(INDEX('Year Plan'!$L17:$BK17,($B$2-1)*13+P$5)=1,1,""))</f>
        <v/>
      </c>
      <c r="Q17" s="32" t="str">
        <f aca="false">IF($A17="","",IF(INDEX('Year Plan'!$L17:$BK17,($B$2-1)*13+Q$5)=1,1,""))</f>
        <v/>
      </c>
      <c r="R17" s="32" t="str">
        <f aca="false">IF($A17="","",IF(INDEX('Year Plan'!$L17:$BK17,($B$2-1)*13+R$5)=1,1,""))</f>
        <v/>
      </c>
      <c r="S17" s="32" t="str">
        <f aca="false">IF($A17="","",IF(INDEX('Year Plan'!$L17:$BK17,($B$2-1)*13+S$5)=1,1,""))</f>
        <v/>
      </c>
      <c r="T17" s="32" t="str">
        <f aca="false">IF($A17="","",IF(INDEX('Year Plan'!$L17:$BK17,($B$2-1)*13+T$5)=1,1,""))</f>
        <v/>
      </c>
    </row>
    <row r="18" customFormat="false" ht="21.75" hidden="false" customHeight="true" outlineLevel="0" collapsed="false">
      <c r="A18" s="38" t="str">
        <f aca="false">IF('Year Plan'!$B18="","",'Year Plan'!$B18)</f>
        <v/>
      </c>
      <c r="B18" s="39" t="str">
        <f aca="false">IF('Year Plan'!$B18="","",'Year Plan'!$D18)</f>
        <v/>
      </c>
      <c r="C18" s="38" t="str">
        <f aca="false">IF('Year Plan'!$B18="","",'Year Plan'!$E18)</f>
        <v/>
      </c>
      <c r="D18" s="39" t="str">
        <f aca="false">IF('Year Plan'!$B18="","",'Year Plan'!$G18)</f>
        <v/>
      </c>
      <c r="E18" s="40" t="str">
        <f aca="false">IF('Year Plan'!$B18="","",'Year Plan'!$H18)</f>
        <v/>
      </c>
      <c r="F18" s="40" t="str">
        <f aca="false">IF('Year Plan'!$B18="","",'Year Plan'!$I18)</f>
        <v/>
      </c>
      <c r="G18" s="41" t="str">
        <f aca="false">IF('Year Plan'!$B18="","",'Year Plan'!$J18)</f>
        <v/>
      </c>
      <c r="H18" s="32" t="str">
        <f aca="false">IF($A18="","",IF(INDEX('Year Plan'!$L18:$BK18,($B$2-1)*13+H$5)=1,1,""))</f>
        <v/>
      </c>
      <c r="I18" s="32" t="str">
        <f aca="false">IF($A18="","",IF(INDEX('Year Plan'!$L18:$BK18,($B$2-1)*13+I$5)=1,1,""))</f>
        <v/>
      </c>
      <c r="J18" s="32" t="str">
        <f aca="false">IF($A18="","",IF(INDEX('Year Plan'!$L18:$BK18,($B$2-1)*13+J$5)=1,1,""))</f>
        <v/>
      </c>
      <c r="K18" s="32" t="str">
        <f aca="false">IF($A18="","",IF(INDEX('Year Plan'!$L18:$BK18,($B$2-1)*13+K$5)=1,1,""))</f>
        <v/>
      </c>
      <c r="L18" s="32" t="str">
        <f aca="false">IF($A18="","",IF(INDEX('Year Plan'!$L18:$BK18,($B$2-1)*13+L$5)=1,1,""))</f>
        <v/>
      </c>
      <c r="M18" s="32" t="str">
        <f aca="false">IF($A18="","",IF(INDEX('Year Plan'!$L18:$BK18,($B$2-1)*13+M$5)=1,1,""))</f>
        <v/>
      </c>
      <c r="N18" s="32" t="str">
        <f aca="false">IF($A18="","",IF(INDEX('Year Plan'!$L18:$BK18,($B$2-1)*13+N$5)=1,1,""))</f>
        <v/>
      </c>
      <c r="O18" s="32" t="str">
        <f aca="false">IF($A18="","",IF(INDEX('Year Plan'!$L18:$BK18,($B$2-1)*13+O$5)=1,1,""))</f>
        <v/>
      </c>
      <c r="P18" s="32" t="str">
        <f aca="false">IF($A18="","",IF(INDEX('Year Plan'!$L18:$BK18,($B$2-1)*13+P$5)=1,1,""))</f>
        <v/>
      </c>
      <c r="Q18" s="32" t="str">
        <f aca="false">IF($A18="","",IF(INDEX('Year Plan'!$L18:$BK18,($B$2-1)*13+Q$5)=1,1,""))</f>
        <v/>
      </c>
      <c r="R18" s="32" t="str">
        <f aca="false">IF($A18="","",IF(INDEX('Year Plan'!$L18:$BK18,($B$2-1)*13+R$5)=1,1,""))</f>
        <v/>
      </c>
      <c r="S18" s="32" t="str">
        <f aca="false">IF($A18="","",IF(INDEX('Year Plan'!$L18:$BK18,($B$2-1)*13+S$5)=1,1,""))</f>
        <v/>
      </c>
      <c r="T18" s="32" t="str">
        <f aca="false">IF($A18="","",IF(INDEX('Year Plan'!$L18:$BK18,($B$2-1)*13+T$5)=1,1,""))</f>
        <v/>
      </c>
    </row>
    <row r="19" customFormat="false" ht="21.75" hidden="false" customHeight="true" outlineLevel="0" collapsed="false">
      <c r="A19" s="38" t="str">
        <f aca="false">IF('Year Plan'!$B19="","",'Year Plan'!$B19)</f>
        <v/>
      </c>
      <c r="B19" s="39" t="str">
        <f aca="false">IF('Year Plan'!$B19="","",'Year Plan'!$D19)</f>
        <v/>
      </c>
      <c r="C19" s="38" t="str">
        <f aca="false">IF('Year Plan'!$B19="","",'Year Plan'!$E19)</f>
        <v/>
      </c>
      <c r="D19" s="39" t="str">
        <f aca="false">IF('Year Plan'!$B19="","",'Year Plan'!$G19)</f>
        <v/>
      </c>
      <c r="E19" s="40" t="str">
        <f aca="false">IF('Year Plan'!$B19="","",'Year Plan'!$H19)</f>
        <v/>
      </c>
      <c r="F19" s="40" t="str">
        <f aca="false">IF('Year Plan'!$B19="","",'Year Plan'!$I19)</f>
        <v/>
      </c>
      <c r="G19" s="41" t="str">
        <f aca="false">IF('Year Plan'!$B19="","",'Year Plan'!$J19)</f>
        <v/>
      </c>
      <c r="H19" s="32" t="str">
        <f aca="false">IF($A19="","",IF(INDEX('Year Plan'!$L19:$BK19,($B$2-1)*13+H$5)=1,1,""))</f>
        <v/>
      </c>
      <c r="I19" s="32" t="str">
        <f aca="false">IF($A19="","",IF(INDEX('Year Plan'!$L19:$BK19,($B$2-1)*13+I$5)=1,1,""))</f>
        <v/>
      </c>
      <c r="J19" s="32" t="str">
        <f aca="false">IF($A19="","",IF(INDEX('Year Plan'!$L19:$BK19,($B$2-1)*13+J$5)=1,1,""))</f>
        <v/>
      </c>
      <c r="K19" s="32" t="str">
        <f aca="false">IF($A19="","",IF(INDEX('Year Plan'!$L19:$BK19,($B$2-1)*13+K$5)=1,1,""))</f>
        <v/>
      </c>
      <c r="L19" s="32" t="str">
        <f aca="false">IF($A19="","",IF(INDEX('Year Plan'!$L19:$BK19,($B$2-1)*13+L$5)=1,1,""))</f>
        <v/>
      </c>
      <c r="M19" s="32" t="str">
        <f aca="false">IF($A19="","",IF(INDEX('Year Plan'!$L19:$BK19,($B$2-1)*13+M$5)=1,1,""))</f>
        <v/>
      </c>
      <c r="N19" s="32" t="str">
        <f aca="false">IF($A19="","",IF(INDEX('Year Plan'!$L19:$BK19,($B$2-1)*13+N$5)=1,1,""))</f>
        <v/>
      </c>
      <c r="O19" s="32" t="str">
        <f aca="false">IF($A19="","",IF(INDEX('Year Plan'!$L19:$BK19,($B$2-1)*13+O$5)=1,1,""))</f>
        <v/>
      </c>
      <c r="P19" s="32" t="str">
        <f aca="false">IF($A19="","",IF(INDEX('Year Plan'!$L19:$BK19,($B$2-1)*13+P$5)=1,1,""))</f>
        <v/>
      </c>
      <c r="Q19" s="32" t="str">
        <f aca="false">IF($A19="","",IF(INDEX('Year Plan'!$L19:$BK19,($B$2-1)*13+Q$5)=1,1,""))</f>
        <v/>
      </c>
      <c r="R19" s="32" t="str">
        <f aca="false">IF($A19="","",IF(INDEX('Year Plan'!$L19:$BK19,($B$2-1)*13+R$5)=1,1,""))</f>
        <v/>
      </c>
      <c r="S19" s="32" t="str">
        <f aca="false">IF($A19="","",IF(INDEX('Year Plan'!$L19:$BK19,($B$2-1)*13+S$5)=1,1,""))</f>
        <v/>
      </c>
      <c r="T19" s="32" t="str">
        <f aca="false">IF($A19="","",IF(INDEX('Year Plan'!$L19:$BK19,($B$2-1)*13+T$5)=1,1,""))</f>
        <v/>
      </c>
    </row>
    <row r="20" customFormat="false" ht="21.75" hidden="false" customHeight="true" outlineLevel="0" collapsed="false">
      <c r="A20" s="38" t="str">
        <f aca="false">IF('Year Plan'!$B20="","",'Year Plan'!$B20)</f>
        <v/>
      </c>
      <c r="B20" s="39" t="str">
        <f aca="false">IF('Year Plan'!$B20="","",'Year Plan'!$D20)</f>
        <v/>
      </c>
      <c r="C20" s="38" t="str">
        <f aca="false">IF('Year Plan'!$B20="","",'Year Plan'!$E20)</f>
        <v/>
      </c>
      <c r="D20" s="39" t="str">
        <f aca="false">IF('Year Plan'!$B20="","",'Year Plan'!$G20)</f>
        <v/>
      </c>
      <c r="E20" s="40" t="str">
        <f aca="false">IF('Year Plan'!$B20="","",'Year Plan'!$H20)</f>
        <v/>
      </c>
      <c r="F20" s="40" t="str">
        <f aca="false">IF('Year Plan'!$B20="","",'Year Plan'!$I20)</f>
        <v/>
      </c>
      <c r="G20" s="41" t="str">
        <f aca="false">IF('Year Plan'!$B20="","",'Year Plan'!$J20)</f>
        <v/>
      </c>
      <c r="H20" s="32" t="str">
        <f aca="false">IF($A20="","",IF(INDEX('Year Plan'!$L20:$BK20,($B$2-1)*13+H$5)=1,1,""))</f>
        <v/>
      </c>
      <c r="I20" s="32" t="str">
        <f aca="false">IF($A20="","",IF(INDEX('Year Plan'!$L20:$BK20,($B$2-1)*13+I$5)=1,1,""))</f>
        <v/>
      </c>
      <c r="J20" s="32" t="str">
        <f aca="false">IF($A20="","",IF(INDEX('Year Plan'!$L20:$BK20,($B$2-1)*13+J$5)=1,1,""))</f>
        <v/>
      </c>
      <c r="K20" s="32" t="str">
        <f aca="false">IF($A20="","",IF(INDEX('Year Plan'!$L20:$BK20,($B$2-1)*13+K$5)=1,1,""))</f>
        <v/>
      </c>
      <c r="L20" s="32" t="str">
        <f aca="false">IF($A20="","",IF(INDEX('Year Plan'!$L20:$BK20,($B$2-1)*13+L$5)=1,1,""))</f>
        <v/>
      </c>
      <c r="M20" s="32" t="str">
        <f aca="false">IF($A20="","",IF(INDEX('Year Plan'!$L20:$BK20,($B$2-1)*13+M$5)=1,1,""))</f>
        <v/>
      </c>
      <c r="N20" s="32" t="str">
        <f aca="false">IF($A20="","",IF(INDEX('Year Plan'!$L20:$BK20,($B$2-1)*13+N$5)=1,1,""))</f>
        <v/>
      </c>
      <c r="O20" s="32" t="str">
        <f aca="false">IF($A20="","",IF(INDEX('Year Plan'!$L20:$BK20,($B$2-1)*13+O$5)=1,1,""))</f>
        <v/>
      </c>
      <c r="P20" s="32" t="str">
        <f aca="false">IF($A20="","",IF(INDEX('Year Plan'!$L20:$BK20,($B$2-1)*13+P$5)=1,1,""))</f>
        <v/>
      </c>
      <c r="Q20" s="32" t="str">
        <f aca="false">IF($A20="","",IF(INDEX('Year Plan'!$L20:$BK20,($B$2-1)*13+Q$5)=1,1,""))</f>
        <v/>
      </c>
      <c r="R20" s="32" t="str">
        <f aca="false">IF($A20="","",IF(INDEX('Year Plan'!$L20:$BK20,($B$2-1)*13+R$5)=1,1,""))</f>
        <v/>
      </c>
      <c r="S20" s="32" t="str">
        <f aca="false">IF($A20="","",IF(INDEX('Year Plan'!$L20:$BK20,($B$2-1)*13+S$5)=1,1,""))</f>
        <v/>
      </c>
      <c r="T20" s="32" t="str">
        <f aca="false">IF($A20="","",IF(INDEX('Year Plan'!$L20:$BK20,($B$2-1)*13+T$5)=1,1,""))</f>
        <v/>
      </c>
    </row>
    <row r="21" customFormat="false" ht="21.75" hidden="false" customHeight="true" outlineLevel="0" collapsed="false">
      <c r="A21" s="38" t="str">
        <f aca="false">IF('Year Plan'!$B21="","",'Year Plan'!$B21)</f>
        <v/>
      </c>
      <c r="B21" s="39" t="str">
        <f aca="false">IF('Year Plan'!$B21="","",'Year Plan'!$D21)</f>
        <v/>
      </c>
      <c r="C21" s="38" t="str">
        <f aca="false">IF('Year Plan'!$B21="","",'Year Plan'!$E21)</f>
        <v/>
      </c>
      <c r="D21" s="39" t="str">
        <f aca="false">IF('Year Plan'!$B21="","",'Year Plan'!$G21)</f>
        <v/>
      </c>
      <c r="E21" s="40" t="str">
        <f aca="false">IF('Year Plan'!$B21="","",'Year Plan'!$H21)</f>
        <v/>
      </c>
      <c r="F21" s="40" t="str">
        <f aca="false">IF('Year Plan'!$B21="","",'Year Plan'!$I21)</f>
        <v/>
      </c>
      <c r="G21" s="41" t="str">
        <f aca="false">IF('Year Plan'!$B21="","",'Year Plan'!$J21)</f>
        <v/>
      </c>
      <c r="H21" s="32" t="str">
        <f aca="false">IF($A21="","",IF(INDEX('Year Plan'!$L21:$BK21,($B$2-1)*13+H$5)=1,1,""))</f>
        <v/>
      </c>
      <c r="I21" s="32" t="str">
        <f aca="false">IF($A21="","",IF(INDEX('Year Plan'!$L21:$BK21,($B$2-1)*13+I$5)=1,1,""))</f>
        <v/>
      </c>
      <c r="J21" s="32" t="str">
        <f aca="false">IF($A21="","",IF(INDEX('Year Plan'!$L21:$BK21,($B$2-1)*13+J$5)=1,1,""))</f>
        <v/>
      </c>
      <c r="K21" s="32" t="str">
        <f aca="false">IF($A21="","",IF(INDEX('Year Plan'!$L21:$BK21,($B$2-1)*13+K$5)=1,1,""))</f>
        <v/>
      </c>
      <c r="L21" s="32" t="str">
        <f aca="false">IF($A21="","",IF(INDEX('Year Plan'!$L21:$BK21,($B$2-1)*13+L$5)=1,1,""))</f>
        <v/>
      </c>
      <c r="M21" s="32" t="str">
        <f aca="false">IF($A21="","",IF(INDEX('Year Plan'!$L21:$BK21,($B$2-1)*13+M$5)=1,1,""))</f>
        <v/>
      </c>
      <c r="N21" s="32" t="str">
        <f aca="false">IF($A21="","",IF(INDEX('Year Plan'!$L21:$BK21,($B$2-1)*13+N$5)=1,1,""))</f>
        <v/>
      </c>
      <c r="O21" s="32" t="str">
        <f aca="false">IF($A21="","",IF(INDEX('Year Plan'!$L21:$BK21,($B$2-1)*13+O$5)=1,1,""))</f>
        <v/>
      </c>
      <c r="P21" s="32" t="str">
        <f aca="false">IF($A21="","",IF(INDEX('Year Plan'!$L21:$BK21,($B$2-1)*13+P$5)=1,1,""))</f>
        <v/>
      </c>
      <c r="Q21" s="32" t="str">
        <f aca="false">IF($A21="","",IF(INDEX('Year Plan'!$L21:$BK21,($B$2-1)*13+Q$5)=1,1,""))</f>
        <v/>
      </c>
      <c r="R21" s="32" t="str">
        <f aca="false">IF($A21="","",IF(INDEX('Year Plan'!$L21:$BK21,($B$2-1)*13+R$5)=1,1,""))</f>
        <v/>
      </c>
      <c r="S21" s="32" t="str">
        <f aca="false">IF($A21="","",IF(INDEX('Year Plan'!$L21:$BK21,($B$2-1)*13+S$5)=1,1,""))</f>
        <v/>
      </c>
      <c r="T21" s="32" t="str">
        <f aca="false">IF($A21="","",IF(INDEX('Year Plan'!$L21:$BK21,($B$2-1)*13+T$5)=1,1,""))</f>
        <v/>
      </c>
    </row>
    <row r="22" customFormat="false" ht="21.75" hidden="false" customHeight="true" outlineLevel="0" collapsed="false">
      <c r="A22" s="38" t="str">
        <f aca="false">IF('Year Plan'!$B22="","",'Year Plan'!$B22)</f>
        <v/>
      </c>
      <c r="B22" s="39" t="str">
        <f aca="false">IF('Year Plan'!$B22="","",'Year Plan'!$D22)</f>
        <v/>
      </c>
      <c r="C22" s="38" t="str">
        <f aca="false">IF('Year Plan'!$B22="","",'Year Plan'!$E22)</f>
        <v/>
      </c>
      <c r="D22" s="39" t="str">
        <f aca="false">IF('Year Plan'!$B22="","",'Year Plan'!$G22)</f>
        <v/>
      </c>
      <c r="E22" s="40" t="str">
        <f aca="false">IF('Year Plan'!$B22="","",'Year Plan'!$H22)</f>
        <v/>
      </c>
      <c r="F22" s="40" t="str">
        <f aca="false">IF('Year Plan'!$B22="","",'Year Plan'!$I22)</f>
        <v/>
      </c>
      <c r="G22" s="41" t="str">
        <f aca="false">IF('Year Plan'!$B22="","",'Year Plan'!$J22)</f>
        <v/>
      </c>
      <c r="H22" s="32" t="str">
        <f aca="false">IF($A22="","",IF(INDEX('Year Plan'!$L22:$BK22,($B$2-1)*13+H$5)=1,1,""))</f>
        <v/>
      </c>
      <c r="I22" s="32" t="str">
        <f aca="false">IF($A22="","",IF(INDEX('Year Plan'!$L22:$BK22,($B$2-1)*13+I$5)=1,1,""))</f>
        <v/>
      </c>
      <c r="J22" s="32" t="str">
        <f aca="false">IF($A22="","",IF(INDEX('Year Plan'!$L22:$BK22,($B$2-1)*13+J$5)=1,1,""))</f>
        <v/>
      </c>
      <c r="K22" s="32" t="str">
        <f aca="false">IF($A22="","",IF(INDEX('Year Plan'!$L22:$BK22,($B$2-1)*13+K$5)=1,1,""))</f>
        <v/>
      </c>
      <c r="L22" s="32" t="str">
        <f aca="false">IF($A22="","",IF(INDEX('Year Plan'!$L22:$BK22,($B$2-1)*13+L$5)=1,1,""))</f>
        <v/>
      </c>
      <c r="M22" s="32" t="str">
        <f aca="false">IF($A22="","",IF(INDEX('Year Plan'!$L22:$BK22,($B$2-1)*13+M$5)=1,1,""))</f>
        <v/>
      </c>
      <c r="N22" s="32" t="str">
        <f aca="false">IF($A22="","",IF(INDEX('Year Plan'!$L22:$BK22,($B$2-1)*13+N$5)=1,1,""))</f>
        <v/>
      </c>
      <c r="O22" s="32" t="str">
        <f aca="false">IF($A22="","",IF(INDEX('Year Plan'!$L22:$BK22,($B$2-1)*13+O$5)=1,1,""))</f>
        <v/>
      </c>
      <c r="P22" s="32" t="str">
        <f aca="false">IF($A22="","",IF(INDEX('Year Plan'!$L22:$BK22,($B$2-1)*13+P$5)=1,1,""))</f>
        <v/>
      </c>
      <c r="Q22" s="32" t="str">
        <f aca="false">IF($A22="","",IF(INDEX('Year Plan'!$L22:$BK22,($B$2-1)*13+Q$5)=1,1,""))</f>
        <v/>
      </c>
      <c r="R22" s="32" t="str">
        <f aca="false">IF($A22="","",IF(INDEX('Year Plan'!$L22:$BK22,($B$2-1)*13+R$5)=1,1,""))</f>
        <v/>
      </c>
      <c r="S22" s="32" t="str">
        <f aca="false">IF($A22="","",IF(INDEX('Year Plan'!$L22:$BK22,($B$2-1)*13+S$5)=1,1,""))</f>
        <v/>
      </c>
      <c r="T22" s="32" t="str">
        <f aca="false">IF($A22="","",IF(INDEX('Year Plan'!$L22:$BK22,($B$2-1)*13+T$5)=1,1,""))</f>
        <v/>
      </c>
    </row>
    <row r="23" customFormat="false" ht="21.75" hidden="false" customHeight="true" outlineLevel="0" collapsed="false">
      <c r="A23" s="38" t="str">
        <f aca="false">IF('Year Plan'!$B23="","",'Year Plan'!$B23)</f>
        <v/>
      </c>
      <c r="B23" s="39" t="str">
        <f aca="false">IF('Year Plan'!$B23="","",'Year Plan'!$D23)</f>
        <v/>
      </c>
      <c r="C23" s="38" t="str">
        <f aca="false">IF('Year Plan'!$B23="","",'Year Plan'!$E23)</f>
        <v/>
      </c>
      <c r="D23" s="39" t="str">
        <f aca="false">IF('Year Plan'!$B23="","",'Year Plan'!$G23)</f>
        <v/>
      </c>
      <c r="E23" s="40" t="str">
        <f aca="false">IF('Year Plan'!$B23="","",'Year Plan'!$H23)</f>
        <v/>
      </c>
      <c r="F23" s="40" t="str">
        <f aca="false">IF('Year Plan'!$B23="","",'Year Plan'!$I23)</f>
        <v/>
      </c>
      <c r="G23" s="41" t="str">
        <f aca="false">IF('Year Plan'!$B23="","",'Year Plan'!$J23)</f>
        <v/>
      </c>
      <c r="H23" s="32" t="str">
        <f aca="false">IF($A23="","",IF(INDEX('Year Plan'!$L23:$BK23,($B$2-1)*13+H$5)=1,1,""))</f>
        <v/>
      </c>
      <c r="I23" s="32" t="str">
        <f aca="false">IF($A23="","",IF(INDEX('Year Plan'!$L23:$BK23,($B$2-1)*13+I$5)=1,1,""))</f>
        <v/>
      </c>
      <c r="J23" s="32" t="str">
        <f aca="false">IF($A23="","",IF(INDEX('Year Plan'!$L23:$BK23,($B$2-1)*13+J$5)=1,1,""))</f>
        <v/>
      </c>
      <c r="K23" s="32" t="str">
        <f aca="false">IF($A23="","",IF(INDEX('Year Plan'!$L23:$BK23,($B$2-1)*13+K$5)=1,1,""))</f>
        <v/>
      </c>
      <c r="L23" s="32" t="str">
        <f aca="false">IF($A23="","",IF(INDEX('Year Plan'!$L23:$BK23,($B$2-1)*13+L$5)=1,1,""))</f>
        <v/>
      </c>
      <c r="M23" s="32" t="str">
        <f aca="false">IF($A23="","",IF(INDEX('Year Plan'!$L23:$BK23,($B$2-1)*13+M$5)=1,1,""))</f>
        <v/>
      </c>
      <c r="N23" s="32" t="str">
        <f aca="false">IF($A23="","",IF(INDEX('Year Plan'!$L23:$BK23,($B$2-1)*13+N$5)=1,1,""))</f>
        <v/>
      </c>
      <c r="O23" s="32" t="str">
        <f aca="false">IF($A23="","",IF(INDEX('Year Plan'!$L23:$BK23,($B$2-1)*13+O$5)=1,1,""))</f>
        <v/>
      </c>
      <c r="P23" s="32" t="str">
        <f aca="false">IF($A23="","",IF(INDEX('Year Plan'!$L23:$BK23,($B$2-1)*13+P$5)=1,1,""))</f>
        <v/>
      </c>
      <c r="Q23" s="32" t="str">
        <f aca="false">IF($A23="","",IF(INDEX('Year Plan'!$L23:$BK23,($B$2-1)*13+Q$5)=1,1,""))</f>
        <v/>
      </c>
      <c r="R23" s="32" t="str">
        <f aca="false">IF($A23="","",IF(INDEX('Year Plan'!$L23:$BK23,($B$2-1)*13+R$5)=1,1,""))</f>
        <v/>
      </c>
      <c r="S23" s="32" t="str">
        <f aca="false">IF($A23="","",IF(INDEX('Year Plan'!$L23:$BK23,($B$2-1)*13+S$5)=1,1,""))</f>
        <v/>
      </c>
      <c r="T23" s="32" t="str">
        <f aca="false">IF($A23="","",IF(INDEX('Year Plan'!$L23:$BK23,($B$2-1)*13+T$5)=1,1,""))</f>
        <v/>
      </c>
    </row>
    <row r="24" customFormat="false" ht="21.75" hidden="false" customHeight="true" outlineLevel="0" collapsed="false">
      <c r="A24" s="38" t="str">
        <f aca="false">IF('Year Plan'!$B24="","",'Year Plan'!$B24)</f>
        <v/>
      </c>
      <c r="B24" s="39" t="str">
        <f aca="false">IF('Year Plan'!$B24="","",'Year Plan'!$D24)</f>
        <v/>
      </c>
      <c r="C24" s="38" t="str">
        <f aca="false">IF('Year Plan'!$B24="","",'Year Plan'!$E24)</f>
        <v/>
      </c>
      <c r="D24" s="39" t="str">
        <f aca="false">IF('Year Plan'!$B24="","",'Year Plan'!$G24)</f>
        <v/>
      </c>
      <c r="E24" s="40" t="str">
        <f aca="false">IF('Year Plan'!$B24="","",'Year Plan'!$H24)</f>
        <v/>
      </c>
      <c r="F24" s="40" t="str">
        <f aca="false">IF('Year Plan'!$B24="","",'Year Plan'!$I24)</f>
        <v/>
      </c>
      <c r="G24" s="41" t="str">
        <f aca="false">IF('Year Plan'!$B24="","",'Year Plan'!$J24)</f>
        <v/>
      </c>
      <c r="H24" s="32" t="str">
        <f aca="false">IF($A24="","",IF(INDEX('Year Plan'!$L24:$BK24,($B$2-1)*13+H$5)=1,1,""))</f>
        <v/>
      </c>
      <c r="I24" s="32" t="str">
        <f aca="false">IF($A24="","",IF(INDEX('Year Plan'!$L24:$BK24,($B$2-1)*13+I$5)=1,1,""))</f>
        <v/>
      </c>
      <c r="J24" s="32" t="str">
        <f aca="false">IF($A24="","",IF(INDEX('Year Plan'!$L24:$BK24,($B$2-1)*13+J$5)=1,1,""))</f>
        <v/>
      </c>
      <c r="K24" s="32" t="str">
        <f aca="false">IF($A24="","",IF(INDEX('Year Plan'!$L24:$BK24,($B$2-1)*13+K$5)=1,1,""))</f>
        <v/>
      </c>
      <c r="L24" s="32" t="str">
        <f aca="false">IF($A24="","",IF(INDEX('Year Plan'!$L24:$BK24,($B$2-1)*13+L$5)=1,1,""))</f>
        <v/>
      </c>
      <c r="M24" s="32" t="str">
        <f aca="false">IF($A24="","",IF(INDEX('Year Plan'!$L24:$BK24,($B$2-1)*13+M$5)=1,1,""))</f>
        <v/>
      </c>
      <c r="N24" s="32" t="str">
        <f aca="false">IF($A24="","",IF(INDEX('Year Plan'!$L24:$BK24,($B$2-1)*13+N$5)=1,1,""))</f>
        <v/>
      </c>
      <c r="O24" s="32" t="str">
        <f aca="false">IF($A24="","",IF(INDEX('Year Plan'!$L24:$BK24,($B$2-1)*13+O$5)=1,1,""))</f>
        <v/>
      </c>
      <c r="P24" s="32" t="str">
        <f aca="false">IF($A24="","",IF(INDEX('Year Plan'!$L24:$BK24,($B$2-1)*13+P$5)=1,1,""))</f>
        <v/>
      </c>
      <c r="Q24" s="32" t="str">
        <f aca="false">IF($A24="","",IF(INDEX('Year Plan'!$L24:$BK24,($B$2-1)*13+Q$5)=1,1,""))</f>
        <v/>
      </c>
      <c r="R24" s="32" t="str">
        <f aca="false">IF($A24="","",IF(INDEX('Year Plan'!$L24:$BK24,($B$2-1)*13+R$5)=1,1,""))</f>
        <v/>
      </c>
      <c r="S24" s="32" t="str">
        <f aca="false">IF($A24="","",IF(INDEX('Year Plan'!$L24:$BK24,($B$2-1)*13+S$5)=1,1,""))</f>
        <v/>
      </c>
      <c r="T24" s="32" t="str">
        <f aca="false">IF($A24="","",IF(INDEX('Year Plan'!$L24:$BK24,($B$2-1)*13+T$5)=1,1,""))</f>
        <v/>
      </c>
    </row>
    <row r="25" customFormat="false" ht="21.75" hidden="false" customHeight="true" outlineLevel="0" collapsed="false">
      <c r="A25" s="38" t="str">
        <f aca="false">IF('Year Plan'!$B25="","",'Year Plan'!$B25)</f>
        <v/>
      </c>
      <c r="B25" s="39" t="str">
        <f aca="false">IF('Year Plan'!$B25="","",'Year Plan'!$D25)</f>
        <v/>
      </c>
      <c r="C25" s="38" t="str">
        <f aca="false">IF('Year Plan'!$B25="","",'Year Plan'!$E25)</f>
        <v/>
      </c>
      <c r="D25" s="39" t="str">
        <f aca="false">IF('Year Plan'!$B25="","",'Year Plan'!$G25)</f>
        <v/>
      </c>
      <c r="E25" s="40" t="str">
        <f aca="false">IF('Year Plan'!$B25="","",'Year Plan'!$H25)</f>
        <v/>
      </c>
      <c r="F25" s="40" t="str">
        <f aca="false">IF('Year Plan'!$B25="","",'Year Plan'!$I25)</f>
        <v/>
      </c>
      <c r="G25" s="41" t="str">
        <f aca="false">IF('Year Plan'!$B25="","",'Year Plan'!$J25)</f>
        <v/>
      </c>
      <c r="H25" s="32" t="str">
        <f aca="false">IF($A25="","",IF(INDEX('Year Plan'!$L25:$BK25,($B$2-1)*13+H$5)=1,1,""))</f>
        <v/>
      </c>
      <c r="I25" s="32" t="str">
        <f aca="false">IF($A25="","",IF(INDEX('Year Plan'!$L25:$BK25,($B$2-1)*13+I$5)=1,1,""))</f>
        <v/>
      </c>
      <c r="J25" s="32" t="str">
        <f aca="false">IF($A25="","",IF(INDEX('Year Plan'!$L25:$BK25,($B$2-1)*13+J$5)=1,1,""))</f>
        <v/>
      </c>
      <c r="K25" s="32" t="str">
        <f aca="false">IF($A25="","",IF(INDEX('Year Plan'!$L25:$BK25,($B$2-1)*13+K$5)=1,1,""))</f>
        <v/>
      </c>
      <c r="L25" s="32" t="str">
        <f aca="false">IF($A25="","",IF(INDEX('Year Plan'!$L25:$BK25,($B$2-1)*13+L$5)=1,1,""))</f>
        <v/>
      </c>
      <c r="M25" s="32" t="str">
        <f aca="false">IF($A25="","",IF(INDEX('Year Plan'!$L25:$BK25,($B$2-1)*13+M$5)=1,1,""))</f>
        <v/>
      </c>
      <c r="N25" s="32" t="str">
        <f aca="false">IF($A25="","",IF(INDEX('Year Plan'!$L25:$BK25,($B$2-1)*13+N$5)=1,1,""))</f>
        <v/>
      </c>
      <c r="O25" s="32" t="str">
        <f aca="false">IF($A25="","",IF(INDEX('Year Plan'!$L25:$BK25,($B$2-1)*13+O$5)=1,1,""))</f>
        <v/>
      </c>
      <c r="P25" s="32" t="str">
        <f aca="false">IF($A25="","",IF(INDEX('Year Plan'!$L25:$BK25,($B$2-1)*13+P$5)=1,1,""))</f>
        <v/>
      </c>
      <c r="Q25" s="32" t="str">
        <f aca="false">IF($A25="","",IF(INDEX('Year Plan'!$L25:$BK25,($B$2-1)*13+Q$5)=1,1,""))</f>
        <v/>
      </c>
      <c r="R25" s="32" t="str">
        <f aca="false">IF($A25="","",IF(INDEX('Year Plan'!$L25:$BK25,($B$2-1)*13+R$5)=1,1,""))</f>
        <v/>
      </c>
      <c r="S25" s="32" t="str">
        <f aca="false">IF($A25="","",IF(INDEX('Year Plan'!$L25:$BK25,($B$2-1)*13+S$5)=1,1,""))</f>
        <v/>
      </c>
      <c r="T25" s="32" t="str">
        <f aca="false">IF($A25="","",IF(INDEX('Year Plan'!$L25:$BK25,($B$2-1)*13+T$5)=1,1,""))</f>
        <v/>
      </c>
    </row>
    <row r="26" customFormat="false" ht="21.75" hidden="false" customHeight="true" outlineLevel="0" collapsed="false">
      <c r="A26" s="38" t="str">
        <f aca="false">IF('Year Plan'!$B26="","",'Year Plan'!$B26)</f>
        <v/>
      </c>
      <c r="B26" s="39" t="str">
        <f aca="false">IF('Year Plan'!$B26="","",'Year Plan'!$D26)</f>
        <v/>
      </c>
      <c r="C26" s="38" t="str">
        <f aca="false">IF('Year Plan'!$B26="","",'Year Plan'!$E26)</f>
        <v/>
      </c>
      <c r="D26" s="39" t="str">
        <f aca="false">IF('Year Plan'!$B26="","",'Year Plan'!$G26)</f>
        <v/>
      </c>
      <c r="E26" s="40" t="str">
        <f aca="false">IF('Year Plan'!$B26="","",'Year Plan'!$H26)</f>
        <v/>
      </c>
      <c r="F26" s="40" t="str">
        <f aca="false">IF('Year Plan'!$B26="","",'Year Plan'!$I26)</f>
        <v/>
      </c>
      <c r="G26" s="41" t="str">
        <f aca="false">IF('Year Plan'!$B26="","",'Year Plan'!$J26)</f>
        <v/>
      </c>
      <c r="H26" s="32" t="str">
        <f aca="false">IF($A26="","",IF(INDEX('Year Plan'!$L26:$BK26,($B$2-1)*13+H$5)=1,1,""))</f>
        <v/>
      </c>
      <c r="I26" s="32" t="str">
        <f aca="false">IF($A26="","",IF(INDEX('Year Plan'!$L26:$BK26,($B$2-1)*13+I$5)=1,1,""))</f>
        <v/>
      </c>
      <c r="J26" s="32" t="str">
        <f aca="false">IF($A26="","",IF(INDEX('Year Plan'!$L26:$BK26,($B$2-1)*13+J$5)=1,1,""))</f>
        <v/>
      </c>
      <c r="K26" s="32" t="str">
        <f aca="false">IF($A26="","",IF(INDEX('Year Plan'!$L26:$BK26,($B$2-1)*13+K$5)=1,1,""))</f>
        <v/>
      </c>
      <c r="L26" s="32" t="str">
        <f aca="false">IF($A26="","",IF(INDEX('Year Plan'!$L26:$BK26,($B$2-1)*13+L$5)=1,1,""))</f>
        <v/>
      </c>
      <c r="M26" s="32" t="str">
        <f aca="false">IF($A26="","",IF(INDEX('Year Plan'!$L26:$BK26,($B$2-1)*13+M$5)=1,1,""))</f>
        <v/>
      </c>
      <c r="N26" s="32" t="str">
        <f aca="false">IF($A26="","",IF(INDEX('Year Plan'!$L26:$BK26,($B$2-1)*13+N$5)=1,1,""))</f>
        <v/>
      </c>
      <c r="O26" s="32" t="str">
        <f aca="false">IF($A26="","",IF(INDEX('Year Plan'!$L26:$BK26,($B$2-1)*13+O$5)=1,1,""))</f>
        <v/>
      </c>
      <c r="P26" s="32" t="str">
        <f aca="false">IF($A26="","",IF(INDEX('Year Plan'!$L26:$BK26,($B$2-1)*13+P$5)=1,1,""))</f>
        <v/>
      </c>
      <c r="Q26" s="32" t="str">
        <f aca="false">IF($A26="","",IF(INDEX('Year Plan'!$L26:$BK26,($B$2-1)*13+Q$5)=1,1,""))</f>
        <v/>
      </c>
      <c r="R26" s="32" t="str">
        <f aca="false">IF($A26="","",IF(INDEX('Year Plan'!$L26:$BK26,($B$2-1)*13+R$5)=1,1,""))</f>
        <v/>
      </c>
      <c r="S26" s="32" t="str">
        <f aca="false">IF($A26="","",IF(INDEX('Year Plan'!$L26:$BK26,($B$2-1)*13+S$5)=1,1,""))</f>
        <v/>
      </c>
      <c r="T26" s="32" t="str">
        <f aca="false">IF($A26="","",IF(INDEX('Year Plan'!$L26:$BK26,($B$2-1)*13+T$5)=1,1,""))</f>
        <v/>
      </c>
    </row>
    <row r="27" customFormat="false" ht="21.75" hidden="false" customHeight="true" outlineLevel="0" collapsed="false">
      <c r="A27" s="38" t="str">
        <f aca="false">IF('Year Plan'!$B27="","",'Year Plan'!$B27)</f>
        <v/>
      </c>
      <c r="B27" s="39" t="str">
        <f aca="false">IF('Year Plan'!$B27="","",'Year Plan'!$D27)</f>
        <v/>
      </c>
      <c r="C27" s="38" t="str">
        <f aca="false">IF('Year Plan'!$B27="","",'Year Plan'!$E27)</f>
        <v/>
      </c>
      <c r="D27" s="39" t="str">
        <f aca="false">IF('Year Plan'!$B27="","",'Year Plan'!$G27)</f>
        <v/>
      </c>
      <c r="E27" s="40" t="str">
        <f aca="false">IF('Year Plan'!$B27="","",'Year Plan'!$H27)</f>
        <v/>
      </c>
      <c r="F27" s="40" t="str">
        <f aca="false">IF('Year Plan'!$B27="","",'Year Plan'!$I27)</f>
        <v/>
      </c>
      <c r="G27" s="41" t="str">
        <f aca="false">IF('Year Plan'!$B27="","",'Year Plan'!$J27)</f>
        <v/>
      </c>
      <c r="H27" s="32" t="str">
        <f aca="false">IF($A27="","",IF(INDEX('Year Plan'!$L27:$BK27,($B$2-1)*13+H$5)=1,1,""))</f>
        <v/>
      </c>
      <c r="I27" s="32" t="str">
        <f aca="false">IF($A27="","",IF(INDEX('Year Plan'!$L27:$BK27,($B$2-1)*13+I$5)=1,1,""))</f>
        <v/>
      </c>
      <c r="J27" s="32" t="str">
        <f aca="false">IF($A27="","",IF(INDEX('Year Plan'!$L27:$BK27,($B$2-1)*13+J$5)=1,1,""))</f>
        <v/>
      </c>
      <c r="K27" s="32" t="str">
        <f aca="false">IF($A27="","",IF(INDEX('Year Plan'!$L27:$BK27,($B$2-1)*13+K$5)=1,1,""))</f>
        <v/>
      </c>
      <c r="L27" s="32" t="str">
        <f aca="false">IF($A27="","",IF(INDEX('Year Plan'!$L27:$BK27,($B$2-1)*13+L$5)=1,1,""))</f>
        <v/>
      </c>
      <c r="M27" s="32" t="str">
        <f aca="false">IF($A27="","",IF(INDEX('Year Plan'!$L27:$BK27,($B$2-1)*13+M$5)=1,1,""))</f>
        <v/>
      </c>
      <c r="N27" s="32" t="str">
        <f aca="false">IF($A27="","",IF(INDEX('Year Plan'!$L27:$BK27,($B$2-1)*13+N$5)=1,1,""))</f>
        <v/>
      </c>
      <c r="O27" s="32" t="str">
        <f aca="false">IF($A27="","",IF(INDEX('Year Plan'!$L27:$BK27,($B$2-1)*13+O$5)=1,1,""))</f>
        <v/>
      </c>
      <c r="P27" s="32" t="str">
        <f aca="false">IF($A27="","",IF(INDEX('Year Plan'!$L27:$BK27,($B$2-1)*13+P$5)=1,1,""))</f>
        <v/>
      </c>
      <c r="Q27" s="32" t="str">
        <f aca="false">IF($A27="","",IF(INDEX('Year Plan'!$L27:$BK27,($B$2-1)*13+Q$5)=1,1,""))</f>
        <v/>
      </c>
      <c r="R27" s="32" t="str">
        <f aca="false">IF($A27="","",IF(INDEX('Year Plan'!$L27:$BK27,($B$2-1)*13+R$5)=1,1,""))</f>
        <v/>
      </c>
      <c r="S27" s="32" t="str">
        <f aca="false">IF($A27="","",IF(INDEX('Year Plan'!$L27:$BK27,($B$2-1)*13+S$5)=1,1,""))</f>
        <v/>
      </c>
      <c r="T27" s="32" t="str">
        <f aca="false">IF($A27="","",IF(INDEX('Year Plan'!$L27:$BK27,($B$2-1)*13+T$5)=1,1,""))</f>
        <v/>
      </c>
    </row>
    <row r="28" customFormat="false" ht="21.75" hidden="false" customHeight="true" outlineLevel="0" collapsed="false">
      <c r="A28" s="38" t="str">
        <f aca="false">IF('Year Plan'!$B28="","",'Year Plan'!$B28)</f>
        <v/>
      </c>
      <c r="B28" s="39" t="str">
        <f aca="false">IF('Year Plan'!$B28="","",'Year Plan'!$D28)</f>
        <v/>
      </c>
      <c r="C28" s="38" t="str">
        <f aca="false">IF('Year Plan'!$B28="","",'Year Plan'!$E28)</f>
        <v/>
      </c>
      <c r="D28" s="39" t="str">
        <f aca="false">IF('Year Plan'!$B28="","",'Year Plan'!$G28)</f>
        <v/>
      </c>
      <c r="E28" s="40" t="str">
        <f aca="false">IF('Year Plan'!$B28="","",'Year Plan'!$H28)</f>
        <v/>
      </c>
      <c r="F28" s="40" t="str">
        <f aca="false">IF('Year Plan'!$B28="","",'Year Plan'!$I28)</f>
        <v/>
      </c>
      <c r="G28" s="41" t="str">
        <f aca="false">IF('Year Plan'!$B28="","",'Year Plan'!$J28)</f>
        <v/>
      </c>
      <c r="H28" s="32" t="str">
        <f aca="false">IF($A28="","",IF(INDEX('Year Plan'!$L28:$BK28,($B$2-1)*13+H$5)=1,1,""))</f>
        <v/>
      </c>
      <c r="I28" s="32" t="str">
        <f aca="false">IF($A28="","",IF(INDEX('Year Plan'!$L28:$BK28,($B$2-1)*13+I$5)=1,1,""))</f>
        <v/>
      </c>
      <c r="J28" s="32" t="str">
        <f aca="false">IF($A28="","",IF(INDEX('Year Plan'!$L28:$BK28,($B$2-1)*13+J$5)=1,1,""))</f>
        <v/>
      </c>
      <c r="K28" s="32" t="str">
        <f aca="false">IF($A28="","",IF(INDEX('Year Plan'!$L28:$BK28,($B$2-1)*13+K$5)=1,1,""))</f>
        <v/>
      </c>
      <c r="L28" s="32" t="str">
        <f aca="false">IF($A28="","",IF(INDEX('Year Plan'!$L28:$BK28,($B$2-1)*13+L$5)=1,1,""))</f>
        <v/>
      </c>
      <c r="M28" s="32" t="str">
        <f aca="false">IF($A28="","",IF(INDEX('Year Plan'!$L28:$BK28,($B$2-1)*13+M$5)=1,1,""))</f>
        <v/>
      </c>
      <c r="N28" s="32" t="str">
        <f aca="false">IF($A28="","",IF(INDEX('Year Plan'!$L28:$BK28,($B$2-1)*13+N$5)=1,1,""))</f>
        <v/>
      </c>
      <c r="O28" s="32" t="str">
        <f aca="false">IF($A28="","",IF(INDEX('Year Plan'!$L28:$BK28,($B$2-1)*13+O$5)=1,1,""))</f>
        <v/>
      </c>
      <c r="P28" s="32" t="str">
        <f aca="false">IF($A28="","",IF(INDEX('Year Plan'!$L28:$BK28,($B$2-1)*13+P$5)=1,1,""))</f>
        <v/>
      </c>
      <c r="Q28" s="32" t="str">
        <f aca="false">IF($A28="","",IF(INDEX('Year Plan'!$L28:$BK28,($B$2-1)*13+Q$5)=1,1,""))</f>
        <v/>
      </c>
      <c r="R28" s="32" t="str">
        <f aca="false">IF($A28="","",IF(INDEX('Year Plan'!$L28:$BK28,($B$2-1)*13+R$5)=1,1,""))</f>
        <v/>
      </c>
      <c r="S28" s="32" t="str">
        <f aca="false">IF($A28="","",IF(INDEX('Year Plan'!$L28:$BK28,($B$2-1)*13+S$5)=1,1,""))</f>
        <v/>
      </c>
      <c r="T28" s="32" t="str">
        <f aca="false">IF($A28="","",IF(INDEX('Year Plan'!$L28:$BK28,($B$2-1)*13+T$5)=1,1,""))</f>
        <v/>
      </c>
    </row>
    <row r="29" customFormat="false" ht="21.75" hidden="false" customHeight="true" outlineLevel="0" collapsed="false">
      <c r="A29" s="38" t="str">
        <f aca="false">IF('Year Plan'!$B29="","",'Year Plan'!$B29)</f>
        <v/>
      </c>
      <c r="B29" s="39" t="str">
        <f aca="false">IF('Year Plan'!$B29="","",'Year Plan'!$D29)</f>
        <v/>
      </c>
      <c r="C29" s="38" t="str">
        <f aca="false">IF('Year Plan'!$B29="","",'Year Plan'!$E29)</f>
        <v/>
      </c>
      <c r="D29" s="39" t="str">
        <f aca="false">IF('Year Plan'!$B29="","",'Year Plan'!$G29)</f>
        <v/>
      </c>
      <c r="E29" s="40" t="str">
        <f aca="false">IF('Year Plan'!$B29="","",'Year Plan'!$H29)</f>
        <v/>
      </c>
      <c r="F29" s="40" t="str">
        <f aca="false">IF('Year Plan'!$B29="","",'Year Plan'!$I29)</f>
        <v/>
      </c>
      <c r="G29" s="41" t="str">
        <f aca="false">IF('Year Plan'!$B29="","",'Year Plan'!$J29)</f>
        <v/>
      </c>
      <c r="H29" s="32" t="str">
        <f aca="false">IF($A29="","",IF(INDEX('Year Plan'!$L29:$BK29,($B$2-1)*13+H$5)=1,1,""))</f>
        <v/>
      </c>
      <c r="I29" s="32" t="str">
        <f aca="false">IF($A29="","",IF(INDEX('Year Plan'!$L29:$BK29,($B$2-1)*13+I$5)=1,1,""))</f>
        <v/>
      </c>
      <c r="J29" s="32" t="str">
        <f aca="false">IF($A29="","",IF(INDEX('Year Plan'!$L29:$BK29,($B$2-1)*13+J$5)=1,1,""))</f>
        <v/>
      </c>
      <c r="K29" s="32" t="str">
        <f aca="false">IF($A29="","",IF(INDEX('Year Plan'!$L29:$BK29,($B$2-1)*13+K$5)=1,1,""))</f>
        <v/>
      </c>
      <c r="L29" s="32" t="str">
        <f aca="false">IF($A29="","",IF(INDEX('Year Plan'!$L29:$BK29,($B$2-1)*13+L$5)=1,1,""))</f>
        <v/>
      </c>
      <c r="M29" s="32" t="str">
        <f aca="false">IF($A29="","",IF(INDEX('Year Plan'!$L29:$BK29,($B$2-1)*13+M$5)=1,1,""))</f>
        <v/>
      </c>
      <c r="N29" s="32" t="str">
        <f aca="false">IF($A29="","",IF(INDEX('Year Plan'!$L29:$BK29,($B$2-1)*13+N$5)=1,1,""))</f>
        <v/>
      </c>
      <c r="O29" s="32" t="str">
        <f aca="false">IF($A29="","",IF(INDEX('Year Plan'!$L29:$BK29,($B$2-1)*13+O$5)=1,1,""))</f>
        <v/>
      </c>
      <c r="P29" s="32" t="str">
        <f aca="false">IF($A29="","",IF(INDEX('Year Plan'!$L29:$BK29,($B$2-1)*13+P$5)=1,1,""))</f>
        <v/>
      </c>
      <c r="Q29" s="32" t="str">
        <f aca="false">IF($A29="","",IF(INDEX('Year Plan'!$L29:$BK29,($B$2-1)*13+Q$5)=1,1,""))</f>
        <v/>
      </c>
      <c r="R29" s="32" t="str">
        <f aca="false">IF($A29="","",IF(INDEX('Year Plan'!$L29:$BK29,($B$2-1)*13+R$5)=1,1,""))</f>
        <v/>
      </c>
      <c r="S29" s="32" t="str">
        <f aca="false">IF($A29="","",IF(INDEX('Year Plan'!$L29:$BK29,($B$2-1)*13+S$5)=1,1,""))</f>
        <v/>
      </c>
      <c r="T29" s="32" t="str">
        <f aca="false">IF($A29="","",IF(INDEX('Year Plan'!$L29:$BK29,($B$2-1)*13+T$5)=1,1,""))</f>
        <v/>
      </c>
    </row>
    <row r="30" customFormat="false" ht="21.75" hidden="false" customHeight="true" outlineLevel="0" collapsed="false">
      <c r="A30" s="38" t="str">
        <f aca="false">IF('Year Plan'!$B30="","",'Year Plan'!$B30)</f>
        <v/>
      </c>
      <c r="B30" s="39" t="str">
        <f aca="false">IF('Year Plan'!$B30="","",'Year Plan'!$D30)</f>
        <v/>
      </c>
      <c r="C30" s="38" t="str">
        <f aca="false">IF('Year Plan'!$B30="","",'Year Plan'!$E30)</f>
        <v/>
      </c>
      <c r="D30" s="39" t="str">
        <f aca="false">IF('Year Plan'!$B30="","",'Year Plan'!$G30)</f>
        <v/>
      </c>
      <c r="E30" s="40" t="str">
        <f aca="false">IF('Year Plan'!$B30="","",'Year Plan'!$H30)</f>
        <v/>
      </c>
      <c r="F30" s="40" t="str">
        <f aca="false">IF('Year Plan'!$B30="","",'Year Plan'!$I30)</f>
        <v/>
      </c>
      <c r="G30" s="41" t="str">
        <f aca="false">IF('Year Plan'!$B30="","",'Year Plan'!$J30)</f>
        <v/>
      </c>
      <c r="H30" s="32" t="str">
        <f aca="false">IF($A30="","",IF(INDEX('Year Plan'!$L30:$BK30,($B$2-1)*13+H$5)=1,1,""))</f>
        <v/>
      </c>
      <c r="I30" s="32" t="str">
        <f aca="false">IF($A30="","",IF(INDEX('Year Plan'!$L30:$BK30,($B$2-1)*13+I$5)=1,1,""))</f>
        <v/>
      </c>
      <c r="J30" s="32" t="str">
        <f aca="false">IF($A30="","",IF(INDEX('Year Plan'!$L30:$BK30,($B$2-1)*13+J$5)=1,1,""))</f>
        <v/>
      </c>
      <c r="K30" s="32" t="str">
        <f aca="false">IF($A30="","",IF(INDEX('Year Plan'!$L30:$BK30,($B$2-1)*13+K$5)=1,1,""))</f>
        <v/>
      </c>
      <c r="L30" s="32" t="str">
        <f aca="false">IF($A30="","",IF(INDEX('Year Plan'!$L30:$BK30,($B$2-1)*13+L$5)=1,1,""))</f>
        <v/>
      </c>
      <c r="M30" s="32" t="str">
        <f aca="false">IF($A30="","",IF(INDEX('Year Plan'!$L30:$BK30,($B$2-1)*13+M$5)=1,1,""))</f>
        <v/>
      </c>
      <c r="N30" s="32" t="str">
        <f aca="false">IF($A30="","",IF(INDEX('Year Plan'!$L30:$BK30,($B$2-1)*13+N$5)=1,1,""))</f>
        <v/>
      </c>
      <c r="O30" s="32" t="str">
        <f aca="false">IF($A30="","",IF(INDEX('Year Plan'!$L30:$BK30,($B$2-1)*13+O$5)=1,1,""))</f>
        <v/>
      </c>
      <c r="P30" s="32" t="str">
        <f aca="false">IF($A30="","",IF(INDEX('Year Plan'!$L30:$BK30,($B$2-1)*13+P$5)=1,1,""))</f>
        <v/>
      </c>
      <c r="Q30" s="32" t="str">
        <f aca="false">IF($A30="","",IF(INDEX('Year Plan'!$L30:$BK30,($B$2-1)*13+Q$5)=1,1,""))</f>
        <v/>
      </c>
      <c r="R30" s="32" t="str">
        <f aca="false">IF($A30="","",IF(INDEX('Year Plan'!$L30:$BK30,($B$2-1)*13+R$5)=1,1,""))</f>
        <v/>
      </c>
      <c r="S30" s="32" t="str">
        <f aca="false">IF($A30="","",IF(INDEX('Year Plan'!$L30:$BK30,($B$2-1)*13+S$5)=1,1,""))</f>
        <v/>
      </c>
      <c r="T30" s="32" t="str">
        <f aca="false">IF($A30="","",IF(INDEX('Year Plan'!$L30:$BK30,($B$2-1)*13+T$5)=1,1,""))</f>
        <v/>
      </c>
    </row>
    <row r="31" customFormat="false" ht="21.75" hidden="false" customHeight="true" outlineLevel="0" collapsed="false">
      <c r="A31" s="38" t="str">
        <f aca="false">IF('Year Plan'!$B31="","",'Year Plan'!$B31)</f>
        <v/>
      </c>
      <c r="B31" s="39" t="str">
        <f aca="false">IF('Year Plan'!$B31="","",'Year Plan'!$D31)</f>
        <v/>
      </c>
      <c r="C31" s="38" t="str">
        <f aca="false">IF('Year Plan'!$B31="","",'Year Plan'!$E31)</f>
        <v/>
      </c>
      <c r="D31" s="39" t="str">
        <f aca="false">IF('Year Plan'!$B31="","",'Year Plan'!$G31)</f>
        <v/>
      </c>
      <c r="E31" s="40" t="str">
        <f aca="false">IF('Year Plan'!$B31="","",'Year Plan'!$H31)</f>
        <v/>
      </c>
      <c r="F31" s="40" t="str">
        <f aca="false">IF('Year Plan'!$B31="","",'Year Plan'!$I31)</f>
        <v/>
      </c>
      <c r="G31" s="41" t="str">
        <f aca="false">IF('Year Plan'!$B31="","",'Year Plan'!$J31)</f>
        <v/>
      </c>
      <c r="H31" s="32" t="str">
        <f aca="false">IF($A31="","",IF(INDEX('Year Plan'!$L31:$BK31,($B$2-1)*13+H$5)=1,1,""))</f>
        <v/>
      </c>
      <c r="I31" s="32" t="str">
        <f aca="false">IF($A31="","",IF(INDEX('Year Plan'!$L31:$BK31,($B$2-1)*13+I$5)=1,1,""))</f>
        <v/>
      </c>
      <c r="J31" s="32" t="str">
        <f aca="false">IF($A31="","",IF(INDEX('Year Plan'!$L31:$BK31,($B$2-1)*13+J$5)=1,1,""))</f>
        <v/>
      </c>
      <c r="K31" s="32" t="str">
        <f aca="false">IF($A31="","",IF(INDEX('Year Plan'!$L31:$BK31,($B$2-1)*13+K$5)=1,1,""))</f>
        <v/>
      </c>
      <c r="L31" s="32" t="str">
        <f aca="false">IF($A31="","",IF(INDEX('Year Plan'!$L31:$BK31,($B$2-1)*13+L$5)=1,1,""))</f>
        <v/>
      </c>
      <c r="M31" s="32" t="str">
        <f aca="false">IF($A31="","",IF(INDEX('Year Plan'!$L31:$BK31,($B$2-1)*13+M$5)=1,1,""))</f>
        <v/>
      </c>
      <c r="N31" s="32" t="str">
        <f aca="false">IF($A31="","",IF(INDEX('Year Plan'!$L31:$BK31,($B$2-1)*13+N$5)=1,1,""))</f>
        <v/>
      </c>
      <c r="O31" s="32" t="str">
        <f aca="false">IF($A31="","",IF(INDEX('Year Plan'!$L31:$BK31,($B$2-1)*13+O$5)=1,1,""))</f>
        <v/>
      </c>
      <c r="P31" s="32" t="str">
        <f aca="false">IF($A31="","",IF(INDEX('Year Plan'!$L31:$BK31,($B$2-1)*13+P$5)=1,1,""))</f>
        <v/>
      </c>
      <c r="Q31" s="32" t="str">
        <f aca="false">IF($A31="","",IF(INDEX('Year Plan'!$L31:$BK31,($B$2-1)*13+Q$5)=1,1,""))</f>
        <v/>
      </c>
      <c r="R31" s="32" t="str">
        <f aca="false">IF($A31="","",IF(INDEX('Year Plan'!$L31:$BK31,($B$2-1)*13+R$5)=1,1,""))</f>
        <v/>
      </c>
      <c r="S31" s="32" t="str">
        <f aca="false">IF($A31="","",IF(INDEX('Year Plan'!$L31:$BK31,($B$2-1)*13+S$5)=1,1,""))</f>
        <v/>
      </c>
      <c r="T31" s="32" t="str">
        <f aca="false">IF($A31="","",IF(INDEX('Year Plan'!$L31:$BK31,($B$2-1)*13+T$5)=1,1,""))</f>
        <v/>
      </c>
    </row>
    <row r="32" customFormat="false" ht="21.75" hidden="false" customHeight="true" outlineLevel="0" collapsed="false">
      <c r="A32" s="38" t="str">
        <f aca="false">IF('Year Plan'!$B32="","",'Year Plan'!$B32)</f>
        <v/>
      </c>
      <c r="B32" s="39" t="str">
        <f aca="false">IF('Year Plan'!$B32="","",'Year Plan'!$D32)</f>
        <v/>
      </c>
      <c r="C32" s="38" t="str">
        <f aca="false">IF('Year Plan'!$B32="","",'Year Plan'!$E32)</f>
        <v/>
      </c>
      <c r="D32" s="39" t="str">
        <f aca="false">IF('Year Plan'!$B32="","",'Year Plan'!$G32)</f>
        <v/>
      </c>
      <c r="E32" s="40" t="str">
        <f aca="false">IF('Year Plan'!$B32="","",'Year Plan'!$H32)</f>
        <v/>
      </c>
      <c r="F32" s="40" t="str">
        <f aca="false">IF('Year Plan'!$B32="","",'Year Plan'!$I32)</f>
        <v/>
      </c>
      <c r="G32" s="41" t="str">
        <f aca="false">IF('Year Plan'!$B32="","",'Year Plan'!$J32)</f>
        <v/>
      </c>
      <c r="H32" s="32" t="str">
        <f aca="false">IF($A32="","",IF(INDEX('Year Plan'!$L32:$BK32,($B$2-1)*13+H$5)=1,1,""))</f>
        <v/>
      </c>
      <c r="I32" s="32" t="str">
        <f aca="false">IF($A32="","",IF(INDEX('Year Plan'!$L32:$BK32,($B$2-1)*13+I$5)=1,1,""))</f>
        <v/>
      </c>
      <c r="J32" s="32" t="str">
        <f aca="false">IF($A32="","",IF(INDEX('Year Plan'!$L32:$BK32,($B$2-1)*13+J$5)=1,1,""))</f>
        <v/>
      </c>
      <c r="K32" s="32" t="str">
        <f aca="false">IF($A32="","",IF(INDEX('Year Plan'!$L32:$BK32,($B$2-1)*13+K$5)=1,1,""))</f>
        <v/>
      </c>
      <c r="L32" s="32" t="str">
        <f aca="false">IF($A32="","",IF(INDEX('Year Plan'!$L32:$BK32,($B$2-1)*13+L$5)=1,1,""))</f>
        <v/>
      </c>
      <c r="M32" s="32" t="str">
        <f aca="false">IF($A32="","",IF(INDEX('Year Plan'!$L32:$BK32,($B$2-1)*13+M$5)=1,1,""))</f>
        <v/>
      </c>
      <c r="N32" s="32" t="str">
        <f aca="false">IF($A32="","",IF(INDEX('Year Plan'!$L32:$BK32,($B$2-1)*13+N$5)=1,1,""))</f>
        <v/>
      </c>
      <c r="O32" s="32" t="str">
        <f aca="false">IF($A32="","",IF(INDEX('Year Plan'!$L32:$BK32,($B$2-1)*13+O$5)=1,1,""))</f>
        <v/>
      </c>
      <c r="P32" s="32" t="str">
        <f aca="false">IF($A32="","",IF(INDEX('Year Plan'!$L32:$BK32,($B$2-1)*13+P$5)=1,1,""))</f>
        <v/>
      </c>
      <c r="Q32" s="32" t="str">
        <f aca="false">IF($A32="","",IF(INDEX('Year Plan'!$L32:$BK32,($B$2-1)*13+Q$5)=1,1,""))</f>
        <v/>
      </c>
      <c r="R32" s="32" t="str">
        <f aca="false">IF($A32="","",IF(INDEX('Year Plan'!$L32:$BK32,($B$2-1)*13+R$5)=1,1,""))</f>
        <v/>
      </c>
      <c r="S32" s="32" t="str">
        <f aca="false">IF($A32="","",IF(INDEX('Year Plan'!$L32:$BK32,($B$2-1)*13+S$5)=1,1,""))</f>
        <v/>
      </c>
      <c r="T32" s="32" t="str">
        <f aca="false">IF($A32="","",IF(INDEX('Year Plan'!$L32:$BK32,($B$2-1)*13+T$5)=1,1,""))</f>
        <v/>
      </c>
    </row>
    <row r="33" customFormat="false" ht="21.75" hidden="false" customHeight="true" outlineLevel="0" collapsed="false">
      <c r="A33" s="38" t="str">
        <f aca="false">IF('Year Plan'!$B33="","",'Year Plan'!$B33)</f>
        <v/>
      </c>
      <c r="B33" s="39" t="str">
        <f aca="false">IF('Year Plan'!$B33="","",'Year Plan'!$D33)</f>
        <v/>
      </c>
      <c r="C33" s="38" t="str">
        <f aca="false">IF('Year Plan'!$B33="","",'Year Plan'!$E33)</f>
        <v/>
      </c>
      <c r="D33" s="39" t="str">
        <f aca="false">IF('Year Plan'!$B33="","",'Year Plan'!$G33)</f>
        <v/>
      </c>
      <c r="E33" s="40" t="str">
        <f aca="false">IF('Year Plan'!$B33="","",'Year Plan'!$H33)</f>
        <v/>
      </c>
      <c r="F33" s="40" t="str">
        <f aca="false">IF('Year Plan'!$B33="","",'Year Plan'!$I33)</f>
        <v/>
      </c>
      <c r="G33" s="41" t="str">
        <f aca="false">IF('Year Plan'!$B33="","",'Year Plan'!$J33)</f>
        <v/>
      </c>
      <c r="H33" s="32" t="str">
        <f aca="false">IF($A33="","",IF(INDEX('Year Plan'!$L33:$BK33,($B$2-1)*13+H$5)=1,1,""))</f>
        <v/>
      </c>
      <c r="I33" s="32" t="str">
        <f aca="false">IF($A33="","",IF(INDEX('Year Plan'!$L33:$BK33,($B$2-1)*13+I$5)=1,1,""))</f>
        <v/>
      </c>
      <c r="J33" s="32" t="str">
        <f aca="false">IF($A33="","",IF(INDEX('Year Plan'!$L33:$BK33,($B$2-1)*13+J$5)=1,1,""))</f>
        <v/>
      </c>
      <c r="K33" s="32" t="str">
        <f aca="false">IF($A33="","",IF(INDEX('Year Plan'!$L33:$BK33,($B$2-1)*13+K$5)=1,1,""))</f>
        <v/>
      </c>
      <c r="L33" s="32" t="str">
        <f aca="false">IF($A33="","",IF(INDEX('Year Plan'!$L33:$BK33,($B$2-1)*13+L$5)=1,1,""))</f>
        <v/>
      </c>
      <c r="M33" s="32" t="str">
        <f aca="false">IF($A33="","",IF(INDEX('Year Plan'!$L33:$BK33,($B$2-1)*13+M$5)=1,1,""))</f>
        <v/>
      </c>
      <c r="N33" s="32" t="str">
        <f aca="false">IF($A33="","",IF(INDEX('Year Plan'!$L33:$BK33,($B$2-1)*13+N$5)=1,1,""))</f>
        <v/>
      </c>
      <c r="O33" s="32" t="str">
        <f aca="false">IF($A33="","",IF(INDEX('Year Plan'!$L33:$BK33,($B$2-1)*13+O$5)=1,1,""))</f>
        <v/>
      </c>
      <c r="P33" s="32" t="str">
        <f aca="false">IF($A33="","",IF(INDEX('Year Plan'!$L33:$BK33,($B$2-1)*13+P$5)=1,1,""))</f>
        <v/>
      </c>
      <c r="Q33" s="32" t="str">
        <f aca="false">IF($A33="","",IF(INDEX('Year Plan'!$L33:$BK33,($B$2-1)*13+Q$5)=1,1,""))</f>
        <v/>
      </c>
      <c r="R33" s="32" t="str">
        <f aca="false">IF($A33="","",IF(INDEX('Year Plan'!$L33:$BK33,($B$2-1)*13+R$5)=1,1,""))</f>
        <v/>
      </c>
      <c r="S33" s="32" t="str">
        <f aca="false">IF($A33="","",IF(INDEX('Year Plan'!$L33:$BK33,($B$2-1)*13+S$5)=1,1,""))</f>
        <v/>
      </c>
      <c r="T33" s="32" t="str">
        <f aca="false">IF($A33="","",IF(INDEX('Year Plan'!$L33:$BK33,($B$2-1)*13+T$5)=1,1,""))</f>
        <v/>
      </c>
    </row>
    <row r="34" customFormat="false" ht="21.75" hidden="false" customHeight="true" outlineLevel="0" collapsed="false">
      <c r="A34" s="38" t="str">
        <f aca="false">IF('Year Plan'!$B34="","",'Year Plan'!$B34)</f>
        <v/>
      </c>
      <c r="B34" s="39" t="str">
        <f aca="false">IF('Year Plan'!$B34="","",'Year Plan'!$D34)</f>
        <v/>
      </c>
      <c r="C34" s="38" t="str">
        <f aca="false">IF('Year Plan'!$B34="","",'Year Plan'!$E34)</f>
        <v/>
      </c>
      <c r="D34" s="39" t="str">
        <f aca="false">IF('Year Plan'!$B34="","",'Year Plan'!$G34)</f>
        <v/>
      </c>
      <c r="E34" s="40" t="str">
        <f aca="false">IF('Year Plan'!$B34="","",'Year Plan'!$H34)</f>
        <v/>
      </c>
      <c r="F34" s="40" t="str">
        <f aca="false">IF('Year Plan'!$B34="","",'Year Plan'!$I34)</f>
        <v/>
      </c>
      <c r="G34" s="41" t="str">
        <f aca="false">IF('Year Plan'!$B34="","",'Year Plan'!$J34)</f>
        <v/>
      </c>
      <c r="H34" s="32" t="str">
        <f aca="false">IF($A34="","",IF(INDEX('Year Plan'!$L34:$BK34,($B$2-1)*13+H$5)=1,1,""))</f>
        <v/>
      </c>
      <c r="I34" s="32" t="str">
        <f aca="false">IF($A34="","",IF(INDEX('Year Plan'!$L34:$BK34,($B$2-1)*13+I$5)=1,1,""))</f>
        <v/>
      </c>
      <c r="J34" s="32" t="str">
        <f aca="false">IF($A34="","",IF(INDEX('Year Plan'!$L34:$BK34,($B$2-1)*13+J$5)=1,1,""))</f>
        <v/>
      </c>
      <c r="K34" s="32" t="str">
        <f aca="false">IF($A34="","",IF(INDEX('Year Plan'!$L34:$BK34,($B$2-1)*13+K$5)=1,1,""))</f>
        <v/>
      </c>
      <c r="L34" s="32" t="str">
        <f aca="false">IF($A34="","",IF(INDEX('Year Plan'!$L34:$BK34,($B$2-1)*13+L$5)=1,1,""))</f>
        <v/>
      </c>
      <c r="M34" s="32" t="str">
        <f aca="false">IF($A34="","",IF(INDEX('Year Plan'!$L34:$BK34,($B$2-1)*13+M$5)=1,1,""))</f>
        <v/>
      </c>
      <c r="N34" s="32" t="str">
        <f aca="false">IF($A34="","",IF(INDEX('Year Plan'!$L34:$BK34,($B$2-1)*13+N$5)=1,1,""))</f>
        <v/>
      </c>
      <c r="O34" s="32" t="str">
        <f aca="false">IF($A34="","",IF(INDEX('Year Plan'!$L34:$BK34,($B$2-1)*13+O$5)=1,1,""))</f>
        <v/>
      </c>
      <c r="P34" s="32" t="str">
        <f aca="false">IF($A34="","",IF(INDEX('Year Plan'!$L34:$BK34,($B$2-1)*13+P$5)=1,1,""))</f>
        <v/>
      </c>
      <c r="Q34" s="32" t="str">
        <f aca="false">IF($A34="","",IF(INDEX('Year Plan'!$L34:$BK34,($B$2-1)*13+Q$5)=1,1,""))</f>
        <v/>
      </c>
      <c r="R34" s="32" t="str">
        <f aca="false">IF($A34="","",IF(INDEX('Year Plan'!$L34:$BK34,($B$2-1)*13+R$5)=1,1,""))</f>
        <v/>
      </c>
      <c r="S34" s="32" t="str">
        <f aca="false">IF($A34="","",IF(INDEX('Year Plan'!$L34:$BK34,($B$2-1)*13+S$5)=1,1,""))</f>
        <v/>
      </c>
      <c r="T34" s="32" t="str">
        <f aca="false">IF($A34="","",IF(INDEX('Year Plan'!$L34:$BK34,($B$2-1)*13+T$5)=1,1,""))</f>
        <v/>
      </c>
    </row>
    <row r="35" customFormat="false" ht="21.75" hidden="false" customHeight="true" outlineLevel="0" collapsed="false">
      <c r="A35" s="38" t="str">
        <f aca="false">IF('Year Plan'!$B35="","",'Year Plan'!$B35)</f>
        <v/>
      </c>
      <c r="B35" s="39" t="str">
        <f aca="false">IF('Year Plan'!$B35="","",'Year Plan'!$D35)</f>
        <v/>
      </c>
      <c r="C35" s="38" t="str">
        <f aca="false">IF('Year Plan'!$B35="","",'Year Plan'!$E35)</f>
        <v/>
      </c>
      <c r="D35" s="39" t="str">
        <f aca="false">IF('Year Plan'!$B35="","",'Year Plan'!$G35)</f>
        <v/>
      </c>
      <c r="E35" s="40" t="str">
        <f aca="false">IF('Year Plan'!$B35="","",'Year Plan'!$H35)</f>
        <v/>
      </c>
      <c r="F35" s="40" t="str">
        <f aca="false">IF('Year Plan'!$B35="","",'Year Plan'!$I35)</f>
        <v/>
      </c>
      <c r="G35" s="41" t="str">
        <f aca="false">IF('Year Plan'!$B35="","",'Year Plan'!$J35)</f>
        <v/>
      </c>
      <c r="H35" s="32" t="str">
        <f aca="false">IF($A35="","",IF(INDEX('Year Plan'!$L35:$BK35,($B$2-1)*13+H$5)=1,1,""))</f>
        <v/>
      </c>
      <c r="I35" s="32" t="str">
        <f aca="false">IF($A35="","",IF(INDEX('Year Plan'!$L35:$BK35,($B$2-1)*13+I$5)=1,1,""))</f>
        <v/>
      </c>
      <c r="J35" s="32" t="str">
        <f aca="false">IF($A35="","",IF(INDEX('Year Plan'!$L35:$BK35,($B$2-1)*13+J$5)=1,1,""))</f>
        <v/>
      </c>
      <c r="K35" s="32" t="str">
        <f aca="false">IF($A35="","",IF(INDEX('Year Plan'!$L35:$BK35,($B$2-1)*13+K$5)=1,1,""))</f>
        <v/>
      </c>
      <c r="L35" s="32" t="str">
        <f aca="false">IF($A35="","",IF(INDEX('Year Plan'!$L35:$BK35,($B$2-1)*13+L$5)=1,1,""))</f>
        <v/>
      </c>
      <c r="M35" s="32" t="str">
        <f aca="false">IF($A35="","",IF(INDEX('Year Plan'!$L35:$BK35,($B$2-1)*13+M$5)=1,1,""))</f>
        <v/>
      </c>
      <c r="N35" s="32" t="str">
        <f aca="false">IF($A35="","",IF(INDEX('Year Plan'!$L35:$BK35,($B$2-1)*13+N$5)=1,1,""))</f>
        <v/>
      </c>
      <c r="O35" s="32" t="str">
        <f aca="false">IF($A35="","",IF(INDEX('Year Plan'!$L35:$BK35,($B$2-1)*13+O$5)=1,1,""))</f>
        <v/>
      </c>
      <c r="P35" s="32" t="str">
        <f aca="false">IF($A35="","",IF(INDEX('Year Plan'!$L35:$BK35,($B$2-1)*13+P$5)=1,1,""))</f>
        <v/>
      </c>
      <c r="Q35" s="32" t="str">
        <f aca="false">IF($A35="","",IF(INDEX('Year Plan'!$L35:$BK35,($B$2-1)*13+Q$5)=1,1,""))</f>
        <v/>
      </c>
      <c r="R35" s="32" t="str">
        <f aca="false">IF($A35="","",IF(INDEX('Year Plan'!$L35:$BK35,($B$2-1)*13+R$5)=1,1,""))</f>
        <v/>
      </c>
      <c r="S35" s="32" t="str">
        <f aca="false">IF($A35="","",IF(INDEX('Year Plan'!$L35:$BK35,($B$2-1)*13+S$5)=1,1,""))</f>
        <v/>
      </c>
      <c r="T35" s="32" t="str">
        <f aca="false">IF($A35="","",IF(INDEX('Year Plan'!$L35:$BK35,($B$2-1)*13+T$5)=1,1,""))</f>
        <v/>
      </c>
    </row>
    <row r="36" customFormat="false" ht="21.75" hidden="false" customHeight="true" outlineLevel="0" collapsed="false">
      <c r="A36" s="38" t="str">
        <f aca="false">IF('Year Plan'!$B36="","",'Year Plan'!$B36)</f>
        <v/>
      </c>
      <c r="B36" s="39" t="str">
        <f aca="false">IF('Year Plan'!$B36="","",'Year Plan'!$D36)</f>
        <v/>
      </c>
      <c r="C36" s="38" t="str">
        <f aca="false">IF('Year Plan'!$B36="","",'Year Plan'!$E36)</f>
        <v/>
      </c>
      <c r="D36" s="39" t="str">
        <f aca="false">IF('Year Plan'!$B36="","",'Year Plan'!$G36)</f>
        <v/>
      </c>
      <c r="E36" s="40" t="str">
        <f aca="false">IF('Year Plan'!$B36="","",'Year Plan'!$H36)</f>
        <v/>
      </c>
      <c r="F36" s="40" t="str">
        <f aca="false">IF('Year Plan'!$B36="","",'Year Plan'!$I36)</f>
        <v/>
      </c>
      <c r="G36" s="41" t="str">
        <f aca="false">IF('Year Plan'!$B36="","",'Year Plan'!$J36)</f>
        <v/>
      </c>
      <c r="H36" s="32" t="str">
        <f aca="false">IF($A36="","",IF(INDEX('Year Plan'!$L36:$BK36,($B$2-1)*13+H$5)=1,1,""))</f>
        <v/>
      </c>
      <c r="I36" s="32" t="str">
        <f aca="false">IF($A36="","",IF(INDEX('Year Plan'!$L36:$BK36,($B$2-1)*13+I$5)=1,1,""))</f>
        <v/>
      </c>
      <c r="J36" s="32" t="str">
        <f aca="false">IF($A36="","",IF(INDEX('Year Plan'!$L36:$BK36,($B$2-1)*13+J$5)=1,1,""))</f>
        <v/>
      </c>
      <c r="K36" s="32" t="str">
        <f aca="false">IF($A36="","",IF(INDEX('Year Plan'!$L36:$BK36,($B$2-1)*13+K$5)=1,1,""))</f>
        <v/>
      </c>
      <c r="L36" s="32" t="str">
        <f aca="false">IF($A36="","",IF(INDEX('Year Plan'!$L36:$BK36,($B$2-1)*13+L$5)=1,1,""))</f>
        <v/>
      </c>
      <c r="M36" s="32" t="str">
        <f aca="false">IF($A36="","",IF(INDEX('Year Plan'!$L36:$BK36,($B$2-1)*13+M$5)=1,1,""))</f>
        <v/>
      </c>
      <c r="N36" s="32" t="str">
        <f aca="false">IF($A36="","",IF(INDEX('Year Plan'!$L36:$BK36,($B$2-1)*13+N$5)=1,1,""))</f>
        <v/>
      </c>
      <c r="O36" s="32" t="str">
        <f aca="false">IF($A36="","",IF(INDEX('Year Plan'!$L36:$BK36,($B$2-1)*13+O$5)=1,1,""))</f>
        <v/>
      </c>
      <c r="P36" s="32" t="str">
        <f aca="false">IF($A36="","",IF(INDEX('Year Plan'!$L36:$BK36,($B$2-1)*13+P$5)=1,1,""))</f>
        <v/>
      </c>
      <c r="Q36" s="32" t="str">
        <f aca="false">IF($A36="","",IF(INDEX('Year Plan'!$L36:$BK36,($B$2-1)*13+Q$5)=1,1,""))</f>
        <v/>
      </c>
      <c r="R36" s="32" t="str">
        <f aca="false">IF($A36="","",IF(INDEX('Year Plan'!$L36:$BK36,($B$2-1)*13+R$5)=1,1,""))</f>
        <v/>
      </c>
      <c r="S36" s="32" t="str">
        <f aca="false">IF($A36="","",IF(INDEX('Year Plan'!$L36:$BK36,($B$2-1)*13+S$5)=1,1,""))</f>
        <v/>
      </c>
      <c r="T36" s="32" t="str">
        <f aca="false">IF($A36="","",IF(INDEX('Year Plan'!$L36:$BK36,($B$2-1)*13+T$5)=1,1,""))</f>
        <v/>
      </c>
    </row>
    <row r="37" customFormat="false" ht="21.75" hidden="false" customHeight="true" outlineLevel="0" collapsed="false">
      <c r="A37" s="38" t="str">
        <f aca="false">IF('Year Plan'!$B37="","",'Year Plan'!$B37)</f>
        <v/>
      </c>
      <c r="B37" s="39" t="str">
        <f aca="false">IF('Year Plan'!$B37="","",'Year Plan'!$D37)</f>
        <v/>
      </c>
      <c r="C37" s="38" t="str">
        <f aca="false">IF('Year Plan'!$B37="","",'Year Plan'!$E37)</f>
        <v/>
      </c>
      <c r="D37" s="39" t="str">
        <f aca="false">IF('Year Plan'!$B37="","",'Year Plan'!$G37)</f>
        <v/>
      </c>
      <c r="E37" s="40" t="str">
        <f aca="false">IF('Year Plan'!$B37="","",'Year Plan'!$H37)</f>
        <v/>
      </c>
      <c r="F37" s="40" t="str">
        <f aca="false">IF('Year Plan'!$B37="","",'Year Plan'!$I37)</f>
        <v/>
      </c>
      <c r="G37" s="41" t="str">
        <f aca="false">IF('Year Plan'!$B37="","",'Year Plan'!$J37)</f>
        <v/>
      </c>
      <c r="H37" s="32" t="str">
        <f aca="false">IF($A37="","",IF(INDEX('Year Plan'!$L37:$BK37,($B$2-1)*13+H$5)=1,1,""))</f>
        <v/>
      </c>
      <c r="I37" s="32" t="str">
        <f aca="false">IF($A37="","",IF(INDEX('Year Plan'!$L37:$BK37,($B$2-1)*13+I$5)=1,1,""))</f>
        <v/>
      </c>
      <c r="J37" s="32" t="str">
        <f aca="false">IF($A37="","",IF(INDEX('Year Plan'!$L37:$BK37,($B$2-1)*13+J$5)=1,1,""))</f>
        <v/>
      </c>
      <c r="K37" s="32" t="str">
        <f aca="false">IF($A37="","",IF(INDEX('Year Plan'!$L37:$BK37,($B$2-1)*13+K$5)=1,1,""))</f>
        <v/>
      </c>
      <c r="L37" s="32" t="str">
        <f aca="false">IF($A37="","",IF(INDEX('Year Plan'!$L37:$BK37,($B$2-1)*13+L$5)=1,1,""))</f>
        <v/>
      </c>
      <c r="M37" s="32" t="str">
        <f aca="false">IF($A37="","",IF(INDEX('Year Plan'!$L37:$BK37,($B$2-1)*13+M$5)=1,1,""))</f>
        <v/>
      </c>
      <c r="N37" s="32" t="str">
        <f aca="false">IF($A37="","",IF(INDEX('Year Plan'!$L37:$BK37,($B$2-1)*13+N$5)=1,1,""))</f>
        <v/>
      </c>
      <c r="O37" s="32" t="str">
        <f aca="false">IF($A37="","",IF(INDEX('Year Plan'!$L37:$BK37,($B$2-1)*13+O$5)=1,1,""))</f>
        <v/>
      </c>
      <c r="P37" s="32" t="str">
        <f aca="false">IF($A37="","",IF(INDEX('Year Plan'!$L37:$BK37,($B$2-1)*13+P$5)=1,1,""))</f>
        <v/>
      </c>
      <c r="Q37" s="32" t="str">
        <f aca="false">IF($A37="","",IF(INDEX('Year Plan'!$L37:$BK37,($B$2-1)*13+Q$5)=1,1,""))</f>
        <v/>
      </c>
      <c r="R37" s="32" t="str">
        <f aca="false">IF($A37="","",IF(INDEX('Year Plan'!$L37:$BK37,($B$2-1)*13+R$5)=1,1,""))</f>
        <v/>
      </c>
      <c r="S37" s="32" t="str">
        <f aca="false">IF($A37="","",IF(INDEX('Year Plan'!$L37:$BK37,($B$2-1)*13+S$5)=1,1,""))</f>
        <v/>
      </c>
      <c r="T37" s="32" t="str">
        <f aca="false">IF($A37="","",IF(INDEX('Year Plan'!$L37:$BK37,($B$2-1)*13+T$5)=1,1,""))</f>
        <v/>
      </c>
    </row>
    <row r="38" customFormat="false" ht="21.75" hidden="false" customHeight="true" outlineLevel="0" collapsed="false">
      <c r="A38" s="38" t="str">
        <f aca="false">IF('Year Plan'!$B38="","",'Year Plan'!$B38)</f>
        <v/>
      </c>
      <c r="B38" s="39" t="str">
        <f aca="false">IF('Year Plan'!$B38="","",'Year Plan'!$D38)</f>
        <v/>
      </c>
      <c r="C38" s="38" t="str">
        <f aca="false">IF('Year Plan'!$B38="","",'Year Plan'!$E38)</f>
        <v/>
      </c>
      <c r="D38" s="39" t="str">
        <f aca="false">IF('Year Plan'!$B38="","",'Year Plan'!$G38)</f>
        <v/>
      </c>
      <c r="E38" s="40" t="str">
        <f aca="false">IF('Year Plan'!$B38="","",'Year Plan'!$H38)</f>
        <v/>
      </c>
      <c r="F38" s="40" t="str">
        <f aca="false">IF('Year Plan'!$B38="","",'Year Plan'!$I38)</f>
        <v/>
      </c>
      <c r="G38" s="41" t="str">
        <f aca="false">IF('Year Plan'!$B38="","",'Year Plan'!$J38)</f>
        <v/>
      </c>
      <c r="H38" s="32" t="str">
        <f aca="false">IF($A38="","",IF(INDEX('Year Plan'!$L38:$BK38,($B$2-1)*13+H$5)=1,1,""))</f>
        <v/>
      </c>
      <c r="I38" s="32" t="str">
        <f aca="false">IF($A38="","",IF(INDEX('Year Plan'!$L38:$BK38,($B$2-1)*13+I$5)=1,1,""))</f>
        <v/>
      </c>
      <c r="J38" s="32" t="str">
        <f aca="false">IF($A38="","",IF(INDEX('Year Plan'!$L38:$BK38,($B$2-1)*13+J$5)=1,1,""))</f>
        <v/>
      </c>
      <c r="K38" s="32" t="str">
        <f aca="false">IF($A38="","",IF(INDEX('Year Plan'!$L38:$BK38,($B$2-1)*13+K$5)=1,1,""))</f>
        <v/>
      </c>
      <c r="L38" s="32" t="str">
        <f aca="false">IF($A38="","",IF(INDEX('Year Plan'!$L38:$BK38,($B$2-1)*13+L$5)=1,1,""))</f>
        <v/>
      </c>
      <c r="M38" s="32" t="str">
        <f aca="false">IF($A38="","",IF(INDEX('Year Plan'!$L38:$BK38,($B$2-1)*13+M$5)=1,1,""))</f>
        <v/>
      </c>
      <c r="N38" s="32" t="str">
        <f aca="false">IF($A38="","",IF(INDEX('Year Plan'!$L38:$BK38,($B$2-1)*13+N$5)=1,1,""))</f>
        <v/>
      </c>
      <c r="O38" s="32" t="str">
        <f aca="false">IF($A38="","",IF(INDEX('Year Plan'!$L38:$BK38,($B$2-1)*13+O$5)=1,1,""))</f>
        <v/>
      </c>
      <c r="P38" s="32" t="str">
        <f aca="false">IF($A38="","",IF(INDEX('Year Plan'!$L38:$BK38,($B$2-1)*13+P$5)=1,1,""))</f>
        <v/>
      </c>
      <c r="Q38" s="32" t="str">
        <f aca="false">IF($A38="","",IF(INDEX('Year Plan'!$L38:$BK38,($B$2-1)*13+Q$5)=1,1,""))</f>
        <v/>
      </c>
      <c r="R38" s="32" t="str">
        <f aca="false">IF($A38="","",IF(INDEX('Year Plan'!$L38:$BK38,($B$2-1)*13+R$5)=1,1,""))</f>
        <v/>
      </c>
      <c r="S38" s="32" t="str">
        <f aca="false">IF($A38="","",IF(INDEX('Year Plan'!$L38:$BK38,($B$2-1)*13+S$5)=1,1,""))</f>
        <v/>
      </c>
      <c r="T38" s="32" t="str">
        <f aca="false">IF($A38="","",IF(INDEX('Year Plan'!$L38:$BK38,($B$2-1)*13+T$5)=1,1,""))</f>
        <v/>
      </c>
    </row>
    <row r="39" customFormat="false" ht="21.75" hidden="false" customHeight="true" outlineLevel="0" collapsed="false">
      <c r="A39" s="38" t="str">
        <f aca="false">IF('Year Plan'!$B39="","",'Year Plan'!$B39)</f>
        <v/>
      </c>
      <c r="B39" s="39" t="str">
        <f aca="false">IF('Year Plan'!$B39="","",'Year Plan'!$D39)</f>
        <v/>
      </c>
      <c r="C39" s="38" t="str">
        <f aca="false">IF('Year Plan'!$B39="","",'Year Plan'!$E39)</f>
        <v/>
      </c>
      <c r="D39" s="39" t="str">
        <f aca="false">IF('Year Plan'!$B39="","",'Year Plan'!$G39)</f>
        <v/>
      </c>
      <c r="E39" s="40" t="str">
        <f aca="false">IF('Year Plan'!$B39="","",'Year Plan'!$H39)</f>
        <v/>
      </c>
      <c r="F39" s="40" t="str">
        <f aca="false">IF('Year Plan'!$B39="","",'Year Plan'!$I39)</f>
        <v/>
      </c>
      <c r="G39" s="41" t="str">
        <f aca="false">IF('Year Plan'!$B39="","",'Year Plan'!$J39)</f>
        <v/>
      </c>
      <c r="H39" s="32" t="str">
        <f aca="false">IF($A39="","",IF(INDEX('Year Plan'!$L39:$BK39,($B$2-1)*13+H$5)=1,1,""))</f>
        <v/>
      </c>
      <c r="I39" s="32" t="str">
        <f aca="false">IF($A39="","",IF(INDEX('Year Plan'!$L39:$BK39,($B$2-1)*13+I$5)=1,1,""))</f>
        <v/>
      </c>
      <c r="J39" s="32" t="str">
        <f aca="false">IF($A39="","",IF(INDEX('Year Plan'!$L39:$BK39,($B$2-1)*13+J$5)=1,1,""))</f>
        <v/>
      </c>
      <c r="K39" s="32" t="str">
        <f aca="false">IF($A39="","",IF(INDEX('Year Plan'!$L39:$BK39,($B$2-1)*13+K$5)=1,1,""))</f>
        <v/>
      </c>
      <c r="L39" s="32" t="str">
        <f aca="false">IF($A39="","",IF(INDEX('Year Plan'!$L39:$BK39,($B$2-1)*13+L$5)=1,1,""))</f>
        <v/>
      </c>
      <c r="M39" s="32" t="str">
        <f aca="false">IF($A39="","",IF(INDEX('Year Plan'!$L39:$BK39,($B$2-1)*13+M$5)=1,1,""))</f>
        <v/>
      </c>
      <c r="N39" s="32" t="str">
        <f aca="false">IF($A39="","",IF(INDEX('Year Plan'!$L39:$BK39,($B$2-1)*13+N$5)=1,1,""))</f>
        <v/>
      </c>
      <c r="O39" s="32" t="str">
        <f aca="false">IF($A39="","",IF(INDEX('Year Plan'!$L39:$BK39,($B$2-1)*13+O$5)=1,1,""))</f>
        <v/>
      </c>
      <c r="P39" s="32" t="str">
        <f aca="false">IF($A39="","",IF(INDEX('Year Plan'!$L39:$BK39,($B$2-1)*13+P$5)=1,1,""))</f>
        <v/>
      </c>
      <c r="Q39" s="32" t="str">
        <f aca="false">IF($A39="","",IF(INDEX('Year Plan'!$L39:$BK39,($B$2-1)*13+Q$5)=1,1,""))</f>
        <v/>
      </c>
      <c r="R39" s="32" t="str">
        <f aca="false">IF($A39="","",IF(INDEX('Year Plan'!$L39:$BK39,($B$2-1)*13+R$5)=1,1,""))</f>
        <v/>
      </c>
      <c r="S39" s="32" t="str">
        <f aca="false">IF($A39="","",IF(INDEX('Year Plan'!$L39:$BK39,($B$2-1)*13+S$5)=1,1,""))</f>
        <v/>
      </c>
      <c r="T39" s="32" t="str">
        <f aca="false">IF($A39="","",IF(INDEX('Year Plan'!$L39:$BK39,($B$2-1)*13+T$5)=1,1,""))</f>
        <v/>
      </c>
    </row>
    <row r="40" customFormat="false" ht="21.75" hidden="false" customHeight="true" outlineLevel="0" collapsed="false">
      <c r="A40" s="38" t="str">
        <f aca="false">IF('Year Plan'!$B40="","",'Year Plan'!$B40)</f>
        <v/>
      </c>
      <c r="B40" s="39" t="str">
        <f aca="false">IF('Year Plan'!$B40="","",'Year Plan'!$D40)</f>
        <v/>
      </c>
      <c r="C40" s="38" t="str">
        <f aca="false">IF('Year Plan'!$B40="","",'Year Plan'!$E40)</f>
        <v/>
      </c>
      <c r="D40" s="39" t="str">
        <f aca="false">IF('Year Plan'!$B40="","",'Year Plan'!$G40)</f>
        <v/>
      </c>
      <c r="E40" s="40" t="str">
        <f aca="false">IF('Year Plan'!$B40="","",'Year Plan'!$H40)</f>
        <v/>
      </c>
      <c r="F40" s="40" t="str">
        <f aca="false">IF('Year Plan'!$B40="","",'Year Plan'!$I40)</f>
        <v/>
      </c>
      <c r="G40" s="41" t="str">
        <f aca="false">IF('Year Plan'!$B40="","",'Year Plan'!$J40)</f>
        <v/>
      </c>
      <c r="H40" s="32" t="str">
        <f aca="false">IF($A40="","",IF(INDEX('Year Plan'!$L40:$BK40,($B$2-1)*13+H$5)=1,1,""))</f>
        <v/>
      </c>
      <c r="I40" s="32" t="str">
        <f aca="false">IF($A40="","",IF(INDEX('Year Plan'!$L40:$BK40,($B$2-1)*13+I$5)=1,1,""))</f>
        <v/>
      </c>
      <c r="J40" s="32" t="str">
        <f aca="false">IF($A40="","",IF(INDEX('Year Plan'!$L40:$BK40,($B$2-1)*13+J$5)=1,1,""))</f>
        <v/>
      </c>
      <c r="K40" s="32" t="str">
        <f aca="false">IF($A40="","",IF(INDEX('Year Plan'!$L40:$BK40,($B$2-1)*13+K$5)=1,1,""))</f>
        <v/>
      </c>
      <c r="L40" s="32" t="str">
        <f aca="false">IF($A40="","",IF(INDEX('Year Plan'!$L40:$BK40,($B$2-1)*13+L$5)=1,1,""))</f>
        <v/>
      </c>
      <c r="M40" s="32" t="str">
        <f aca="false">IF($A40="","",IF(INDEX('Year Plan'!$L40:$BK40,($B$2-1)*13+M$5)=1,1,""))</f>
        <v/>
      </c>
      <c r="N40" s="32" t="str">
        <f aca="false">IF($A40="","",IF(INDEX('Year Plan'!$L40:$BK40,($B$2-1)*13+N$5)=1,1,""))</f>
        <v/>
      </c>
      <c r="O40" s="32" t="str">
        <f aca="false">IF($A40="","",IF(INDEX('Year Plan'!$L40:$BK40,($B$2-1)*13+O$5)=1,1,""))</f>
        <v/>
      </c>
      <c r="P40" s="32" t="str">
        <f aca="false">IF($A40="","",IF(INDEX('Year Plan'!$L40:$BK40,($B$2-1)*13+P$5)=1,1,""))</f>
        <v/>
      </c>
      <c r="Q40" s="32" t="str">
        <f aca="false">IF($A40="","",IF(INDEX('Year Plan'!$L40:$BK40,($B$2-1)*13+Q$5)=1,1,""))</f>
        <v/>
      </c>
      <c r="R40" s="32" t="str">
        <f aca="false">IF($A40="","",IF(INDEX('Year Plan'!$L40:$BK40,($B$2-1)*13+R$5)=1,1,""))</f>
        <v/>
      </c>
      <c r="S40" s="32" t="str">
        <f aca="false">IF($A40="","",IF(INDEX('Year Plan'!$L40:$BK40,($B$2-1)*13+S$5)=1,1,""))</f>
        <v/>
      </c>
      <c r="T40" s="32" t="str">
        <f aca="false">IF($A40="","",IF(INDEX('Year Plan'!$L40:$BK40,($B$2-1)*13+T$5)=1,1,""))</f>
        <v/>
      </c>
    </row>
    <row r="41" customFormat="false" ht="21.75" hidden="false" customHeight="true" outlineLevel="0" collapsed="false">
      <c r="A41" s="38" t="str">
        <f aca="false">IF('Year Plan'!$B41="","",'Year Plan'!$B41)</f>
        <v/>
      </c>
      <c r="B41" s="39" t="str">
        <f aca="false">IF('Year Plan'!$B41="","",'Year Plan'!$D41)</f>
        <v/>
      </c>
      <c r="C41" s="38" t="str">
        <f aca="false">IF('Year Plan'!$B41="","",'Year Plan'!$E41)</f>
        <v/>
      </c>
      <c r="D41" s="39" t="str">
        <f aca="false">IF('Year Plan'!$B41="","",'Year Plan'!$G41)</f>
        <v/>
      </c>
      <c r="E41" s="40" t="str">
        <f aca="false">IF('Year Plan'!$B41="","",'Year Plan'!$H41)</f>
        <v/>
      </c>
      <c r="F41" s="40" t="str">
        <f aca="false">IF('Year Plan'!$B41="","",'Year Plan'!$I41)</f>
        <v/>
      </c>
      <c r="G41" s="41" t="str">
        <f aca="false">IF('Year Plan'!$B41="","",'Year Plan'!$J41)</f>
        <v/>
      </c>
      <c r="H41" s="32" t="str">
        <f aca="false">IF($A41="","",IF(INDEX('Year Plan'!$L41:$BK41,($B$2-1)*13+H$5)=1,1,""))</f>
        <v/>
      </c>
      <c r="I41" s="32" t="str">
        <f aca="false">IF($A41="","",IF(INDEX('Year Plan'!$L41:$BK41,($B$2-1)*13+I$5)=1,1,""))</f>
        <v/>
      </c>
      <c r="J41" s="32" t="str">
        <f aca="false">IF($A41="","",IF(INDEX('Year Plan'!$L41:$BK41,($B$2-1)*13+J$5)=1,1,""))</f>
        <v/>
      </c>
      <c r="K41" s="32" t="str">
        <f aca="false">IF($A41="","",IF(INDEX('Year Plan'!$L41:$BK41,($B$2-1)*13+K$5)=1,1,""))</f>
        <v/>
      </c>
      <c r="L41" s="32" t="str">
        <f aca="false">IF($A41="","",IF(INDEX('Year Plan'!$L41:$BK41,($B$2-1)*13+L$5)=1,1,""))</f>
        <v/>
      </c>
      <c r="M41" s="32" t="str">
        <f aca="false">IF($A41="","",IF(INDEX('Year Plan'!$L41:$BK41,($B$2-1)*13+M$5)=1,1,""))</f>
        <v/>
      </c>
      <c r="N41" s="32" t="str">
        <f aca="false">IF($A41="","",IF(INDEX('Year Plan'!$L41:$BK41,($B$2-1)*13+N$5)=1,1,""))</f>
        <v/>
      </c>
      <c r="O41" s="32" t="str">
        <f aca="false">IF($A41="","",IF(INDEX('Year Plan'!$L41:$BK41,($B$2-1)*13+O$5)=1,1,""))</f>
        <v/>
      </c>
      <c r="P41" s="32" t="str">
        <f aca="false">IF($A41="","",IF(INDEX('Year Plan'!$L41:$BK41,($B$2-1)*13+P$5)=1,1,""))</f>
        <v/>
      </c>
      <c r="Q41" s="32" t="str">
        <f aca="false">IF($A41="","",IF(INDEX('Year Plan'!$L41:$BK41,($B$2-1)*13+Q$5)=1,1,""))</f>
        <v/>
      </c>
      <c r="R41" s="32" t="str">
        <f aca="false">IF($A41="","",IF(INDEX('Year Plan'!$L41:$BK41,($B$2-1)*13+R$5)=1,1,""))</f>
        <v/>
      </c>
      <c r="S41" s="32" t="str">
        <f aca="false">IF($A41="","",IF(INDEX('Year Plan'!$L41:$BK41,($B$2-1)*13+S$5)=1,1,""))</f>
        <v/>
      </c>
      <c r="T41" s="32" t="str">
        <f aca="false">IF($A41="","",IF(INDEX('Year Plan'!$L41:$BK41,($B$2-1)*13+T$5)=1,1,""))</f>
        <v/>
      </c>
    </row>
    <row r="42" customFormat="false" ht="21.75" hidden="false" customHeight="true" outlineLevel="0" collapsed="false">
      <c r="A42" s="38" t="str">
        <f aca="false">IF('Year Plan'!$B42="","",'Year Plan'!$B42)</f>
        <v/>
      </c>
      <c r="B42" s="39" t="str">
        <f aca="false">IF('Year Plan'!$B42="","",'Year Plan'!$D42)</f>
        <v/>
      </c>
      <c r="C42" s="38" t="str">
        <f aca="false">IF('Year Plan'!$B42="","",'Year Plan'!$E42)</f>
        <v/>
      </c>
      <c r="D42" s="39" t="str">
        <f aca="false">IF('Year Plan'!$B42="","",'Year Plan'!$G42)</f>
        <v/>
      </c>
      <c r="E42" s="40" t="str">
        <f aca="false">IF('Year Plan'!$B42="","",'Year Plan'!$H42)</f>
        <v/>
      </c>
      <c r="F42" s="40" t="str">
        <f aca="false">IF('Year Plan'!$B42="","",'Year Plan'!$I42)</f>
        <v/>
      </c>
      <c r="G42" s="41" t="str">
        <f aca="false">IF('Year Plan'!$B42="","",'Year Plan'!$J42)</f>
        <v/>
      </c>
      <c r="H42" s="32" t="str">
        <f aca="false">IF($A42="","",IF(INDEX('Year Plan'!$L42:$BK42,($B$2-1)*13+H$5)=1,1,""))</f>
        <v/>
      </c>
      <c r="I42" s="32" t="str">
        <f aca="false">IF($A42="","",IF(INDEX('Year Plan'!$L42:$BK42,($B$2-1)*13+I$5)=1,1,""))</f>
        <v/>
      </c>
      <c r="J42" s="32" t="str">
        <f aca="false">IF($A42="","",IF(INDEX('Year Plan'!$L42:$BK42,($B$2-1)*13+J$5)=1,1,""))</f>
        <v/>
      </c>
      <c r="K42" s="32" t="str">
        <f aca="false">IF($A42="","",IF(INDEX('Year Plan'!$L42:$BK42,($B$2-1)*13+K$5)=1,1,""))</f>
        <v/>
      </c>
      <c r="L42" s="32" t="str">
        <f aca="false">IF($A42="","",IF(INDEX('Year Plan'!$L42:$BK42,($B$2-1)*13+L$5)=1,1,""))</f>
        <v/>
      </c>
      <c r="M42" s="32" t="str">
        <f aca="false">IF($A42="","",IF(INDEX('Year Plan'!$L42:$BK42,($B$2-1)*13+M$5)=1,1,""))</f>
        <v/>
      </c>
      <c r="N42" s="32" t="str">
        <f aca="false">IF($A42="","",IF(INDEX('Year Plan'!$L42:$BK42,($B$2-1)*13+N$5)=1,1,""))</f>
        <v/>
      </c>
      <c r="O42" s="32" t="str">
        <f aca="false">IF($A42="","",IF(INDEX('Year Plan'!$L42:$BK42,($B$2-1)*13+O$5)=1,1,""))</f>
        <v/>
      </c>
      <c r="P42" s="32" t="str">
        <f aca="false">IF($A42="","",IF(INDEX('Year Plan'!$L42:$BK42,($B$2-1)*13+P$5)=1,1,""))</f>
        <v/>
      </c>
      <c r="Q42" s="32" t="str">
        <f aca="false">IF($A42="","",IF(INDEX('Year Plan'!$L42:$BK42,($B$2-1)*13+Q$5)=1,1,""))</f>
        <v/>
      </c>
      <c r="R42" s="32" t="str">
        <f aca="false">IF($A42="","",IF(INDEX('Year Plan'!$L42:$BK42,($B$2-1)*13+R$5)=1,1,""))</f>
        <v/>
      </c>
      <c r="S42" s="32" t="str">
        <f aca="false">IF($A42="","",IF(INDEX('Year Plan'!$L42:$BK42,($B$2-1)*13+S$5)=1,1,""))</f>
        <v/>
      </c>
      <c r="T42" s="32" t="str">
        <f aca="false">IF($A42="","",IF(INDEX('Year Plan'!$L42:$BK42,($B$2-1)*13+T$5)=1,1,""))</f>
        <v/>
      </c>
    </row>
    <row r="43" customFormat="false" ht="21.75" hidden="false" customHeight="true" outlineLevel="0" collapsed="false">
      <c r="A43" s="38" t="str">
        <f aca="false">IF('Year Plan'!$B43="","",'Year Plan'!$B43)</f>
        <v/>
      </c>
      <c r="B43" s="39" t="str">
        <f aca="false">IF('Year Plan'!$B43="","",'Year Plan'!$D43)</f>
        <v/>
      </c>
      <c r="C43" s="38" t="str">
        <f aca="false">IF('Year Plan'!$B43="","",'Year Plan'!$E43)</f>
        <v/>
      </c>
      <c r="D43" s="39" t="str">
        <f aca="false">IF('Year Plan'!$B43="","",'Year Plan'!$G43)</f>
        <v/>
      </c>
      <c r="E43" s="40" t="str">
        <f aca="false">IF('Year Plan'!$B43="","",'Year Plan'!$H43)</f>
        <v/>
      </c>
      <c r="F43" s="40" t="str">
        <f aca="false">IF('Year Plan'!$B43="","",'Year Plan'!$I43)</f>
        <v/>
      </c>
      <c r="G43" s="41" t="str">
        <f aca="false">IF('Year Plan'!$B43="","",'Year Plan'!$J43)</f>
        <v/>
      </c>
      <c r="H43" s="32" t="str">
        <f aca="false">IF($A43="","",IF(INDEX('Year Plan'!$L43:$BK43,($B$2-1)*13+H$5)=1,1,""))</f>
        <v/>
      </c>
      <c r="I43" s="32" t="str">
        <f aca="false">IF($A43="","",IF(INDEX('Year Plan'!$L43:$BK43,($B$2-1)*13+I$5)=1,1,""))</f>
        <v/>
      </c>
      <c r="J43" s="32" t="str">
        <f aca="false">IF($A43="","",IF(INDEX('Year Plan'!$L43:$BK43,($B$2-1)*13+J$5)=1,1,""))</f>
        <v/>
      </c>
      <c r="K43" s="32" t="str">
        <f aca="false">IF($A43="","",IF(INDEX('Year Plan'!$L43:$BK43,($B$2-1)*13+K$5)=1,1,""))</f>
        <v/>
      </c>
      <c r="L43" s="32" t="str">
        <f aca="false">IF($A43="","",IF(INDEX('Year Plan'!$L43:$BK43,($B$2-1)*13+L$5)=1,1,""))</f>
        <v/>
      </c>
      <c r="M43" s="32" t="str">
        <f aca="false">IF($A43="","",IF(INDEX('Year Plan'!$L43:$BK43,($B$2-1)*13+M$5)=1,1,""))</f>
        <v/>
      </c>
      <c r="N43" s="32" t="str">
        <f aca="false">IF($A43="","",IF(INDEX('Year Plan'!$L43:$BK43,($B$2-1)*13+N$5)=1,1,""))</f>
        <v/>
      </c>
      <c r="O43" s="32" t="str">
        <f aca="false">IF($A43="","",IF(INDEX('Year Plan'!$L43:$BK43,($B$2-1)*13+O$5)=1,1,""))</f>
        <v/>
      </c>
      <c r="P43" s="32" t="str">
        <f aca="false">IF($A43="","",IF(INDEX('Year Plan'!$L43:$BK43,($B$2-1)*13+P$5)=1,1,""))</f>
        <v/>
      </c>
      <c r="Q43" s="32" t="str">
        <f aca="false">IF($A43="","",IF(INDEX('Year Plan'!$L43:$BK43,($B$2-1)*13+Q$5)=1,1,""))</f>
        <v/>
      </c>
      <c r="R43" s="32" t="str">
        <f aca="false">IF($A43="","",IF(INDEX('Year Plan'!$L43:$BK43,($B$2-1)*13+R$5)=1,1,""))</f>
        <v/>
      </c>
      <c r="S43" s="32" t="str">
        <f aca="false">IF($A43="","",IF(INDEX('Year Plan'!$L43:$BK43,($B$2-1)*13+S$5)=1,1,""))</f>
        <v/>
      </c>
      <c r="T43" s="32" t="str">
        <f aca="false">IF($A43="","",IF(INDEX('Year Plan'!$L43:$BK43,($B$2-1)*13+T$5)=1,1,""))</f>
        <v/>
      </c>
    </row>
    <row r="44" customFormat="false" ht="21.75" hidden="false" customHeight="true" outlineLevel="0" collapsed="false">
      <c r="A44" s="38" t="str">
        <f aca="false">IF('Year Plan'!$B44="","",'Year Plan'!$B44)</f>
        <v/>
      </c>
      <c r="B44" s="39" t="str">
        <f aca="false">IF('Year Plan'!$B44="","",'Year Plan'!$D44)</f>
        <v/>
      </c>
      <c r="C44" s="38" t="str">
        <f aca="false">IF('Year Plan'!$B44="","",'Year Plan'!$E44)</f>
        <v/>
      </c>
      <c r="D44" s="39" t="str">
        <f aca="false">IF('Year Plan'!$B44="","",'Year Plan'!$G44)</f>
        <v/>
      </c>
      <c r="E44" s="40" t="str">
        <f aca="false">IF('Year Plan'!$B44="","",'Year Plan'!$H44)</f>
        <v/>
      </c>
      <c r="F44" s="40" t="str">
        <f aca="false">IF('Year Plan'!$B44="","",'Year Plan'!$I44)</f>
        <v/>
      </c>
      <c r="G44" s="41" t="str">
        <f aca="false">IF('Year Plan'!$B44="","",'Year Plan'!$J44)</f>
        <v/>
      </c>
      <c r="H44" s="32" t="str">
        <f aca="false">IF($A44="","",IF(INDEX('Year Plan'!$L44:$BK44,($B$2-1)*13+H$5)=1,1,""))</f>
        <v/>
      </c>
      <c r="I44" s="32" t="str">
        <f aca="false">IF($A44="","",IF(INDEX('Year Plan'!$L44:$BK44,($B$2-1)*13+I$5)=1,1,""))</f>
        <v/>
      </c>
      <c r="J44" s="32" t="str">
        <f aca="false">IF($A44="","",IF(INDEX('Year Plan'!$L44:$BK44,($B$2-1)*13+J$5)=1,1,""))</f>
        <v/>
      </c>
      <c r="K44" s="32" t="str">
        <f aca="false">IF($A44="","",IF(INDEX('Year Plan'!$L44:$BK44,($B$2-1)*13+K$5)=1,1,""))</f>
        <v/>
      </c>
      <c r="L44" s="32" t="str">
        <f aca="false">IF($A44="","",IF(INDEX('Year Plan'!$L44:$BK44,($B$2-1)*13+L$5)=1,1,""))</f>
        <v/>
      </c>
      <c r="M44" s="32" t="str">
        <f aca="false">IF($A44="","",IF(INDEX('Year Plan'!$L44:$BK44,($B$2-1)*13+M$5)=1,1,""))</f>
        <v/>
      </c>
      <c r="N44" s="32" t="str">
        <f aca="false">IF($A44="","",IF(INDEX('Year Plan'!$L44:$BK44,($B$2-1)*13+N$5)=1,1,""))</f>
        <v/>
      </c>
      <c r="O44" s="32" t="str">
        <f aca="false">IF($A44="","",IF(INDEX('Year Plan'!$L44:$BK44,($B$2-1)*13+O$5)=1,1,""))</f>
        <v/>
      </c>
      <c r="P44" s="32" t="str">
        <f aca="false">IF($A44="","",IF(INDEX('Year Plan'!$L44:$BK44,($B$2-1)*13+P$5)=1,1,""))</f>
        <v/>
      </c>
      <c r="Q44" s="32" t="str">
        <f aca="false">IF($A44="","",IF(INDEX('Year Plan'!$L44:$BK44,($B$2-1)*13+Q$5)=1,1,""))</f>
        <v/>
      </c>
      <c r="R44" s="32" t="str">
        <f aca="false">IF($A44="","",IF(INDEX('Year Plan'!$L44:$BK44,($B$2-1)*13+R$5)=1,1,""))</f>
        <v/>
      </c>
      <c r="S44" s="32" t="str">
        <f aca="false">IF($A44="","",IF(INDEX('Year Plan'!$L44:$BK44,($B$2-1)*13+S$5)=1,1,""))</f>
        <v/>
      </c>
      <c r="T44" s="32" t="str">
        <f aca="false">IF($A44="","",IF(INDEX('Year Plan'!$L44:$BK44,($B$2-1)*13+T$5)=1,1,""))</f>
        <v/>
      </c>
    </row>
    <row r="45" customFormat="false" ht="21.75" hidden="false" customHeight="true" outlineLevel="0" collapsed="false">
      <c r="A45" s="38" t="str">
        <f aca="false">IF('Year Plan'!$B45="","",'Year Plan'!$B45)</f>
        <v/>
      </c>
      <c r="B45" s="39" t="str">
        <f aca="false">IF('Year Plan'!$B45="","",'Year Plan'!$D45)</f>
        <v/>
      </c>
      <c r="C45" s="38" t="str">
        <f aca="false">IF('Year Plan'!$B45="","",'Year Plan'!$E45)</f>
        <v/>
      </c>
      <c r="D45" s="39" t="str">
        <f aca="false">IF('Year Plan'!$B45="","",'Year Plan'!$G45)</f>
        <v/>
      </c>
      <c r="E45" s="40" t="str">
        <f aca="false">IF('Year Plan'!$B45="","",'Year Plan'!$H45)</f>
        <v/>
      </c>
      <c r="F45" s="40" t="str">
        <f aca="false">IF('Year Plan'!$B45="","",'Year Plan'!$I45)</f>
        <v/>
      </c>
      <c r="G45" s="41" t="str">
        <f aca="false">IF('Year Plan'!$B45="","",'Year Plan'!$J45)</f>
        <v/>
      </c>
      <c r="H45" s="32" t="str">
        <f aca="false">IF($A45="","",IF(INDEX('Year Plan'!$L45:$BK45,($B$2-1)*13+H$5)=1,1,""))</f>
        <v/>
      </c>
      <c r="I45" s="32" t="str">
        <f aca="false">IF($A45="","",IF(INDEX('Year Plan'!$L45:$BK45,($B$2-1)*13+I$5)=1,1,""))</f>
        <v/>
      </c>
      <c r="J45" s="32" t="str">
        <f aca="false">IF($A45="","",IF(INDEX('Year Plan'!$L45:$BK45,($B$2-1)*13+J$5)=1,1,""))</f>
        <v/>
      </c>
      <c r="K45" s="32" t="str">
        <f aca="false">IF($A45="","",IF(INDEX('Year Plan'!$L45:$BK45,($B$2-1)*13+K$5)=1,1,""))</f>
        <v/>
      </c>
      <c r="L45" s="32" t="str">
        <f aca="false">IF($A45="","",IF(INDEX('Year Plan'!$L45:$BK45,($B$2-1)*13+L$5)=1,1,""))</f>
        <v/>
      </c>
      <c r="M45" s="32" t="str">
        <f aca="false">IF($A45="","",IF(INDEX('Year Plan'!$L45:$BK45,($B$2-1)*13+M$5)=1,1,""))</f>
        <v/>
      </c>
      <c r="N45" s="32" t="str">
        <f aca="false">IF($A45="","",IF(INDEX('Year Plan'!$L45:$BK45,($B$2-1)*13+N$5)=1,1,""))</f>
        <v/>
      </c>
      <c r="O45" s="32" t="str">
        <f aca="false">IF($A45="","",IF(INDEX('Year Plan'!$L45:$BK45,($B$2-1)*13+O$5)=1,1,""))</f>
        <v/>
      </c>
      <c r="P45" s="32" t="str">
        <f aca="false">IF($A45="","",IF(INDEX('Year Plan'!$L45:$BK45,($B$2-1)*13+P$5)=1,1,""))</f>
        <v/>
      </c>
      <c r="Q45" s="32" t="str">
        <f aca="false">IF($A45="","",IF(INDEX('Year Plan'!$L45:$BK45,($B$2-1)*13+Q$5)=1,1,""))</f>
        <v/>
      </c>
      <c r="R45" s="32" t="str">
        <f aca="false">IF($A45="","",IF(INDEX('Year Plan'!$L45:$BK45,($B$2-1)*13+R$5)=1,1,""))</f>
        <v/>
      </c>
      <c r="S45" s="32" t="str">
        <f aca="false">IF($A45="","",IF(INDEX('Year Plan'!$L45:$BK45,($B$2-1)*13+S$5)=1,1,""))</f>
        <v/>
      </c>
      <c r="T45" s="32" t="str">
        <f aca="false">IF($A45="","",IF(INDEX('Year Plan'!$L45:$BK45,($B$2-1)*13+T$5)=1,1,""))</f>
        <v/>
      </c>
    </row>
    <row r="46" customFormat="false" ht="21.75" hidden="false" customHeight="true" outlineLevel="0" collapsed="false">
      <c r="A46" s="38" t="str">
        <f aca="false">IF('Year Plan'!$B46="","",'Year Plan'!$B46)</f>
        <v/>
      </c>
      <c r="B46" s="39" t="str">
        <f aca="false">IF('Year Plan'!$B46="","",'Year Plan'!$D46)</f>
        <v/>
      </c>
      <c r="C46" s="38" t="str">
        <f aca="false">IF('Year Plan'!$B46="","",'Year Plan'!$E46)</f>
        <v/>
      </c>
      <c r="D46" s="39" t="str">
        <f aca="false">IF('Year Plan'!$B46="","",'Year Plan'!$G46)</f>
        <v/>
      </c>
      <c r="E46" s="40" t="str">
        <f aca="false">IF('Year Plan'!$B46="","",'Year Plan'!$H46)</f>
        <v/>
      </c>
      <c r="F46" s="40" t="str">
        <f aca="false">IF('Year Plan'!$B46="","",'Year Plan'!$I46)</f>
        <v/>
      </c>
      <c r="G46" s="41" t="str">
        <f aca="false">IF('Year Plan'!$B46="","",'Year Plan'!$J46)</f>
        <v/>
      </c>
      <c r="H46" s="32" t="str">
        <f aca="false">IF($A46="","",IF(INDEX('Year Plan'!$L46:$BK46,($B$2-1)*13+H$5)=1,1,""))</f>
        <v/>
      </c>
      <c r="I46" s="32" t="str">
        <f aca="false">IF($A46="","",IF(INDEX('Year Plan'!$L46:$BK46,($B$2-1)*13+I$5)=1,1,""))</f>
        <v/>
      </c>
      <c r="J46" s="32" t="str">
        <f aca="false">IF($A46="","",IF(INDEX('Year Plan'!$L46:$BK46,($B$2-1)*13+J$5)=1,1,""))</f>
        <v/>
      </c>
      <c r="K46" s="32" t="str">
        <f aca="false">IF($A46="","",IF(INDEX('Year Plan'!$L46:$BK46,($B$2-1)*13+K$5)=1,1,""))</f>
        <v/>
      </c>
      <c r="L46" s="32" t="str">
        <f aca="false">IF($A46="","",IF(INDEX('Year Plan'!$L46:$BK46,($B$2-1)*13+L$5)=1,1,""))</f>
        <v/>
      </c>
      <c r="M46" s="32" t="str">
        <f aca="false">IF($A46="","",IF(INDEX('Year Plan'!$L46:$BK46,($B$2-1)*13+M$5)=1,1,""))</f>
        <v/>
      </c>
      <c r="N46" s="32" t="str">
        <f aca="false">IF($A46="","",IF(INDEX('Year Plan'!$L46:$BK46,($B$2-1)*13+N$5)=1,1,""))</f>
        <v/>
      </c>
      <c r="O46" s="32" t="str">
        <f aca="false">IF($A46="","",IF(INDEX('Year Plan'!$L46:$BK46,($B$2-1)*13+O$5)=1,1,""))</f>
        <v/>
      </c>
      <c r="P46" s="32" t="str">
        <f aca="false">IF($A46="","",IF(INDEX('Year Plan'!$L46:$BK46,($B$2-1)*13+P$5)=1,1,""))</f>
        <v/>
      </c>
      <c r="Q46" s="32" t="str">
        <f aca="false">IF($A46="","",IF(INDEX('Year Plan'!$L46:$BK46,($B$2-1)*13+Q$5)=1,1,""))</f>
        <v/>
      </c>
      <c r="R46" s="32" t="str">
        <f aca="false">IF($A46="","",IF(INDEX('Year Plan'!$L46:$BK46,($B$2-1)*13+R$5)=1,1,""))</f>
        <v/>
      </c>
      <c r="S46" s="32" t="str">
        <f aca="false">IF($A46="","",IF(INDEX('Year Plan'!$L46:$BK46,($B$2-1)*13+S$5)=1,1,""))</f>
        <v/>
      </c>
      <c r="T46" s="32" t="str">
        <f aca="false">IF($A46="","",IF(INDEX('Year Plan'!$L46:$BK46,($B$2-1)*13+T$5)=1,1,""))</f>
        <v/>
      </c>
    </row>
  </sheetData>
  <conditionalFormatting sqref="H7:T46">
    <cfRule type="expression" priority="2" aboveAverage="0" equalAverage="0" bottom="0" percent="0" rank="0" text="" dxfId="10">
      <formula>AND(H7=1,$D7="On track")</formula>
    </cfRule>
    <cfRule type="expression" priority="3" aboveAverage="0" equalAverage="0" bottom="0" percent="0" rank="0" text="" dxfId="11">
      <formula>AND(H7=1,$D7="At risk")</formula>
    </cfRule>
    <cfRule type="expression" priority="4" aboveAverage="0" equalAverage="0" bottom="0" percent="0" rank="0" text="" dxfId="12">
      <formula>AND(H7=1,$D7="Off track")</formula>
    </cfRule>
    <cfRule type="expression" priority="5" aboveAverage="0" equalAverage="0" bottom="0" percent="0" rank="0" text="" dxfId="13">
      <formula>AND(H7=1,$D7="Complete")</formula>
    </cfRule>
    <cfRule type="expression" priority="6" aboveAverage="0" equalAverage="0" bottom="0" percent="0" rank="0" text="" dxfId="14">
      <formula>AND(H7=1,$D7="Not started")</formula>
    </cfRule>
  </conditionalFormatting>
  <conditionalFormatting sqref="D7:D46">
    <cfRule type="cellIs" priority="7" operator="equal" aboveAverage="0" equalAverage="0" bottom="0" percent="0" rank="0" text="" dxfId="16">
      <formula>"On track"</formula>
    </cfRule>
    <cfRule type="cellIs" priority="8" operator="equal" aboveAverage="0" equalAverage="0" bottom="0" percent="0" rank="0" text="" dxfId="17">
      <formula>"At risk"</formula>
    </cfRule>
    <cfRule type="cellIs" priority="9" operator="equal" aboveAverage="0" equalAverage="0" bottom="0" percent="0" rank="0" text="" dxfId="18">
      <formula>"Off track"</formula>
    </cfRule>
    <cfRule type="cellIs" priority="10" operator="equal" aboveAverage="0" equalAverage="0" bottom="0" percent="0" rank="0" text="" dxfId="19">
      <formula>"Complete"</formula>
    </cfRule>
    <cfRule type="cellIs" priority="11" operator="equal" aboveAverage="0" equalAverage="0" bottom="0" percent="0" rank="0" text="" dxfId="20">
      <formula>"Not started"</formula>
    </cfRule>
  </conditionalFormatting>
  <conditionalFormatting sqref="H6:T6">
    <cfRule type="expression" priority="12" aboveAverage="0" equalAverage="0" bottom="0" percent="0" rank="0" text="" dxfId="15">
      <formula>AND(H$3&lt;=TODAY(),H$3+6&gt;TODAY())</formula>
    </cfRule>
  </conditionalFormatting>
  <dataValidations count="1">
    <dataValidation allowBlank="false" errorStyle="stop" operator="between" showDropDown="false" showErrorMessage="false" showInputMessage="false" sqref="B2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55" min="4" style="0" width="3.2"/>
  </cols>
  <sheetData>
    <row r="1" customFormat="false" ht="22.05" hidden="false" customHeight="false" outlineLevel="0" collapsed="false">
      <c r="A1" s="19" t="s">
        <v>159</v>
      </c>
    </row>
    <row r="2" customFormat="false" ht="15" hidden="false" customHeight="false" outlineLevel="0" collapsed="false">
      <c r="A2" s="2" t="s">
        <v>160</v>
      </c>
    </row>
    <row r="3" customFormat="false" ht="15" hidden="true" customHeight="false" outlineLevel="0" collapsed="false">
      <c r="D3" s="20" t="n">
        <f aca="false">'Year Plan'!L3</f>
        <v>46272</v>
      </c>
      <c r="E3" s="20" t="n">
        <f aca="false">'Year Plan'!M3</f>
        <v>46279</v>
      </c>
      <c r="F3" s="20" t="n">
        <f aca="false">'Year Plan'!N3</f>
        <v>46286</v>
      </c>
      <c r="G3" s="20" t="n">
        <f aca="false">'Year Plan'!O3</f>
        <v>46293</v>
      </c>
      <c r="H3" s="20" t="n">
        <f aca="false">'Year Plan'!P3</f>
        <v>46300</v>
      </c>
      <c r="I3" s="20" t="n">
        <f aca="false">'Year Plan'!Q3</f>
        <v>46307</v>
      </c>
      <c r="J3" s="20" t="n">
        <f aca="false">'Year Plan'!R3</f>
        <v>46314</v>
      </c>
      <c r="K3" s="20" t="n">
        <f aca="false">'Year Plan'!S3</f>
        <v>46321</v>
      </c>
      <c r="L3" s="20" t="n">
        <f aca="false">'Year Plan'!T3</f>
        <v>46328</v>
      </c>
      <c r="M3" s="20" t="n">
        <f aca="false">'Year Plan'!U3</f>
        <v>46335</v>
      </c>
      <c r="N3" s="20" t="n">
        <f aca="false">'Year Plan'!V3</f>
        <v>46342</v>
      </c>
      <c r="O3" s="20" t="n">
        <f aca="false">'Year Plan'!W3</f>
        <v>46349</v>
      </c>
      <c r="P3" s="20" t="n">
        <f aca="false">'Year Plan'!X3</f>
        <v>46356</v>
      </c>
      <c r="Q3" s="20" t="n">
        <f aca="false">'Year Plan'!Y3</f>
        <v>46363</v>
      </c>
      <c r="R3" s="20" t="n">
        <f aca="false">'Year Plan'!Z3</f>
        <v>46370</v>
      </c>
      <c r="S3" s="20" t="n">
        <f aca="false">'Year Plan'!AA3</f>
        <v>46377</v>
      </c>
      <c r="T3" s="20" t="n">
        <f aca="false">'Year Plan'!AB3</f>
        <v>46384</v>
      </c>
      <c r="U3" s="20" t="n">
        <f aca="false">'Year Plan'!AC3</f>
        <v>46391</v>
      </c>
      <c r="V3" s="20" t="n">
        <f aca="false">'Year Plan'!AD3</f>
        <v>46398</v>
      </c>
      <c r="W3" s="20" t="n">
        <f aca="false">'Year Plan'!AE3</f>
        <v>46405</v>
      </c>
      <c r="X3" s="20" t="n">
        <f aca="false">'Year Plan'!AF3</f>
        <v>46412</v>
      </c>
      <c r="Y3" s="20" t="n">
        <f aca="false">'Year Plan'!AG3</f>
        <v>46419</v>
      </c>
      <c r="Z3" s="20" t="n">
        <f aca="false">'Year Plan'!AH3</f>
        <v>46426</v>
      </c>
      <c r="AA3" s="20" t="n">
        <f aca="false">'Year Plan'!AI3</f>
        <v>46433</v>
      </c>
      <c r="AB3" s="20" t="n">
        <f aca="false">'Year Plan'!AJ3</f>
        <v>46440</v>
      </c>
      <c r="AC3" s="20" t="n">
        <f aca="false">'Year Plan'!AK3</f>
        <v>46447</v>
      </c>
      <c r="AD3" s="20" t="n">
        <f aca="false">'Year Plan'!AL3</f>
        <v>46454</v>
      </c>
      <c r="AE3" s="20" t="n">
        <f aca="false">'Year Plan'!AM3</f>
        <v>46461</v>
      </c>
      <c r="AF3" s="20" t="n">
        <f aca="false">'Year Plan'!AN3</f>
        <v>46468</v>
      </c>
      <c r="AG3" s="20" t="n">
        <f aca="false">'Year Plan'!AO3</f>
        <v>46475</v>
      </c>
      <c r="AH3" s="20" t="n">
        <f aca="false">'Year Plan'!AP3</f>
        <v>46482</v>
      </c>
      <c r="AI3" s="20" t="n">
        <f aca="false">'Year Plan'!AQ3</f>
        <v>46489</v>
      </c>
      <c r="AJ3" s="20" t="n">
        <f aca="false">'Year Plan'!AR3</f>
        <v>46496</v>
      </c>
      <c r="AK3" s="20" t="n">
        <f aca="false">'Year Plan'!AS3</f>
        <v>46503</v>
      </c>
      <c r="AL3" s="20" t="n">
        <f aca="false">'Year Plan'!AT3</f>
        <v>46510</v>
      </c>
      <c r="AM3" s="20" t="n">
        <f aca="false">'Year Plan'!AU3</f>
        <v>46517</v>
      </c>
      <c r="AN3" s="20" t="n">
        <f aca="false">'Year Plan'!AV3</f>
        <v>46524</v>
      </c>
      <c r="AO3" s="20" t="n">
        <f aca="false">'Year Plan'!AW3</f>
        <v>46531</v>
      </c>
      <c r="AP3" s="20" t="n">
        <f aca="false">'Year Plan'!AX3</f>
        <v>46538</v>
      </c>
      <c r="AQ3" s="20" t="n">
        <f aca="false">'Year Plan'!AY3</f>
        <v>46545</v>
      </c>
      <c r="AR3" s="20" t="n">
        <f aca="false">'Year Plan'!AZ3</f>
        <v>46552</v>
      </c>
      <c r="AS3" s="20" t="n">
        <f aca="false">'Year Plan'!BA3</f>
        <v>46559</v>
      </c>
      <c r="AT3" s="20" t="n">
        <f aca="false">'Year Plan'!BB3</f>
        <v>46566</v>
      </c>
      <c r="AU3" s="20" t="n">
        <f aca="false">'Year Plan'!BC3</f>
        <v>46573</v>
      </c>
      <c r="AV3" s="20" t="n">
        <f aca="false">'Year Plan'!BD3</f>
        <v>46580</v>
      </c>
      <c r="AW3" s="20" t="n">
        <f aca="false">'Year Plan'!BE3</f>
        <v>46587</v>
      </c>
      <c r="AX3" s="20" t="n">
        <f aca="false">'Year Plan'!BF3</f>
        <v>46594</v>
      </c>
      <c r="AY3" s="20" t="n">
        <f aca="false">'Year Plan'!BG3</f>
        <v>46601</v>
      </c>
      <c r="AZ3" s="20" t="n">
        <f aca="false">'Year Plan'!BH3</f>
        <v>46608</v>
      </c>
      <c r="BA3" s="20" t="n">
        <f aca="false">'Year Plan'!BI3</f>
        <v>46615</v>
      </c>
      <c r="BB3" s="20" t="n">
        <f aca="false">'Year Plan'!BJ3</f>
        <v>46622</v>
      </c>
      <c r="BC3" s="20" t="n">
        <f aca="false">'Year Plan'!BK3</f>
        <v>46629</v>
      </c>
    </row>
    <row r="4" customFormat="false" ht="15" hidden="false" customHeight="false" outlineLevel="0" collapsed="false">
      <c r="D4" s="42" t="s">
        <v>70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3" t="s">
        <v>71</v>
      </c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2" t="s">
        <v>72</v>
      </c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3" t="s">
        <v>73</v>
      </c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3"/>
      <c r="BC4" s="43"/>
    </row>
    <row r="6" customFormat="false" ht="25.5" hidden="false" customHeight="true" outlineLevel="0" collapsed="false">
      <c r="A6" s="24" t="s">
        <v>161</v>
      </c>
      <c r="B6" s="24" t="s">
        <v>47</v>
      </c>
      <c r="C6" s="24" t="s">
        <v>162</v>
      </c>
      <c r="D6" s="25" t="s">
        <v>84</v>
      </c>
      <c r="E6" s="25" t="s">
        <v>85</v>
      </c>
      <c r="F6" s="25" t="s">
        <v>86</v>
      </c>
      <c r="G6" s="25" t="s">
        <v>87</v>
      </c>
      <c r="H6" s="25" t="s">
        <v>88</v>
      </c>
      <c r="I6" s="25" t="s">
        <v>89</v>
      </c>
      <c r="J6" s="25" t="s">
        <v>90</v>
      </c>
      <c r="K6" s="25" t="s">
        <v>91</v>
      </c>
      <c r="L6" s="25" t="s">
        <v>92</v>
      </c>
      <c r="M6" s="25" t="s">
        <v>93</v>
      </c>
      <c r="N6" s="25" t="s">
        <v>94</v>
      </c>
      <c r="O6" s="25" t="s">
        <v>95</v>
      </c>
      <c r="P6" s="25" t="s">
        <v>96</v>
      </c>
      <c r="Q6" s="25" t="s">
        <v>97</v>
      </c>
      <c r="R6" s="25" t="s">
        <v>98</v>
      </c>
      <c r="S6" s="25" t="s">
        <v>99</v>
      </c>
      <c r="T6" s="25" t="s">
        <v>100</v>
      </c>
      <c r="U6" s="25" t="s">
        <v>101</v>
      </c>
      <c r="V6" s="25" t="s">
        <v>102</v>
      </c>
      <c r="W6" s="25" t="s">
        <v>103</v>
      </c>
      <c r="X6" s="25" t="s">
        <v>104</v>
      </c>
      <c r="Y6" s="25" t="s">
        <v>105</v>
      </c>
      <c r="Z6" s="25" t="s">
        <v>106</v>
      </c>
      <c r="AA6" s="25" t="s">
        <v>107</v>
      </c>
      <c r="AB6" s="25" t="s">
        <v>108</v>
      </c>
      <c r="AC6" s="25" t="s">
        <v>109</v>
      </c>
      <c r="AD6" s="25" t="s">
        <v>110</v>
      </c>
      <c r="AE6" s="25" t="s">
        <v>111</v>
      </c>
      <c r="AF6" s="25" t="s">
        <v>112</v>
      </c>
      <c r="AG6" s="25" t="s">
        <v>113</v>
      </c>
      <c r="AH6" s="25" t="s">
        <v>114</v>
      </c>
      <c r="AI6" s="25" t="s">
        <v>115</v>
      </c>
      <c r="AJ6" s="25" t="s">
        <v>116</v>
      </c>
      <c r="AK6" s="25" t="s">
        <v>117</v>
      </c>
      <c r="AL6" s="25" t="s">
        <v>118</v>
      </c>
      <c r="AM6" s="25" t="s">
        <v>119</v>
      </c>
      <c r="AN6" s="25" t="s">
        <v>120</v>
      </c>
      <c r="AO6" s="25" t="s">
        <v>121</v>
      </c>
      <c r="AP6" s="25" t="s">
        <v>122</v>
      </c>
      <c r="AQ6" s="25" t="s">
        <v>123</v>
      </c>
      <c r="AR6" s="25" t="s">
        <v>124</v>
      </c>
      <c r="AS6" s="25" t="s">
        <v>125</v>
      </c>
      <c r="AT6" s="25" t="s">
        <v>126</v>
      </c>
      <c r="AU6" s="25" t="s">
        <v>127</v>
      </c>
      <c r="AV6" s="25" t="s">
        <v>128</v>
      </c>
      <c r="AW6" s="25" t="s">
        <v>129</v>
      </c>
      <c r="AX6" s="25" t="s">
        <v>130</v>
      </c>
      <c r="AY6" s="25" t="s">
        <v>131</v>
      </c>
      <c r="AZ6" s="25" t="s">
        <v>132</v>
      </c>
      <c r="BA6" s="25" t="s">
        <v>133</v>
      </c>
      <c r="BB6" s="25" t="s">
        <v>134</v>
      </c>
      <c r="BC6" s="25" t="s">
        <v>135</v>
      </c>
    </row>
    <row r="7" customFormat="false" ht="19.5" hidden="false" customHeight="true" outlineLevel="0" collapsed="false">
      <c r="A7" s="39" t="str">
        <f aca="false">IF(Setup!$B$11="","",Setup!$B$11)</f>
        <v>Priya Nathan</v>
      </c>
      <c r="B7" s="39" t="str">
        <f aca="false">IF(Setup!$B$11="","",Setup!$C$11)</f>
        <v>Tech lead</v>
      </c>
      <c r="C7" s="44" t="n">
        <f aca="false">IF($A7="","",SUMPRODUCT(--ISNUMBER(SEARCH(","&amp;SUBSTITUTE($A7," ","")&amp;",",'Year Plan'!$BM$7:$BM$46))))</f>
        <v>1</v>
      </c>
      <c r="D7" s="45" t="n">
        <f aca="false">IF($A7="","",SUMPRODUCT(--ISNUMBER(SEARCH(","&amp;SUBSTITUTE($A7," ","")&amp;",",'Year Plan'!$BM$7:$BM$46)),--('Year Plan'!$H$7:$H$46&lt;&gt;""),--('Year Plan'!$H$7:$H$46&lt;=D$3+6),--('Year Plan'!$I$7:$I$46&gt;=D$3)))</f>
        <v>1</v>
      </c>
      <c r="E7" s="45" t="n">
        <f aca="false">IF($A7="","",SUMPRODUCT(--ISNUMBER(SEARCH(","&amp;SUBSTITUTE($A7," ","")&amp;",",'Year Plan'!$BM$7:$BM$46)),--('Year Plan'!$H$7:$H$46&lt;&gt;""),--('Year Plan'!$H$7:$H$46&lt;=E$3+6),--('Year Plan'!$I$7:$I$46&gt;=E$3)))</f>
        <v>1</v>
      </c>
      <c r="F7" s="45" t="n">
        <f aca="false">IF($A7="","",SUMPRODUCT(--ISNUMBER(SEARCH(","&amp;SUBSTITUTE($A7," ","")&amp;",",'Year Plan'!$BM$7:$BM$46)),--('Year Plan'!$H$7:$H$46&lt;&gt;""),--('Year Plan'!$H$7:$H$46&lt;=F$3+6),--('Year Plan'!$I$7:$I$46&gt;=F$3)))</f>
        <v>1</v>
      </c>
      <c r="G7" s="45" t="n">
        <f aca="false">IF($A7="","",SUMPRODUCT(--ISNUMBER(SEARCH(","&amp;SUBSTITUTE($A7," ","")&amp;",",'Year Plan'!$BM$7:$BM$46)),--('Year Plan'!$H$7:$H$46&lt;&gt;""),--('Year Plan'!$H$7:$H$46&lt;=G$3+6),--('Year Plan'!$I$7:$I$46&gt;=G$3)))</f>
        <v>1</v>
      </c>
      <c r="H7" s="45" t="n">
        <f aca="false">IF($A7="","",SUMPRODUCT(--ISNUMBER(SEARCH(","&amp;SUBSTITUTE($A7," ","")&amp;",",'Year Plan'!$BM$7:$BM$46)),--('Year Plan'!$H$7:$H$46&lt;&gt;""),--('Year Plan'!$H$7:$H$46&lt;=H$3+6),--('Year Plan'!$I$7:$I$46&gt;=H$3)))</f>
        <v>1</v>
      </c>
      <c r="I7" s="45" t="n">
        <f aca="false">IF($A7="","",SUMPRODUCT(--ISNUMBER(SEARCH(","&amp;SUBSTITUTE($A7," ","")&amp;",",'Year Plan'!$BM$7:$BM$46)),--('Year Plan'!$H$7:$H$46&lt;&gt;""),--('Year Plan'!$H$7:$H$46&lt;=I$3+6),--('Year Plan'!$I$7:$I$46&gt;=I$3)))</f>
        <v>1</v>
      </c>
      <c r="J7" s="45" t="n">
        <f aca="false">IF($A7="","",SUMPRODUCT(--ISNUMBER(SEARCH(","&amp;SUBSTITUTE($A7," ","")&amp;",",'Year Plan'!$BM$7:$BM$46)),--('Year Plan'!$H$7:$H$46&lt;&gt;""),--('Year Plan'!$H$7:$H$46&lt;=J$3+6),--('Year Plan'!$I$7:$I$46&gt;=J$3)))</f>
        <v>1</v>
      </c>
      <c r="K7" s="45" t="n">
        <f aca="false">IF($A7="","",SUMPRODUCT(--ISNUMBER(SEARCH(","&amp;SUBSTITUTE($A7," ","")&amp;",",'Year Plan'!$BM$7:$BM$46)),--('Year Plan'!$H$7:$H$46&lt;&gt;""),--('Year Plan'!$H$7:$H$46&lt;=K$3+6),--('Year Plan'!$I$7:$I$46&gt;=K$3)))</f>
        <v>1</v>
      </c>
      <c r="L7" s="45" t="n">
        <f aca="false">IF($A7="","",SUMPRODUCT(--ISNUMBER(SEARCH(","&amp;SUBSTITUTE($A7," ","")&amp;",",'Year Plan'!$BM$7:$BM$46)),--('Year Plan'!$H$7:$H$46&lt;&gt;""),--('Year Plan'!$H$7:$H$46&lt;=L$3+6),--('Year Plan'!$I$7:$I$46&gt;=L$3)))</f>
        <v>1</v>
      </c>
      <c r="M7" s="45" t="n">
        <f aca="false">IF($A7="","",SUMPRODUCT(--ISNUMBER(SEARCH(","&amp;SUBSTITUTE($A7," ","")&amp;",",'Year Plan'!$BM$7:$BM$46)),--('Year Plan'!$H$7:$H$46&lt;&gt;""),--('Year Plan'!$H$7:$H$46&lt;=M$3+6),--('Year Plan'!$I$7:$I$46&gt;=M$3)))</f>
        <v>1</v>
      </c>
      <c r="N7" s="45" t="n">
        <f aca="false">IF($A7="","",SUMPRODUCT(--ISNUMBER(SEARCH(","&amp;SUBSTITUTE($A7," ","")&amp;",",'Year Plan'!$BM$7:$BM$46)),--('Year Plan'!$H$7:$H$46&lt;&gt;""),--('Year Plan'!$H$7:$H$46&lt;=N$3+6),--('Year Plan'!$I$7:$I$46&gt;=N$3)))</f>
        <v>1</v>
      </c>
      <c r="O7" s="45" t="n">
        <f aca="false">IF($A7="","",SUMPRODUCT(--ISNUMBER(SEARCH(","&amp;SUBSTITUTE($A7," ","")&amp;",",'Year Plan'!$BM$7:$BM$46)),--('Year Plan'!$H$7:$H$46&lt;&gt;""),--('Year Plan'!$H$7:$H$46&lt;=O$3+6),--('Year Plan'!$I$7:$I$46&gt;=O$3)))</f>
        <v>1</v>
      </c>
      <c r="P7" s="45" t="n">
        <f aca="false">IF($A7="","",SUMPRODUCT(--ISNUMBER(SEARCH(","&amp;SUBSTITUTE($A7," ","")&amp;",",'Year Plan'!$BM$7:$BM$46)),--('Year Plan'!$H$7:$H$46&lt;&gt;""),--('Year Plan'!$H$7:$H$46&lt;=P$3+6),--('Year Plan'!$I$7:$I$46&gt;=P$3)))</f>
        <v>1</v>
      </c>
      <c r="Q7" s="45" t="n">
        <f aca="false">IF($A7="","",SUMPRODUCT(--ISNUMBER(SEARCH(","&amp;SUBSTITUTE($A7," ","")&amp;",",'Year Plan'!$BM$7:$BM$46)),--('Year Plan'!$H$7:$H$46&lt;&gt;""),--('Year Plan'!$H$7:$H$46&lt;=Q$3+6),--('Year Plan'!$I$7:$I$46&gt;=Q$3)))</f>
        <v>1</v>
      </c>
      <c r="R7" s="45" t="n">
        <f aca="false">IF($A7="","",SUMPRODUCT(--ISNUMBER(SEARCH(","&amp;SUBSTITUTE($A7," ","")&amp;",",'Year Plan'!$BM$7:$BM$46)),--('Year Plan'!$H$7:$H$46&lt;&gt;""),--('Year Plan'!$H$7:$H$46&lt;=R$3+6),--('Year Plan'!$I$7:$I$46&gt;=R$3)))</f>
        <v>1</v>
      </c>
      <c r="S7" s="45" t="n">
        <f aca="false">IF($A7="","",SUMPRODUCT(--ISNUMBER(SEARCH(","&amp;SUBSTITUTE($A7," ","")&amp;",",'Year Plan'!$BM$7:$BM$46)),--('Year Plan'!$H$7:$H$46&lt;&gt;""),--('Year Plan'!$H$7:$H$46&lt;=S$3+6),--('Year Plan'!$I$7:$I$46&gt;=S$3)))</f>
        <v>1</v>
      </c>
      <c r="T7" s="45" t="n">
        <f aca="false">IF($A7="","",SUMPRODUCT(--ISNUMBER(SEARCH(","&amp;SUBSTITUTE($A7," ","")&amp;",",'Year Plan'!$BM$7:$BM$46)),--('Year Plan'!$H$7:$H$46&lt;&gt;""),--('Year Plan'!$H$7:$H$46&lt;=T$3+6),--('Year Plan'!$I$7:$I$46&gt;=T$3)))</f>
        <v>1</v>
      </c>
      <c r="U7" s="45" t="n">
        <f aca="false">IF($A7="","",SUMPRODUCT(--ISNUMBER(SEARCH(","&amp;SUBSTITUTE($A7," ","")&amp;",",'Year Plan'!$BM$7:$BM$46)),--('Year Plan'!$H$7:$H$46&lt;&gt;""),--('Year Plan'!$H$7:$H$46&lt;=U$3+6),--('Year Plan'!$I$7:$I$46&gt;=U$3)))</f>
        <v>1</v>
      </c>
      <c r="V7" s="45" t="n">
        <f aca="false">IF($A7="","",SUMPRODUCT(--ISNUMBER(SEARCH(","&amp;SUBSTITUTE($A7," ","")&amp;",",'Year Plan'!$BM$7:$BM$46)),--('Year Plan'!$H$7:$H$46&lt;&gt;""),--('Year Plan'!$H$7:$H$46&lt;=V$3+6),--('Year Plan'!$I$7:$I$46&gt;=V$3)))</f>
        <v>1</v>
      </c>
      <c r="W7" s="45" t="n">
        <f aca="false">IF($A7="","",SUMPRODUCT(--ISNUMBER(SEARCH(","&amp;SUBSTITUTE($A7," ","")&amp;",",'Year Plan'!$BM$7:$BM$46)),--('Year Plan'!$H$7:$H$46&lt;&gt;""),--('Year Plan'!$H$7:$H$46&lt;=W$3+6),--('Year Plan'!$I$7:$I$46&gt;=W$3)))</f>
        <v>1</v>
      </c>
      <c r="X7" s="45" t="n">
        <f aca="false">IF($A7="","",SUMPRODUCT(--ISNUMBER(SEARCH(","&amp;SUBSTITUTE($A7," ","")&amp;",",'Year Plan'!$BM$7:$BM$46)),--('Year Plan'!$H$7:$H$46&lt;&gt;""),--('Year Plan'!$H$7:$H$46&lt;=X$3+6),--('Year Plan'!$I$7:$I$46&gt;=X$3)))</f>
        <v>1</v>
      </c>
      <c r="Y7" s="45" t="n">
        <f aca="false">IF($A7="","",SUMPRODUCT(--ISNUMBER(SEARCH(","&amp;SUBSTITUTE($A7," ","")&amp;",",'Year Plan'!$BM$7:$BM$46)),--('Year Plan'!$H$7:$H$46&lt;&gt;""),--('Year Plan'!$H$7:$H$46&lt;=Y$3+6),--('Year Plan'!$I$7:$I$46&gt;=Y$3)))</f>
        <v>1</v>
      </c>
      <c r="Z7" s="45" t="n">
        <f aca="false">IF($A7="","",SUMPRODUCT(--ISNUMBER(SEARCH(","&amp;SUBSTITUTE($A7," ","")&amp;",",'Year Plan'!$BM$7:$BM$46)),--('Year Plan'!$H$7:$H$46&lt;&gt;""),--('Year Plan'!$H$7:$H$46&lt;=Z$3+6),--('Year Plan'!$I$7:$I$46&gt;=Z$3)))</f>
        <v>1</v>
      </c>
      <c r="AA7" s="45" t="n">
        <f aca="false">IF($A7="","",SUMPRODUCT(--ISNUMBER(SEARCH(","&amp;SUBSTITUTE($A7," ","")&amp;",",'Year Plan'!$BM$7:$BM$46)),--('Year Plan'!$H$7:$H$46&lt;&gt;""),--('Year Plan'!$H$7:$H$46&lt;=AA$3+6),--('Year Plan'!$I$7:$I$46&gt;=AA$3)))</f>
        <v>1</v>
      </c>
      <c r="AB7" s="45" t="n">
        <f aca="false">IF($A7="","",SUMPRODUCT(--ISNUMBER(SEARCH(","&amp;SUBSTITUTE($A7," ","")&amp;",",'Year Plan'!$BM$7:$BM$46)),--('Year Plan'!$H$7:$H$46&lt;&gt;""),--('Year Plan'!$H$7:$H$46&lt;=AB$3+6),--('Year Plan'!$I$7:$I$46&gt;=AB$3)))</f>
        <v>1</v>
      </c>
      <c r="AC7" s="45" t="n">
        <f aca="false">IF($A7="","",SUMPRODUCT(--ISNUMBER(SEARCH(","&amp;SUBSTITUTE($A7," ","")&amp;",",'Year Plan'!$BM$7:$BM$46)),--('Year Plan'!$H$7:$H$46&lt;&gt;""),--('Year Plan'!$H$7:$H$46&lt;=AC$3+6),--('Year Plan'!$I$7:$I$46&gt;=AC$3)))</f>
        <v>1</v>
      </c>
      <c r="AD7" s="45" t="n">
        <f aca="false">IF($A7="","",SUMPRODUCT(--ISNUMBER(SEARCH(","&amp;SUBSTITUTE($A7," ","")&amp;",",'Year Plan'!$BM$7:$BM$46)),--('Year Plan'!$H$7:$H$46&lt;&gt;""),--('Year Plan'!$H$7:$H$46&lt;=AD$3+6),--('Year Plan'!$I$7:$I$46&gt;=AD$3)))</f>
        <v>0</v>
      </c>
      <c r="AE7" s="45" t="n">
        <f aca="false">IF($A7="","",SUMPRODUCT(--ISNUMBER(SEARCH(","&amp;SUBSTITUTE($A7," ","")&amp;",",'Year Plan'!$BM$7:$BM$46)),--('Year Plan'!$H$7:$H$46&lt;&gt;""),--('Year Plan'!$H$7:$H$46&lt;=AE$3+6),--('Year Plan'!$I$7:$I$46&gt;=AE$3)))</f>
        <v>0</v>
      </c>
      <c r="AF7" s="45" t="n">
        <f aca="false">IF($A7="","",SUMPRODUCT(--ISNUMBER(SEARCH(","&amp;SUBSTITUTE($A7," ","")&amp;",",'Year Plan'!$BM$7:$BM$46)),--('Year Plan'!$H$7:$H$46&lt;&gt;""),--('Year Plan'!$H$7:$H$46&lt;=AF$3+6),--('Year Plan'!$I$7:$I$46&gt;=AF$3)))</f>
        <v>0</v>
      </c>
      <c r="AG7" s="45" t="n">
        <f aca="false">IF($A7="","",SUMPRODUCT(--ISNUMBER(SEARCH(","&amp;SUBSTITUTE($A7," ","")&amp;",",'Year Plan'!$BM$7:$BM$46)),--('Year Plan'!$H$7:$H$46&lt;&gt;""),--('Year Plan'!$H$7:$H$46&lt;=AG$3+6),--('Year Plan'!$I$7:$I$46&gt;=AG$3)))</f>
        <v>0</v>
      </c>
      <c r="AH7" s="45" t="n">
        <f aca="false">IF($A7="","",SUMPRODUCT(--ISNUMBER(SEARCH(","&amp;SUBSTITUTE($A7," ","")&amp;",",'Year Plan'!$BM$7:$BM$46)),--('Year Plan'!$H$7:$H$46&lt;&gt;""),--('Year Plan'!$H$7:$H$46&lt;=AH$3+6),--('Year Plan'!$I$7:$I$46&gt;=AH$3)))</f>
        <v>0</v>
      </c>
      <c r="AI7" s="45" t="n">
        <f aca="false">IF($A7="","",SUMPRODUCT(--ISNUMBER(SEARCH(","&amp;SUBSTITUTE($A7," ","")&amp;",",'Year Plan'!$BM$7:$BM$46)),--('Year Plan'!$H$7:$H$46&lt;&gt;""),--('Year Plan'!$H$7:$H$46&lt;=AI$3+6),--('Year Plan'!$I$7:$I$46&gt;=AI$3)))</f>
        <v>0</v>
      </c>
      <c r="AJ7" s="45" t="n">
        <f aca="false">IF($A7="","",SUMPRODUCT(--ISNUMBER(SEARCH(","&amp;SUBSTITUTE($A7," ","")&amp;",",'Year Plan'!$BM$7:$BM$46)),--('Year Plan'!$H$7:$H$46&lt;&gt;""),--('Year Plan'!$H$7:$H$46&lt;=AJ$3+6),--('Year Plan'!$I$7:$I$46&gt;=AJ$3)))</f>
        <v>0</v>
      </c>
      <c r="AK7" s="45" t="n">
        <f aca="false">IF($A7="","",SUMPRODUCT(--ISNUMBER(SEARCH(","&amp;SUBSTITUTE($A7," ","")&amp;",",'Year Plan'!$BM$7:$BM$46)),--('Year Plan'!$H$7:$H$46&lt;&gt;""),--('Year Plan'!$H$7:$H$46&lt;=AK$3+6),--('Year Plan'!$I$7:$I$46&gt;=AK$3)))</f>
        <v>0</v>
      </c>
      <c r="AL7" s="45" t="n">
        <f aca="false">IF($A7="","",SUMPRODUCT(--ISNUMBER(SEARCH(","&amp;SUBSTITUTE($A7," ","")&amp;",",'Year Plan'!$BM$7:$BM$46)),--('Year Plan'!$H$7:$H$46&lt;&gt;""),--('Year Plan'!$H$7:$H$46&lt;=AL$3+6),--('Year Plan'!$I$7:$I$46&gt;=AL$3)))</f>
        <v>0</v>
      </c>
      <c r="AM7" s="45" t="n">
        <f aca="false">IF($A7="","",SUMPRODUCT(--ISNUMBER(SEARCH(","&amp;SUBSTITUTE($A7," ","")&amp;",",'Year Plan'!$BM$7:$BM$46)),--('Year Plan'!$H$7:$H$46&lt;&gt;""),--('Year Plan'!$H$7:$H$46&lt;=AM$3+6),--('Year Plan'!$I$7:$I$46&gt;=AM$3)))</f>
        <v>0</v>
      </c>
      <c r="AN7" s="45" t="n">
        <f aca="false">IF($A7="","",SUMPRODUCT(--ISNUMBER(SEARCH(","&amp;SUBSTITUTE($A7," ","")&amp;",",'Year Plan'!$BM$7:$BM$46)),--('Year Plan'!$H$7:$H$46&lt;&gt;""),--('Year Plan'!$H$7:$H$46&lt;=AN$3+6),--('Year Plan'!$I$7:$I$46&gt;=AN$3)))</f>
        <v>0</v>
      </c>
      <c r="AO7" s="45" t="n">
        <f aca="false">IF($A7="","",SUMPRODUCT(--ISNUMBER(SEARCH(","&amp;SUBSTITUTE($A7," ","")&amp;",",'Year Plan'!$BM$7:$BM$46)),--('Year Plan'!$H$7:$H$46&lt;&gt;""),--('Year Plan'!$H$7:$H$46&lt;=AO$3+6),--('Year Plan'!$I$7:$I$46&gt;=AO$3)))</f>
        <v>0</v>
      </c>
      <c r="AP7" s="45" t="n">
        <f aca="false">IF($A7="","",SUMPRODUCT(--ISNUMBER(SEARCH(","&amp;SUBSTITUTE($A7," ","")&amp;",",'Year Plan'!$BM$7:$BM$46)),--('Year Plan'!$H$7:$H$46&lt;&gt;""),--('Year Plan'!$H$7:$H$46&lt;=AP$3+6),--('Year Plan'!$I$7:$I$46&gt;=AP$3)))</f>
        <v>0</v>
      </c>
      <c r="AQ7" s="45" t="n">
        <f aca="false">IF($A7="","",SUMPRODUCT(--ISNUMBER(SEARCH(","&amp;SUBSTITUTE($A7," ","")&amp;",",'Year Plan'!$BM$7:$BM$46)),--('Year Plan'!$H$7:$H$46&lt;&gt;""),--('Year Plan'!$H$7:$H$46&lt;=AQ$3+6),--('Year Plan'!$I$7:$I$46&gt;=AQ$3)))</f>
        <v>0</v>
      </c>
      <c r="AR7" s="45" t="n">
        <f aca="false">IF($A7="","",SUMPRODUCT(--ISNUMBER(SEARCH(","&amp;SUBSTITUTE($A7," ","")&amp;",",'Year Plan'!$BM$7:$BM$46)),--('Year Plan'!$H$7:$H$46&lt;&gt;""),--('Year Plan'!$H$7:$H$46&lt;=AR$3+6),--('Year Plan'!$I$7:$I$46&gt;=AR$3)))</f>
        <v>0</v>
      </c>
      <c r="AS7" s="45" t="n">
        <f aca="false">IF($A7="","",SUMPRODUCT(--ISNUMBER(SEARCH(","&amp;SUBSTITUTE($A7," ","")&amp;",",'Year Plan'!$BM$7:$BM$46)),--('Year Plan'!$H$7:$H$46&lt;&gt;""),--('Year Plan'!$H$7:$H$46&lt;=AS$3+6),--('Year Plan'!$I$7:$I$46&gt;=AS$3)))</f>
        <v>0</v>
      </c>
      <c r="AT7" s="45" t="n">
        <f aca="false">IF($A7="","",SUMPRODUCT(--ISNUMBER(SEARCH(","&amp;SUBSTITUTE($A7," ","")&amp;",",'Year Plan'!$BM$7:$BM$46)),--('Year Plan'!$H$7:$H$46&lt;&gt;""),--('Year Plan'!$H$7:$H$46&lt;=AT$3+6),--('Year Plan'!$I$7:$I$46&gt;=AT$3)))</f>
        <v>0</v>
      </c>
      <c r="AU7" s="45" t="n">
        <f aca="false">IF($A7="","",SUMPRODUCT(--ISNUMBER(SEARCH(","&amp;SUBSTITUTE($A7," ","")&amp;",",'Year Plan'!$BM$7:$BM$46)),--('Year Plan'!$H$7:$H$46&lt;&gt;""),--('Year Plan'!$H$7:$H$46&lt;=AU$3+6),--('Year Plan'!$I$7:$I$46&gt;=AU$3)))</f>
        <v>0</v>
      </c>
      <c r="AV7" s="45" t="n">
        <f aca="false">IF($A7="","",SUMPRODUCT(--ISNUMBER(SEARCH(","&amp;SUBSTITUTE($A7," ","")&amp;",",'Year Plan'!$BM$7:$BM$46)),--('Year Plan'!$H$7:$H$46&lt;&gt;""),--('Year Plan'!$H$7:$H$46&lt;=AV$3+6),--('Year Plan'!$I$7:$I$46&gt;=AV$3)))</f>
        <v>0</v>
      </c>
      <c r="AW7" s="45" t="n">
        <f aca="false">IF($A7="","",SUMPRODUCT(--ISNUMBER(SEARCH(","&amp;SUBSTITUTE($A7," ","")&amp;",",'Year Plan'!$BM$7:$BM$46)),--('Year Plan'!$H$7:$H$46&lt;&gt;""),--('Year Plan'!$H$7:$H$46&lt;=AW$3+6),--('Year Plan'!$I$7:$I$46&gt;=AW$3)))</f>
        <v>0</v>
      </c>
      <c r="AX7" s="45" t="n">
        <f aca="false">IF($A7="","",SUMPRODUCT(--ISNUMBER(SEARCH(","&amp;SUBSTITUTE($A7," ","")&amp;",",'Year Plan'!$BM$7:$BM$46)),--('Year Plan'!$H$7:$H$46&lt;&gt;""),--('Year Plan'!$H$7:$H$46&lt;=AX$3+6),--('Year Plan'!$I$7:$I$46&gt;=AX$3)))</f>
        <v>0</v>
      </c>
      <c r="AY7" s="45" t="n">
        <f aca="false">IF($A7="","",SUMPRODUCT(--ISNUMBER(SEARCH(","&amp;SUBSTITUTE($A7," ","")&amp;",",'Year Plan'!$BM$7:$BM$46)),--('Year Plan'!$H$7:$H$46&lt;&gt;""),--('Year Plan'!$H$7:$H$46&lt;=AY$3+6),--('Year Plan'!$I$7:$I$46&gt;=AY$3)))</f>
        <v>0</v>
      </c>
      <c r="AZ7" s="45" t="n">
        <f aca="false">IF($A7="","",SUMPRODUCT(--ISNUMBER(SEARCH(","&amp;SUBSTITUTE($A7," ","")&amp;",",'Year Plan'!$BM$7:$BM$46)),--('Year Plan'!$H$7:$H$46&lt;&gt;""),--('Year Plan'!$H$7:$H$46&lt;=AZ$3+6),--('Year Plan'!$I$7:$I$46&gt;=AZ$3)))</f>
        <v>0</v>
      </c>
      <c r="BA7" s="45" t="n">
        <f aca="false">IF($A7="","",SUMPRODUCT(--ISNUMBER(SEARCH(","&amp;SUBSTITUTE($A7," ","")&amp;",",'Year Plan'!$BM$7:$BM$46)),--('Year Plan'!$H$7:$H$46&lt;&gt;""),--('Year Plan'!$H$7:$H$46&lt;=BA$3+6),--('Year Plan'!$I$7:$I$46&gt;=BA$3)))</f>
        <v>0</v>
      </c>
      <c r="BB7" s="45" t="n">
        <f aca="false">IF($A7="","",SUMPRODUCT(--ISNUMBER(SEARCH(","&amp;SUBSTITUTE($A7," ","")&amp;",",'Year Plan'!$BM$7:$BM$46)),--('Year Plan'!$H$7:$H$46&lt;&gt;""),--('Year Plan'!$H$7:$H$46&lt;=BB$3+6),--('Year Plan'!$I$7:$I$46&gt;=BB$3)))</f>
        <v>0</v>
      </c>
      <c r="BC7" s="45" t="n">
        <f aca="false">IF($A7="","",SUMPRODUCT(--ISNUMBER(SEARCH(","&amp;SUBSTITUTE($A7," ","")&amp;",",'Year Plan'!$BM$7:$BM$46)),--('Year Plan'!$H$7:$H$46&lt;&gt;""),--('Year Plan'!$H$7:$H$46&lt;=BC$3+6),--('Year Plan'!$I$7:$I$46&gt;=BC$3)))</f>
        <v>0</v>
      </c>
    </row>
    <row r="8" customFormat="false" ht="19.5" hidden="false" customHeight="true" outlineLevel="0" collapsed="false">
      <c r="A8" s="39" t="str">
        <f aca="false">IF(Setup!$B$12="","",Setup!$B$12)</f>
        <v>Marcus Bell</v>
      </c>
      <c r="B8" s="39" t="str">
        <f aca="false">IF(Setup!$B$12="","",Setup!$C$12)</f>
        <v>Senior engineer</v>
      </c>
      <c r="C8" s="44" t="n">
        <f aca="false">IF($A8="","",SUMPRODUCT(--ISNUMBER(SEARCH(","&amp;SUBSTITUTE($A8," ","")&amp;",",'Year Plan'!$BM$7:$BM$46))))</f>
        <v>2</v>
      </c>
      <c r="D8" s="45" t="n">
        <f aca="false">IF($A8="","",SUMPRODUCT(--ISNUMBER(SEARCH(","&amp;SUBSTITUTE($A8," ","")&amp;",",'Year Plan'!$BM$7:$BM$46)),--('Year Plan'!$H$7:$H$46&lt;&gt;""),--('Year Plan'!$H$7:$H$46&lt;=D$3+6),--('Year Plan'!$I$7:$I$46&gt;=D$3)))</f>
        <v>2</v>
      </c>
      <c r="E8" s="45" t="n">
        <f aca="false">IF($A8="","",SUMPRODUCT(--ISNUMBER(SEARCH(","&amp;SUBSTITUTE($A8," ","")&amp;",",'Year Plan'!$BM$7:$BM$46)),--('Year Plan'!$H$7:$H$46&lt;&gt;""),--('Year Plan'!$H$7:$H$46&lt;=E$3+6),--('Year Plan'!$I$7:$I$46&gt;=E$3)))</f>
        <v>2</v>
      </c>
      <c r="F8" s="45" t="n">
        <f aca="false">IF($A8="","",SUMPRODUCT(--ISNUMBER(SEARCH(","&amp;SUBSTITUTE($A8," ","")&amp;",",'Year Plan'!$BM$7:$BM$46)),--('Year Plan'!$H$7:$H$46&lt;&gt;""),--('Year Plan'!$H$7:$H$46&lt;=F$3+6),--('Year Plan'!$I$7:$I$46&gt;=F$3)))</f>
        <v>2</v>
      </c>
      <c r="G8" s="45" t="n">
        <f aca="false">IF($A8="","",SUMPRODUCT(--ISNUMBER(SEARCH(","&amp;SUBSTITUTE($A8," ","")&amp;",",'Year Plan'!$BM$7:$BM$46)),--('Year Plan'!$H$7:$H$46&lt;&gt;""),--('Year Plan'!$H$7:$H$46&lt;=G$3+6),--('Year Plan'!$I$7:$I$46&gt;=G$3)))</f>
        <v>2</v>
      </c>
      <c r="H8" s="45" t="n">
        <f aca="false">IF($A8="","",SUMPRODUCT(--ISNUMBER(SEARCH(","&amp;SUBSTITUTE($A8," ","")&amp;",",'Year Plan'!$BM$7:$BM$46)),--('Year Plan'!$H$7:$H$46&lt;&gt;""),--('Year Plan'!$H$7:$H$46&lt;=H$3+6),--('Year Plan'!$I$7:$I$46&gt;=H$3)))</f>
        <v>2</v>
      </c>
      <c r="I8" s="45" t="n">
        <f aca="false">IF($A8="","",SUMPRODUCT(--ISNUMBER(SEARCH(","&amp;SUBSTITUTE($A8," ","")&amp;",",'Year Plan'!$BM$7:$BM$46)),--('Year Plan'!$H$7:$H$46&lt;&gt;""),--('Year Plan'!$H$7:$H$46&lt;=I$3+6),--('Year Plan'!$I$7:$I$46&gt;=I$3)))</f>
        <v>2</v>
      </c>
      <c r="J8" s="45" t="n">
        <f aca="false">IF($A8="","",SUMPRODUCT(--ISNUMBER(SEARCH(","&amp;SUBSTITUTE($A8," ","")&amp;",",'Year Plan'!$BM$7:$BM$46)),--('Year Plan'!$H$7:$H$46&lt;&gt;""),--('Year Plan'!$H$7:$H$46&lt;=J$3+6),--('Year Plan'!$I$7:$I$46&gt;=J$3)))</f>
        <v>2</v>
      </c>
      <c r="K8" s="45" t="n">
        <f aca="false">IF($A8="","",SUMPRODUCT(--ISNUMBER(SEARCH(","&amp;SUBSTITUTE($A8," ","")&amp;",",'Year Plan'!$BM$7:$BM$46)),--('Year Plan'!$H$7:$H$46&lt;&gt;""),--('Year Plan'!$H$7:$H$46&lt;=K$3+6),--('Year Plan'!$I$7:$I$46&gt;=K$3)))</f>
        <v>2</v>
      </c>
      <c r="L8" s="45" t="n">
        <f aca="false">IF($A8="","",SUMPRODUCT(--ISNUMBER(SEARCH(","&amp;SUBSTITUTE($A8," ","")&amp;",",'Year Plan'!$BM$7:$BM$46)),--('Year Plan'!$H$7:$H$46&lt;&gt;""),--('Year Plan'!$H$7:$H$46&lt;=L$3+6),--('Year Plan'!$I$7:$I$46&gt;=L$3)))</f>
        <v>2</v>
      </c>
      <c r="M8" s="45" t="n">
        <f aca="false">IF($A8="","",SUMPRODUCT(--ISNUMBER(SEARCH(","&amp;SUBSTITUTE($A8," ","")&amp;",",'Year Plan'!$BM$7:$BM$46)),--('Year Plan'!$H$7:$H$46&lt;&gt;""),--('Year Plan'!$H$7:$H$46&lt;=M$3+6),--('Year Plan'!$I$7:$I$46&gt;=M$3)))</f>
        <v>2</v>
      </c>
      <c r="N8" s="45" t="n">
        <f aca="false">IF($A8="","",SUMPRODUCT(--ISNUMBER(SEARCH(","&amp;SUBSTITUTE($A8," ","")&amp;",",'Year Plan'!$BM$7:$BM$46)),--('Year Plan'!$H$7:$H$46&lt;&gt;""),--('Year Plan'!$H$7:$H$46&lt;=N$3+6),--('Year Plan'!$I$7:$I$46&gt;=N$3)))</f>
        <v>2</v>
      </c>
      <c r="O8" s="45" t="n">
        <f aca="false">IF($A8="","",SUMPRODUCT(--ISNUMBER(SEARCH(","&amp;SUBSTITUTE($A8," ","")&amp;",",'Year Plan'!$BM$7:$BM$46)),--('Year Plan'!$H$7:$H$46&lt;&gt;""),--('Year Plan'!$H$7:$H$46&lt;=O$3+6),--('Year Plan'!$I$7:$I$46&gt;=O$3)))</f>
        <v>2</v>
      </c>
      <c r="P8" s="45" t="n">
        <f aca="false">IF($A8="","",SUMPRODUCT(--ISNUMBER(SEARCH(","&amp;SUBSTITUTE($A8," ","")&amp;",",'Year Plan'!$BM$7:$BM$46)),--('Year Plan'!$H$7:$H$46&lt;&gt;""),--('Year Plan'!$H$7:$H$46&lt;=P$3+6),--('Year Plan'!$I$7:$I$46&gt;=P$3)))</f>
        <v>2</v>
      </c>
      <c r="Q8" s="45" t="n">
        <f aca="false">IF($A8="","",SUMPRODUCT(--ISNUMBER(SEARCH(","&amp;SUBSTITUTE($A8," ","")&amp;",",'Year Plan'!$BM$7:$BM$46)),--('Year Plan'!$H$7:$H$46&lt;&gt;""),--('Year Plan'!$H$7:$H$46&lt;=Q$3+6),--('Year Plan'!$I$7:$I$46&gt;=Q$3)))</f>
        <v>1</v>
      </c>
      <c r="R8" s="45" t="n">
        <f aca="false">IF($A8="","",SUMPRODUCT(--ISNUMBER(SEARCH(","&amp;SUBSTITUTE($A8," ","")&amp;",",'Year Plan'!$BM$7:$BM$46)),--('Year Plan'!$H$7:$H$46&lt;&gt;""),--('Year Plan'!$H$7:$H$46&lt;=R$3+6),--('Year Plan'!$I$7:$I$46&gt;=R$3)))</f>
        <v>1</v>
      </c>
      <c r="S8" s="45" t="n">
        <f aca="false">IF($A8="","",SUMPRODUCT(--ISNUMBER(SEARCH(","&amp;SUBSTITUTE($A8," ","")&amp;",",'Year Plan'!$BM$7:$BM$46)),--('Year Plan'!$H$7:$H$46&lt;&gt;""),--('Year Plan'!$H$7:$H$46&lt;=S$3+6),--('Year Plan'!$I$7:$I$46&gt;=S$3)))</f>
        <v>1</v>
      </c>
      <c r="T8" s="45" t="n">
        <f aca="false">IF($A8="","",SUMPRODUCT(--ISNUMBER(SEARCH(","&amp;SUBSTITUTE($A8," ","")&amp;",",'Year Plan'!$BM$7:$BM$46)),--('Year Plan'!$H$7:$H$46&lt;&gt;""),--('Year Plan'!$H$7:$H$46&lt;=T$3+6),--('Year Plan'!$I$7:$I$46&gt;=T$3)))</f>
        <v>1</v>
      </c>
      <c r="U8" s="45" t="n">
        <f aca="false">IF($A8="","",SUMPRODUCT(--ISNUMBER(SEARCH(","&amp;SUBSTITUTE($A8," ","")&amp;",",'Year Plan'!$BM$7:$BM$46)),--('Year Plan'!$H$7:$H$46&lt;&gt;""),--('Year Plan'!$H$7:$H$46&lt;=U$3+6),--('Year Plan'!$I$7:$I$46&gt;=U$3)))</f>
        <v>1</v>
      </c>
      <c r="V8" s="45" t="n">
        <f aca="false">IF($A8="","",SUMPRODUCT(--ISNUMBER(SEARCH(","&amp;SUBSTITUTE($A8," ","")&amp;",",'Year Plan'!$BM$7:$BM$46)),--('Year Plan'!$H$7:$H$46&lt;&gt;""),--('Year Plan'!$H$7:$H$46&lt;=V$3+6),--('Year Plan'!$I$7:$I$46&gt;=V$3)))</f>
        <v>1</v>
      </c>
      <c r="W8" s="45" t="n">
        <f aca="false">IF($A8="","",SUMPRODUCT(--ISNUMBER(SEARCH(","&amp;SUBSTITUTE($A8," ","")&amp;",",'Year Plan'!$BM$7:$BM$46)),--('Year Plan'!$H$7:$H$46&lt;&gt;""),--('Year Plan'!$H$7:$H$46&lt;=W$3+6),--('Year Plan'!$I$7:$I$46&gt;=W$3)))</f>
        <v>1</v>
      </c>
      <c r="X8" s="45" t="n">
        <f aca="false">IF($A8="","",SUMPRODUCT(--ISNUMBER(SEARCH(","&amp;SUBSTITUTE($A8," ","")&amp;",",'Year Plan'!$BM$7:$BM$46)),--('Year Plan'!$H$7:$H$46&lt;&gt;""),--('Year Plan'!$H$7:$H$46&lt;=X$3+6),--('Year Plan'!$I$7:$I$46&gt;=X$3)))</f>
        <v>1</v>
      </c>
      <c r="Y8" s="45" t="n">
        <f aca="false">IF($A8="","",SUMPRODUCT(--ISNUMBER(SEARCH(","&amp;SUBSTITUTE($A8," ","")&amp;",",'Year Plan'!$BM$7:$BM$46)),--('Year Plan'!$H$7:$H$46&lt;&gt;""),--('Year Plan'!$H$7:$H$46&lt;=Y$3+6),--('Year Plan'!$I$7:$I$46&gt;=Y$3)))</f>
        <v>1</v>
      </c>
      <c r="Z8" s="45" t="n">
        <f aca="false">IF($A8="","",SUMPRODUCT(--ISNUMBER(SEARCH(","&amp;SUBSTITUTE($A8," ","")&amp;",",'Year Plan'!$BM$7:$BM$46)),--('Year Plan'!$H$7:$H$46&lt;&gt;""),--('Year Plan'!$H$7:$H$46&lt;=Z$3+6),--('Year Plan'!$I$7:$I$46&gt;=Z$3)))</f>
        <v>1</v>
      </c>
      <c r="AA8" s="45" t="n">
        <f aca="false">IF($A8="","",SUMPRODUCT(--ISNUMBER(SEARCH(","&amp;SUBSTITUTE($A8," ","")&amp;",",'Year Plan'!$BM$7:$BM$46)),--('Year Plan'!$H$7:$H$46&lt;&gt;""),--('Year Plan'!$H$7:$H$46&lt;=AA$3+6),--('Year Plan'!$I$7:$I$46&gt;=AA$3)))</f>
        <v>1</v>
      </c>
      <c r="AB8" s="45" t="n">
        <f aca="false">IF($A8="","",SUMPRODUCT(--ISNUMBER(SEARCH(","&amp;SUBSTITUTE($A8," ","")&amp;",",'Year Plan'!$BM$7:$BM$46)),--('Year Plan'!$H$7:$H$46&lt;&gt;""),--('Year Plan'!$H$7:$H$46&lt;=AB$3+6),--('Year Plan'!$I$7:$I$46&gt;=AB$3)))</f>
        <v>1</v>
      </c>
      <c r="AC8" s="45" t="n">
        <f aca="false">IF($A8="","",SUMPRODUCT(--ISNUMBER(SEARCH(","&amp;SUBSTITUTE($A8," ","")&amp;",",'Year Plan'!$BM$7:$BM$46)),--('Year Plan'!$H$7:$H$46&lt;&gt;""),--('Year Plan'!$H$7:$H$46&lt;=AC$3+6),--('Year Plan'!$I$7:$I$46&gt;=AC$3)))</f>
        <v>1</v>
      </c>
      <c r="AD8" s="45" t="n">
        <f aca="false">IF($A8="","",SUMPRODUCT(--ISNUMBER(SEARCH(","&amp;SUBSTITUTE($A8," ","")&amp;",",'Year Plan'!$BM$7:$BM$46)),--('Year Plan'!$H$7:$H$46&lt;&gt;""),--('Year Plan'!$H$7:$H$46&lt;=AD$3+6),--('Year Plan'!$I$7:$I$46&gt;=AD$3)))</f>
        <v>0</v>
      </c>
      <c r="AE8" s="45" t="n">
        <f aca="false">IF($A8="","",SUMPRODUCT(--ISNUMBER(SEARCH(","&amp;SUBSTITUTE($A8," ","")&amp;",",'Year Plan'!$BM$7:$BM$46)),--('Year Plan'!$H$7:$H$46&lt;&gt;""),--('Year Plan'!$H$7:$H$46&lt;=AE$3+6),--('Year Plan'!$I$7:$I$46&gt;=AE$3)))</f>
        <v>0</v>
      </c>
      <c r="AF8" s="45" t="n">
        <f aca="false">IF($A8="","",SUMPRODUCT(--ISNUMBER(SEARCH(","&amp;SUBSTITUTE($A8," ","")&amp;",",'Year Plan'!$BM$7:$BM$46)),--('Year Plan'!$H$7:$H$46&lt;&gt;""),--('Year Plan'!$H$7:$H$46&lt;=AF$3+6),--('Year Plan'!$I$7:$I$46&gt;=AF$3)))</f>
        <v>0</v>
      </c>
      <c r="AG8" s="45" t="n">
        <f aca="false">IF($A8="","",SUMPRODUCT(--ISNUMBER(SEARCH(","&amp;SUBSTITUTE($A8," ","")&amp;",",'Year Plan'!$BM$7:$BM$46)),--('Year Plan'!$H$7:$H$46&lt;&gt;""),--('Year Plan'!$H$7:$H$46&lt;=AG$3+6),--('Year Plan'!$I$7:$I$46&gt;=AG$3)))</f>
        <v>0</v>
      </c>
      <c r="AH8" s="45" t="n">
        <f aca="false">IF($A8="","",SUMPRODUCT(--ISNUMBER(SEARCH(","&amp;SUBSTITUTE($A8," ","")&amp;",",'Year Plan'!$BM$7:$BM$46)),--('Year Plan'!$H$7:$H$46&lt;&gt;""),--('Year Plan'!$H$7:$H$46&lt;=AH$3+6),--('Year Plan'!$I$7:$I$46&gt;=AH$3)))</f>
        <v>0</v>
      </c>
      <c r="AI8" s="45" t="n">
        <f aca="false">IF($A8="","",SUMPRODUCT(--ISNUMBER(SEARCH(","&amp;SUBSTITUTE($A8," ","")&amp;",",'Year Plan'!$BM$7:$BM$46)),--('Year Plan'!$H$7:$H$46&lt;&gt;""),--('Year Plan'!$H$7:$H$46&lt;=AI$3+6),--('Year Plan'!$I$7:$I$46&gt;=AI$3)))</f>
        <v>0</v>
      </c>
      <c r="AJ8" s="45" t="n">
        <f aca="false">IF($A8="","",SUMPRODUCT(--ISNUMBER(SEARCH(","&amp;SUBSTITUTE($A8," ","")&amp;",",'Year Plan'!$BM$7:$BM$46)),--('Year Plan'!$H$7:$H$46&lt;&gt;""),--('Year Plan'!$H$7:$H$46&lt;=AJ$3+6),--('Year Plan'!$I$7:$I$46&gt;=AJ$3)))</f>
        <v>0</v>
      </c>
      <c r="AK8" s="45" t="n">
        <f aca="false">IF($A8="","",SUMPRODUCT(--ISNUMBER(SEARCH(","&amp;SUBSTITUTE($A8," ","")&amp;",",'Year Plan'!$BM$7:$BM$46)),--('Year Plan'!$H$7:$H$46&lt;&gt;""),--('Year Plan'!$H$7:$H$46&lt;=AK$3+6),--('Year Plan'!$I$7:$I$46&gt;=AK$3)))</f>
        <v>0</v>
      </c>
      <c r="AL8" s="45" t="n">
        <f aca="false">IF($A8="","",SUMPRODUCT(--ISNUMBER(SEARCH(","&amp;SUBSTITUTE($A8," ","")&amp;",",'Year Plan'!$BM$7:$BM$46)),--('Year Plan'!$H$7:$H$46&lt;&gt;""),--('Year Plan'!$H$7:$H$46&lt;=AL$3+6),--('Year Plan'!$I$7:$I$46&gt;=AL$3)))</f>
        <v>0</v>
      </c>
      <c r="AM8" s="45" t="n">
        <f aca="false">IF($A8="","",SUMPRODUCT(--ISNUMBER(SEARCH(","&amp;SUBSTITUTE($A8," ","")&amp;",",'Year Plan'!$BM$7:$BM$46)),--('Year Plan'!$H$7:$H$46&lt;&gt;""),--('Year Plan'!$H$7:$H$46&lt;=AM$3+6),--('Year Plan'!$I$7:$I$46&gt;=AM$3)))</f>
        <v>0</v>
      </c>
      <c r="AN8" s="45" t="n">
        <f aca="false">IF($A8="","",SUMPRODUCT(--ISNUMBER(SEARCH(","&amp;SUBSTITUTE($A8," ","")&amp;",",'Year Plan'!$BM$7:$BM$46)),--('Year Plan'!$H$7:$H$46&lt;&gt;""),--('Year Plan'!$H$7:$H$46&lt;=AN$3+6),--('Year Plan'!$I$7:$I$46&gt;=AN$3)))</f>
        <v>0</v>
      </c>
      <c r="AO8" s="45" t="n">
        <f aca="false">IF($A8="","",SUMPRODUCT(--ISNUMBER(SEARCH(","&amp;SUBSTITUTE($A8," ","")&amp;",",'Year Plan'!$BM$7:$BM$46)),--('Year Plan'!$H$7:$H$46&lt;&gt;""),--('Year Plan'!$H$7:$H$46&lt;=AO$3+6),--('Year Plan'!$I$7:$I$46&gt;=AO$3)))</f>
        <v>0</v>
      </c>
      <c r="AP8" s="45" t="n">
        <f aca="false">IF($A8="","",SUMPRODUCT(--ISNUMBER(SEARCH(","&amp;SUBSTITUTE($A8," ","")&amp;",",'Year Plan'!$BM$7:$BM$46)),--('Year Plan'!$H$7:$H$46&lt;&gt;""),--('Year Plan'!$H$7:$H$46&lt;=AP$3+6),--('Year Plan'!$I$7:$I$46&gt;=AP$3)))</f>
        <v>0</v>
      </c>
      <c r="AQ8" s="45" t="n">
        <f aca="false">IF($A8="","",SUMPRODUCT(--ISNUMBER(SEARCH(","&amp;SUBSTITUTE($A8," ","")&amp;",",'Year Plan'!$BM$7:$BM$46)),--('Year Plan'!$H$7:$H$46&lt;&gt;""),--('Year Plan'!$H$7:$H$46&lt;=AQ$3+6),--('Year Plan'!$I$7:$I$46&gt;=AQ$3)))</f>
        <v>0</v>
      </c>
      <c r="AR8" s="45" t="n">
        <f aca="false">IF($A8="","",SUMPRODUCT(--ISNUMBER(SEARCH(","&amp;SUBSTITUTE($A8," ","")&amp;",",'Year Plan'!$BM$7:$BM$46)),--('Year Plan'!$H$7:$H$46&lt;&gt;""),--('Year Plan'!$H$7:$H$46&lt;=AR$3+6),--('Year Plan'!$I$7:$I$46&gt;=AR$3)))</f>
        <v>0</v>
      </c>
      <c r="AS8" s="45" t="n">
        <f aca="false">IF($A8="","",SUMPRODUCT(--ISNUMBER(SEARCH(","&amp;SUBSTITUTE($A8," ","")&amp;",",'Year Plan'!$BM$7:$BM$46)),--('Year Plan'!$H$7:$H$46&lt;&gt;""),--('Year Plan'!$H$7:$H$46&lt;=AS$3+6),--('Year Plan'!$I$7:$I$46&gt;=AS$3)))</f>
        <v>0</v>
      </c>
      <c r="AT8" s="45" t="n">
        <f aca="false">IF($A8="","",SUMPRODUCT(--ISNUMBER(SEARCH(","&amp;SUBSTITUTE($A8," ","")&amp;",",'Year Plan'!$BM$7:$BM$46)),--('Year Plan'!$H$7:$H$46&lt;&gt;""),--('Year Plan'!$H$7:$H$46&lt;=AT$3+6),--('Year Plan'!$I$7:$I$46&gt;=AT$3)))</f>
        <v>0</v>
      </c>
      <c r="AU8" s="45" t="n">
        <f aca="false">IF($A8="","",SUMPRODUCT(--ISNUMBER(SEARCH(","&amp;SUBSTITUTE($A8," ","")&amp;",",'Year Plan'!$BM$7:$BM$46)),--('Year Plan'!$H$7:$H$46&lt;&gt;""),--('Year Plan'!$H$7:$H$46&lt;=AU$3+6),--('Year Plan'!$I$7:$I$46&gt;=AU$3)))</f>
        <v>0</v>
      </c>
      <c r="AV8" s="45" t="n">
        <f aca="false">IF($A8="","",SUMPRODUCT(--ISNUMBER(SEARCH(","&amp;SUBSTITUTE($A8," ","")&amp;",",'Year Plan'!$BM$7:$BM$46)),--('Year Plan'!$H$7:$H$46&lt;&gt;""),--('Year Plan'!$H$7:$H$46&lt;=AV$3+6),--('Year Plan'!$I$7:$I$46&gt;=AV$3)))</f>
        <v>0</v>
      </c>
      <c r="AW8" s="45" t="n">
        <f aca="false">IF($A8="","",SUMPRODUCT(--ISNUMBER(SEARCH(","&amp;SUBSTITUTE($A8," ","")&amp;",",'Year Plan'!$BM$7:$BM$46)),--('Year Plan'!$H$7:$H$46&lt;&gt;""),--('Year Plan'!$H$7:$H$46&lt;=AW$3+6),--('Year Plan'!$I$7:$I$46&gt;=AW$3)))</f>
        <v>0</v>
      </c>
      <c r="AX8" s="45" t="n">
        <f aca="false">IF($A8="","",SUMPRODUCT(--ISNUMBER(SEARCH(","&amp;SUBSTITUTE($A8," ","")&amp;",",'Year Plan'!$BM$7:$BM$46)),--('Year Plan'!$H$7:$H$46&lt;&gt;""),--('Year Plan'!$H$7:$H$46&lt;=AX$3+6),--('Year Plan'!$I$7:$I$46&gt;=AX$3)))</f>
        <v>0</v>
      </c>
      <c r="AY8" s="45" t="n">
        <f aca="false">IF($A8="","",SUMPRODUCT(--ISNUMBER(SEARCH(","&amp;SUBSTITUTE($A8," ","")&amp;",",'Year Plan'!$BM$7:$BM$46)),--('Year Plan'!$H$7:$H$46&lt;&gt;""),--('Year Plan'!$H$7:$H$46&lt;=AY$3+6),--('Year Plan'!$I$7:$I$46&gt;=AY$3)))</f>
        <v>0</v>
      </c>
      <c r="AZ8" s="45" t="n">
        <f aca="false">IF($A8="","",SUMPRODUCT(--ISNUMBER(SEARCH(","&amp;SUBSTITUTE($A8," ","")&amp;",",'Year Plan'!$BM$7:$BM$46)),--('Year Plan'!$H$7:$H$46&lt;&gt;""),--('Year Plan'!$H$7:$H$46&lt;=AZ$3+6),--('Year Plan'!$I$7:$I$46&gt;=AZ$3)))</f>
        <v>0</v>
      </c>
      <c r="BA8" s="45" t="n">
        <f aca="false">IF($A8="","",SUMPRODUCT(--ISNUMBER(SEARCH(","&amp;SUBSTITUTE($A8," ","")&amp;",",'Year Plan'!$BM$7:$BM$46)),--('Year Plan'!$H$7:$H$46&lt;&gt;""),--('Year Plan'!$H$7:$H$46&lt;=BA$3+6),--('Year Plan'!$I$7:$I$46&gt;=BA$3)))</f>
        <v>0</v>
      </c>
      <c r="BB8" s="45" t="n">
        <f aca="false">IF($A8="","",SUMPRODUCT(--ISNUMBER(SEARCH(","&amp;SUBSTITUTE($A8," ","")&amp;",",'Year Plan'!$BM$7:$BM$46)),--('Year Plan'!$H$7:$H$46&lt;&gt;""),--('Year Plan'!$H$7:$H$46&lt;=BB$3+6),--('Year Plan'!$I$7:$I$46&gt;=BB$3)))</f>
        <v>0</v>
      </c>
      <c r="BC8" s="45" t="n">
        <f aca="false">IF($A8="","",SUMPRODUCT(--ISNUMBER(SEARCH(","&amp;SUBSTITUTE($A8," ","")&amp;",",'Year Plan'!$BM$7:$BM$46)),--('Year Plan'!$H$7:$H$46&lt;&gt;""),--('Year Plan'!$H$7:$H$46&lt;=BC$3+6),--('Year Plan'!$I$7:$I$46&gt;=BC$3)))</f>
        <v>0</v>
      </c>
    </row>
    <row r="9" customFormat="false" ht="19.5" hidden="false" customHeight="true" outlineLevel="0" collapsed="false">
      <c r="A9" s="39" t="str">
        <f aca="false">IF(Setup!$B$13="","",Setup!$B$13)</f>
        <v>Dana Okafor</v>
      </c>
      <c r="B9" s="39" t="str">
        <f aca="false">IF(Setup!$B$13="","",Setup!$C$13)</f>
        <v>Senior engineer</v>
      </c>
      <c r="C9" s="44" t="n">
        <f aca="false">IF($A9="","",SUMPRODUCT(--ISNUMBER(SEARCH(","&amp;SUBSTITUTE($A9," ","")&amp;",",'Year Plan'!$BM$7:$BM$46))))</f>
        <v>2</v>
      </c>
      <c r="D9" s="45" t="n">
        <f aca="false">IF($A9="","",SUMPRODUCT(--ISNUMBER(SEARCH(","&amp;SUBSTITUTE($A9," ","")&amp;",",'Year Plan'!$BM$7:$BM$46)),--('Year Plan'!$H$7:$H$46&lt;&gt;""),--('Year Plan'!$H$7:$H$46&lt;=D$3+6),--('Year Plan'!$I$7:$I$46&gt;=D$3)))</f>
        <v>1</v>
      </c>
      <c r="E9" s="45" t="n">
        <f aca="false">IF($A9="","",SUMPRODUCT(--ISNUMBER(SEARCH(","&amp;SUBSTITUTE($A9," ","")&amp;",",'Year Plan'!$BM$7:$BM$46)),--('Year Plan'!$H$7:$H$46&lt;&gt;""),--('Year Plan'!$H$7:$H$46&lt;=E$3+6),--('Year Plan'!$I$7:$I$46&gt;=E$3)))</f>
        <v>1</v>
      </c>
      <c r="F9" s="45" t="n">
        <f aca="false">IF($A9="","",SUMPRODUCT(--ISNUMBER(SEARCH(","&amp;SUBSTITUTE($A9," ","")&amp;",",'Year Plan'!$BM$7:$BM$46)),--('Year Plan'!$H$7:$H$46&lt;&gt;""),--('Year Plan'!$H$7:$H$46&lt;=F$3+6),--('Year Plan'!$I$7:$I$46&gt;=F$3)))</f>
        <v>2</v>
      </c>
      <c r="G9" s="45" t="n">
        <f aca="false">IF($A9="","",SUMPRODUCT(--ISNUMBER(SEARCH(","&amp;SUBSTITUTE($A9," ","")&amp;",",'Year Plan'!$BM$7:$BM$46)),--('Year Plan'!$H$7:$H$46&lt;&gt;""),--('Year Plan'!$H$7:$H$46&lt;=G$3+6),--('Year Plan'!$I$7:$I$46&gt;=G$3)))</f>
        <v>2</v>
      </c>
      <c r="H9" s="45" t="n">
        <f aca="false">IF($A9="","",SUMPRODUCT(--ISNUMBER(SEARCH(","&amp;SUBSTITUTE($A9," ","")&amp;",",'Year Plan'!$BM$7:$BM$46)),--('Year Plan'!$H$7:$H$46&lt;&gt;""),--('Year Plan'!$H$7:$H$46&lt;=H$3+6),--('Year Plan'!$I$7:$I$46&gt;=H$3)))</f>
        <v>2</v>
      </c>
      <c r="I9" s="45" t="n">
        <f aca="false">IF($A9="","",SUMPRODUCT(--ISNUMBER(SEARCH(","&amp;SUBSTITUTE($A9," ","")&amp;",",'Year Plan'!$BM$7:$BM$46)),--('Year Plan'!$H$7:$H$46&lt;&gt;""),--('Year Plan'!$H$7:$H$46&lt;=I$3+6),--('Year Plan'!$I$7:$I$46&gt;=I$3)))</f>
        <v>2</v>
      </c>
      <c r="J9" s="45" t="n">
        <f aca="false">IF($A9="","",SUMPRODUCT(--ISNUMBER(SEARCH(","&amp;SUBSTITUTE($A9," ","")&amp;",",'Year Plan'!$BM$7:$BM$46)),--('Year Plan'!$H$7:$H$46&lt;&gt;""),--('Year Plan'!$H$7:$H$46&lt;=J$3+6),--('Year Plan'!$I$7:$I$46&gt;=J$3)))</f>
        <v>2</v>
      </c>
      <c r="K9" s="45" t="n">
        <f aca="false">IF($A9="","",SUMPRODUCT(--ISNUMBER(SEARCH(","&amp;SUBSTITUTE($A9," ","")&amp;",",'Year Plan'!$BM$7:$BM$46)),--('Year Plan'!$H$7:$H$46&lt;&gt;""),--('Year Plan'!$H$7:$H$46&lt;=K$3+6),--('Year Plan'!$I$7:$I$46&gt;=K$3)))</f>
        <v>2</v>
      </c>
      <c r="L9" s="45" t="n">
        <f aca="false">IF($A9="","",SUMPRODUCT(--ISNUMBER(SEARCH(","&amp;SUBSTITUTE($A9," ","")&amp;",",'Year Plan'!$BM$7:$BM$46)),--('Year Plan'!$H$7:$H$46&lt;&gt;""),--('Year Plan'!$H$7:$H$46&lt;=L$3+6),--('Year Plan'!$I$7:$I$46&gt;=L$3)))</f>
        <v>2</v>
      </c>
      <c r="M9" s="45" t="n">
        <f aca="false">IF($A9="","",SUMPRODUCT(--ISNUMBER(SEARCH(","&amp;SUBSTITUTE($A9," ","")&amp;",",'Year Plan'!$BM$7:$BM$46)),--('Year Plan'!$H$7:$H$46&lt;&gt;""),--('Year Plan'!$H$7:$H$46&lt;=M$3+6),--('Year Plan'!$I$7:$I$46&gt;=M$3)))</f>
        <v>2</v>
      </c>
      <c r="N9" s="45" t="n">
        <f aca="false">IF($A9="","",SUMPRODUCT(--ISNUMBER(SEARCH(","&amp;SUBSTITUTE($A9," ","")&amp;",",'Year Plan'!$BM$7:$BM$46)),--('Year Plan'!$H$7:$H$46&lt;&gt;""),--('Year Plan'!$H$7:$H$46&lt;=N$3+6),--('Year Plan'!$I$7:$I$46&gt;=N$3)))</f>
        <v>2</v>
      </c>
      <c r="O9" s="45" t="n">
        <f aca="false">IF($A9="","",SUMPRODUCT(--ISNUMBER(SEARCH(","&amp;SUBSTITUTE($A9," ","")&amp;",",'Year Plan'!$BM$7:$BM$46)),--('Year Plan'!$H$7:$H$46&lt;&gt;""),--('Year Plan'!$H$7:$H$46&lt;=O$3+6),--('Year Plan'!$I$7:$I$46&gt;=O$3)))</f>
        <v>1</v>
      </c>
      <c r="P9" s="45" t="n">
        <f aca="false">IF($A9="","",SUMPRODUCT(--ISNUMBER(SEARCH(","&amp;SUBSTITUTE($A9," ","")&amp;",",'Year Plan'!$BM$7:$BM$46)),--('Year Plan'!$H$7:$H$46&lt;&gt;""),--('Year Plan'!$H$7:$H$46&lt;=P$3+6),--('Year Plan'!$I$7:$I$46&gt;=P$3)))</f>
        <v>1</v>
      </c>
      <c r="Q9" s="45" t="n">
        <f aca="false">IF($A9="","",SUMPRODUCT(--ISNUMBER(SEARCH(","&amp;SUBSTITUTE($A9," ","")&amp;",",'Year Plan'!$BM$7:$BM$46)),--('Year Plan'!$H$7:$H$46&lt;&gt;""),--('Year Plan'!$H$7:$H$46&lt;=Q$3+6),--('Year Plan'!$I$7:$I$46&gt;=Q$3)))</f>
        <v>1</v>
      </c>
      <c r="R9" s="45" t="n">
        <f aca="false">IF($A9="","",SUMPRODUCT(--ISNUMBER(SEARCH(","&amp;SUBSTITUTE($A9," ","")&amp;",",'Year Plan'!$BM$7:$BM$46)),--('Year Plan'!$H$7:$H$46&lt;&gt;""),--('Year Plan'!$H$7:$H$46&lt;=R$3+6),--('Year Plan'!$I$7:$I$46&gt;=R$3)))</f>
        <v>1</v>
      </c>
      <c r="S9" s="45" t="n">
        <f aca="false">IF($A9="","",SUMPRODUCT(--ISNUMBER(SEARCH(","&amp;SUBSTITUTE($A9," ","")&amp;",",'Year Plan'!$BM$7:$BM$46)),--('Year Plan'!$H$7:$H$46&lt;&gt;""),--('Year Plan'!$H$7:$H$46&lt;=S$3+6),--('Year Plan'!$I$7:$I$46&gt;=S$3)))</f>
        <v>1</v>
      </c>
      <c r="T9" s="45" t="n">
        <f aca="false">IF($A9="","",SUMPRODUCT(--ISNUMBER(SEARCH(","&amp;SUBSTITUTE($A9," ","")&amp;",",'Year Plan'!$BM$7:$BM$46)),--('Year Plan'!$H$7:$H$46&lt;&gt;""),--('Year Plan'!$H$7:$H$46&lt;=T$3+6),--('Year Plan'!$I$7:$I$46&gt;=T$3)))</f>
        <v>1</v>
      </c>
      <c r="U9" s="45" t="n">
        <f aca="false">IF($A9="","",SUMPRODUCT(--ISNUMBER(SEARCH(","&amp;SUBSTITUTE($A9," ","")&amp;",",'Year Plan'!$BM$7:$BM$46)),--('Year Plan'!$H$7:$H$46&lt;&gt;""),--('Year Plan'!$H$7:$H$46&lt;=U$3+6),--('Year Plan'!$I$7:$I$46&gt;=U$3)))</f>
        <v>1</v>
      </c>
      <c r="V9" s="45" t="n">
        <f aca="false">IF($A9="","",SUMPRODUCT(--ISNUMBER(SEARCH(","&amp;SUBSTITUTE($A9," ","")&amp;",",'Year Plan'!$BM$7:$BM$46)),--('Year Plan'!$H$7:$H$46&lt;&gt;""),--('Year Plan'!$H$7:$H$46&lt;=V$3+6),--('Year Plan'!$I$7:$I$46&gt;=V$3)))</f>
        <v>1</v>
      </c>
      <c r="W9" s="45" t="n">
        <f aca="false">IF($A9="","",SUMPRODUCT(--ISNUMBER(SEARCH(","&amp;SUBSTITUTE($A9," ","")&amp;",",'Year Plan'!$BM$7:$BM$46)),--('Year Plan'!$H$7:$H$46&lt;&gt;""),--('Year Plan'!$H$7:$H$46&lt;=W$3+6),--('Year Plan'!$I$7:$I$46&gt;=W$3)))</f>
        <v>1</v>
      </c>
      <c r="X9" s="45" t="n">
        <f aca="false">IF($A9="","",SUMPRODUCT(--ISNUMBER(SEARCH(","&amp;SUBSTITUTE($A9," ","")&amp;",",'Year Plan'!$BM$7:$BM$46)),--('Year Plan'!$H$7:$H$46&lt;&gt;""),--('Year Plan'!$H$7:$H$46&lt;=X$3+6),--('Year Plan'!$I$7:$I$46&gt;=X$3)))</f>
        <v>1</v>
      </c>
      <c r="Y9" s="45" t="n">
        <f aca="false">IF($A9="","",SUMPRODUCT(--ISNUMBER(SEARCH(","&amp;SUBSTITUTE($A9," ","")&amp;",",'Year Plan'!$BM$7:$BM$46)),--('Year Plan'!$H$7:$H$46&lt;&gt;""),--('Year Plan'!$H$7:$H$46&lt;=Y$3+6),--('Year Plan'!$I$7:$I$46&gt;=Y$3)))</f>
        <v>1</v>
      </c>
      <c r="Z9" s="45" t="n">
        <f aca="false">IF($A9="","",SUMPRODUCT(--ISNUMBER(SEARCH(","&amp;SUBSTITUTE($A9," ","")&amp;",",'Year Plan'!$BM$7:$BM$46)),--('Year Plan'!$H$7:$H$46&lt;&gt;""),--('Year Plan'!$H$7:$H$46&lt;=Z$3+6),--('Year Plan'!$I$7:$I$46&gt;=Z$3)))</f>
        <v>1</v>
      </c>
      <c r="AA9" s="45" t="n">
        <f aca="false">IF($A9="","",SUMPRODUCT(--ISNUMBER(SEARCH(","&amp;SUBSTITUTE($A9," ","")&amp;",",'Year Plan'!$BM$7:$BM$46)),--('Year Plan'!$H$7:$H$46&lt;&gt;""),--('Year Plan'!$H$7:$H$46&lt;=AA$3+6),--('Year Plan'!$I$7:$I$46&gt;=AA$3)))</f>
        <v>1</v>
      </c>
      <c r="AB9" s="45" t="n">
        <f aca="false">IF($A9="","",SUMPRODUCT(--ISNUMBER(SEARCH(","&amp;SUBSTITUTE($A9," ","")&amp;",",'Year Plan'!$BM$7:$BM$46)),--('Year Plan'!$H$7:$H$46&lt;&gt;""),--('Year Plan'!$H$7:$H$46&lt;=AB$3+6),--('Year Plan'!$I$7:$I$46&gt;=AB$3)))</f>
        <v>1</v>
      </c>
      <c r="AC9" s="45" t="n">
        <f aca="false">IF($A9="","",SUMPRODUCT(--ISNUMBER(SEARCH(","&amp;SUBSTITUTE($A9," ","")&amp;",",'Year Plan'!$BM$7:$BM$46)),--('Year Plan'!$H$7:$H$46&lt;&gt;""),--('Year Plan'!$H$7:$H$46&lt;=AC$3+6),--('Year Plan'!$I$7:$I$46&gt;=AC$3)))</f>
        <v>1</v>
      </c>
      <c r="AD9" s="45" t="n">
        <f aca="false">IF($A9="","",SUMPRODUCT(--ISNUMBER(SEARCH(","&amp;SUBSTITUTE($A9," ","")&amp;",",'Year Plan'!$BM$7:$BM$46)),--('Year Plan'!$H$7:$H$46&lt;&gt;""),--('Year Plan'!$H$7:$H$46&lt;=AD$3+6),--('Year Plan'!$I$7:$I$46&gt;=AD$3)))</f>
        <v>0</v>
      </c>
      <c r="AE9" s="45" t="n">
        <f aca="false">IF($A9="","",SUMPRODUCT(--ISNUMBER(SEARCH(","&amp;SUBSTITUTE($A9," ","")&amp;",",'Year Plan'!$BM$7:$BM$46)),--('Year Plan'!$H$7:$H$46&lt;&gt;""),--('Year Plan'!$H$7:$H$46&lt;=AE$3+6),--('Year Plan'!$I$7:$I$46&gt;=AE$3)))</f>
        <v>0</v>
      </c>
      <c r="AF9" s="45" t="n">
        <f aca="false">IF($A9="","",SUMPRODUCT(--ISNUMBER(SEARCH(","&amp;SUBSTITUTE($A9," ","")&amp;",",'Year Plan'!$BM$7:$BM$46)),--('Year Plan'!$H$7:$H$46&lt;&gt;""),--('Year Plan'!$H$7:$H$46&lt;=AF$3+6),--('Year Plan'!$I$7:$I$46&gt;=AF$3)))</f>
        <v>0</v>
      </c>
      <c r="AG9" s="45" t="n">
        <f aca="false">IF($A9="","",SUMPRODUCT(--ISNUMBER(SEARCH(","&amp;SUBSTITUTE($A9," ","")&amp;",",'Year Plan'!$BM$7:$BM$46)),--('Year Plan'!$H$7:$H$46&lt;&gt;""),--('Year Plan'!$H$7:$H$46&lt;=AG$3+6),--('Year Plan'!$I$7:$I$46&gt;=AG$3)))</f>
        <v>0</v>
      </c>
      <c r="AH9" s="45" t="n">
        <f aca="false">IF($A9="","",SUMPRODUCT(--ISNUMBER(SEARCH(","&amp;SUBSTITUTE($A9," ","")&amp;",",'Year Plan'!$BM$7:$BM$46)),--('Year Plan'!$H$7:$H$46&lt;&gt;""),--('Year Plan'!$H$7:$H$46&lt;=AH$3+6),--('Year Plan'!$I$7:$I$46&gt;=AH$3)))</f>
        <v>0</v>
      </c>
      <c r="AI9" s="45" t="n">
        <f aca="false">IF($A9="","",SUMPRODUCT(--ISNUMBER(SEARCH(","&amp;SUBSTITUTE($A9," ","")&amp;",",'Year Plan'!$BM$7:$BM$46)),--('Year Plan'!$H$7:$H$46&lt;&gt;""),--('Year Plan'!$H$7:$H$46&lt;=AI$3+6),--('Year Plan'!$I$7:$I$46&gt;=AI$3)))</f>
        <v>0</v>
      </c>
      <c r="AJ9" s="45" t="n">
        <f aca="false">IF($A9="","",SUMPRODUCT(--ISNUMBER(SEARCH(","&amp;SUBSTITUTE($A9," ","")&amp;",",'Year Plan'!$BM$7:$BM$46)),--('Year Plan'!$H$7:$H$46&lt;&gt;""),--('Year Plan'!$H$7:$H$46&lt;=AJ$3+6),--('Year Plan'!$I$7:$I$46&gt;=AJ$3)))</f>
        <v>0</v>
      </c>
      <c r="AK9" s="45" t="n">
        <f aca="false">IF($A9="","",SUMPRODUCT(--ISNUMBER(SEARCH(","&amp;SUBSTITUTE($A9," ","")&amp;",",'Year Plan'!$BM$7:$BM$46)),--('Year Plan'!$H$7:$H$46&lt;&gt;""),--('Year Plan'!$H$7:$H$46&lt;=AK$3+6),--('Year Plan'!$I$7:$I$46&gt;=AK$3)))</f>
        <v>0</v>
      </c>
      <c r="AL9" s="45" t="n">
        <f aca="false">IF($A9="","",SUMPRODUCT(--ISNUMBER(SEARCH(","&amp;SUBSTITUTE($A9," ","")&amp;",",'Year Plan'!$BM$7:$BM$46)),--('Year Plan'!$H$7:$H$46&lt;&gt;""),--('Year Plan'!$H$7:$H$46&lt;=AL$3+6),--('Year Plan'!$I$7:$I$46&gt;=AL$3)))</f>
        <v>0</v>
      </c>
      <c r="AM9" s="45" t="n">
        <f aca="false">IF($A9="","",SUMPRODUCT(--ISNUMBER(SEARCH(","&amp;SUBSTITUTE($A9," ","")&amp;",",'Year Plan'!$BM$7:$BM$46)),--('Year Plan'!$H$7:$H$46&lt;&gt;""),--('Year Plan'!$H$7:$H$46&lt;=AM$3+6),--('Year Plan'!$I$7:$I$46&gt;=AM$3)))</f>
        <v>0</v>
      </c>
      <c r="AN9" s="45" t="n">
        <f aca="false">IF($A9="","",SUMPRODUCT(--ISNUMBER(SEARCH(","&amp;SUBSTITUTE($A9," ","")&amp;",",'Year Plan'!$BM$7:$BM$46)),--('Year Plan'!$H$7:$H$46&lt;&gt;""),--('Year Plan'!$H$7:$H$46&lt;=AN$3+6),--('Year Plan'!$I$7:$I$46&gt;=AN$3)))</f>
        <v>0</v>
      </c>
      <c r="AO9" s="45" t="n">
        <f aca="false">IF($A9="","",SUMPRODUCT(--ISNUMBER(SEARCH(","&amp;SUBSTITUTE($A9," ","")&amp;",",'Year Plan'!$BM$7:$BM$46)),--('Year Plan'!$H$7:$H$46&lt;&gt;""),--('Year Plan'!$H$7:$H$46&lt;=AO$3+6),--('Year Plan'!$I$7:$I$46&gt;=AO$3)))</f>
        <v>0</v>
      </c>
      <c r="AP9" s="45" t="n">
        <f aca="false">IF($A9="","",SUMPRODUCT(--ISNUMBER(SEARCH(","&amp;SUBSTITUTE($A9," ","")&amp;",",'Year Plan'!$BM$7:$BM$46)),--('Year Plan'!$H$7:$H$46&lt;&gt;""),--('Year Plan'!$H$7:$H$46&lt;=AP$3+6),--('Year Plan'!$I$7:$I$46&gt;=AP$3)))</f>
        <v>0</v>
      </c>
      <c r="AQ9" s="45" t="n">
        <f aca="false">IF($A9="","",SUMPRODUCT(--ISNUMBER(SEARCH(","&amp;SUBSTITUTE($A9," ","")&amp;",",'Year Plan'!$BM$7:$BM$46)),--('Year Plan'!$H$7:$H$46&lt;&gt;""),--('Year Plan'!$H$7:$H$46&lt;=AQ$3+6),--('Year Plan'!$I$7:$I$46&gt;=AQ$3)))</f>
        <v>0</v>
      </c>
      <c r="AR9" s="45" t="n">
        <f aca="false">IF($A9="","",SUMPRODUCT(--ISNUMBER(SEARCH(","&amp;SUBSTITUTE($A9," ","")&amp;",",'Year Plan'!$BM$7:$BM$46)),--('Year Plan'!$H$7:$H$46&lt;&gt;""),--('Year Plan'!$H$7:$H$46&lt;=AR$3+6),--('Year Plan'!$I$7:$I$46&gt;=AR$3)))</f>
        <v>0</v>
      </c>
      <c r="AS9" s="45" t="n">
        <f aca="false">IF($A9="","",SUMPRODUCT(--ISNUMBER(SEARCH(","&amp;SUBSTITUTE($A9," ","")&amp;",",'Year Plan'!$BM$7:$BM$46)),--('Year Plan'!$H$7:$H$46&lt;&gt;""),--('Year Plan'!$H$7:$H$46&lt;=AS$3+6),--('Year Plan'!$I$7:$I$46&gt;=AS$3)))</f>
        <v>0</v>
      </c>
      <c r="AT9" s="45" t="n">
        <f aca="false">IF($A9="","",SUMPRODUCT(--ISNUMBER(SEARCH(","&amp;SUBSTITUTE($A9," ","")&amp;",",'Year Plan'!$BM$7:$BM$46)),--('Year Plan'!$H$7:$H$46&lt;&gt;""),--('Year Plan'!$H$7:$H$46&lt;=AT$3+6),--('Year Plan'!$I$7:$I$46&gt;=AT$3)))</f>
        <v>0</v>
      </c>
      <c r="AU9" s="45" t="n">
        <f aca="false">IF($A9="","",SUMPRODUCT(--ISNUMBER(SEARCH(","&amp;SUBSTITUTE($A9," ","")&amp;",",'Year Plan'!$BM$7:$BM$46)),--('Year Plan'!$H$7:$H$46&lt;&gt;""),--('Year Plan'!$H$7:$H$46&lt;=AU$3+6),--('Year Plan'!$I$7:$I$46&gt;=AU$3)))</f>
        <v>0</v>
      </c>
      <c r="AV9" s="45" t="n">
        <f aca="false">IF($A9="","",SUMPRODUCT(--ISNUMBER(SEARCH(","&amp;SUBSTITUTE($A9," ","")&amp;",",'Year Plan'!$BM$7:$BM$46)),--('Year Plan'!$H$7:$H$46&lt;&gt;""),--('Year Plan'!$H$7:$H$46&lt;=AV$3+6),--('Year Plan'!$I$7:$I$46&gt;=AV$3)))</f>
        <v>0</v>
      </c>
      <c r="AW9" s="45" t="n">
        <f aca="false">IF($A9="","",SUMPRODUCT(--ISNUMBER(SEARCH(","&amp;SUBSTITUTE($A9," ","")&amp;",",'Year Plan'!$BM$7:$BM$46)),--('Year Plan'!$H$7:$H$46&lt;&gt;""),--('Year Plan'!$H$7:$H$46&lt;=AW$3+6),--('Year Plan'!$I$7:$I$46&gt;=AW$3)))</f>
        <v>0</v>
      </c>
      <c r="AX9" s="45" t="n">
        <f aca="false">IF($A9="","",SUMPRODUCT(--ISNUMBER(SEARCH(","&amp;SUBSTITUTE($A9," ","")&amp;",",'Year Plan'!$BM$7:$BM$46)),--('Year Plan'!$H$7:$H$46&lt;&gt;""),--('Year Plan'!$H$7:$H$46&lt;=AX$3+6),--('Year Plan'!$I$7:$I$46&gt;=AX$3)))</f>
        <v>0</v>
      </c>
      <c r="AY9" s="45" t="n">
        <f aca="false">IF($A9="","",SUMPRODUCT(--ISNUMBER(SEARCH(","&amp;SUBSTITUTE($A9," ","")&amp;",",'Year Plan'!$BM$7:$BM$46)),--('Year Plan'!$H$7:$H$46&lt;&gt;""),--('Year Plan'!$H$7:$H$46&lt;=AY$3+6),--('Year Plan'!$I$7:$I$46&gt;=AY$3)))</f>
        <v>0</v>
      </c>
      <c r="AZ9" s="45" t="n">
        <f aca="false">IF($A9="","",SUMPRODUCT(--ISNUMBER(SEARCH(","&amp;SUBSTITUTE($A9," ","")&amp;",",'Year Plan'!$BM$7:$BM$46)),--('Year Plan'!$H$7:$H$46&lt;&gt;""),--('Year Plan'!$H$7:$H$46&lt;=AZ$3+6),--('Year Plan'!$I$7:$I$46&gt;=AZ$3)))</f>
        <v>0</v>
      </c>
      <c r="BA9" s="45" t="n">
        <f aca="false">IF($A9="","",SUMPRODUCT(--ISNUMBER(SEARCH(","&amp;SUBSTITUTE($A9," ","")&amp;",",'Year Plan'!$BM$7:$BM$46)),--('Year Plan'!$H$7:$H$46&lt;&gt;""),--('Year Plan'!$H$7:$H$46&lt;=BA$3+6),--('Year Plan'!$I$7:$I$46&gt;=BA$3)))</f>
        <v>0</v>
      </c>
      <c r="BB9" s="45" t="n">
        <f aca="false">IF($A9="","",SUMPRODUCT(--ISNUMBER(SEARCH(","&amp;SUBSTITUTE($A9," ","")&amp;",",'Year Plan'!$BM$7:$BM$46)),--('Year Plan'!$H$7:$H$46&lt;&gt;""),--('Year Plan'!$H$7:$H$46&lt;=BB$3+6),--('Year Plan'!$I$7:$I$46&gt;=BB$3)))</f>
        <v>0</v>
      </c>
      <c r="BC9" s="45" t="n">
        <f aca="false">IF($A9="","",SUMPRODUCT(--ISNUMBER(SEARCH(","&amp;SUBSTITUTE($A9," ","")&amp;",",'Year Plan'!$BM$7:$BM$46)),--('Year Plan'!$H$7:$H$46&lt;&gt;""),--('Year Plan'!$H$7:$H$46&lt;=BC$3+6),--('Year Plan'!$I$7:$I$46&gt;=BC$3)))</f>
        <v>0</v>
      </c>
    </row>
    <row r="10" customFormat="false" ht="19.5" hidden="false" customHeight="true" outlineLevel="0" collapsed="false">
      <c r="A10" s="39" t="str">
        <f aca="false">IF(Setup!$B$14="","",Setup!$B$14)</f>
        <v>Ravi Menon</v>
      </c>
      <c r="B10" s="39" t="str">
        <f aca="false">IF(Setup!$B$14="","",Setup!$C$14)</f>
        <v>Engineer</v>
      </c>
      <c r="C10" s="44" t="n">
        <f aca="false">IF($A10="","",SUMPRODUCT(--ISNUMBER(SEARCH(","&amp;SUBSTITUTE($A10," ","")&amp;",",'Year Plan'!$BM$7:$BM$46))))</f>
        <v>2</v>
      </c>
      <c r="D10" s="45" t="n">
        <f aca="false">IF($A10="","",SUMPRODUCT(--ISNUMBER(SEARCH(","&amp;SUBSTITUTE($A10," ","")&amp;",",'Year Plan'!$BM$7:$BM$46)),--('Year Plan'!$H$7:$H$46&lt;&gt;""),--('Year Plan'!$H$7:$H$46&lt;=D$3+6),--('Year Plan'!$I$7:$I$46&gt;=D$3)))</f>
        <v>2</v>
      </c>
      <c r="E10" s="45" t="n">
        <f aca="false">IF($A10="","",SUMPRODUCT(--ISNUMBER(SEARCH(","&amp;SUBSTITUTE($A10," ","")&amp;",",'Year Plan'!$BM$7:$BM$46)),--('Year Plan'!$H$7:$H$46&lt;&gt;""),--('Year Plan'!$H$7:$H$46&lt;=E$3+6),--('Year Plan'!$I$7:$I$46&gt;=E$3)))</f>
        <v>2</v>
      </c>
      <c r="F10" s="45" t="n">
        <f aca="false">IF($A10="","",SUMPRODUCT(--ISNUMBER(SEARCH(","&amp;SUBSTITUTE($A10," ","")&amp;",",'Year Plan'!$BM$7:$BM$46)),--('Year Plan'!$H$7:$H$46&lt;&gt;""),--('Year Plan'!$H$7:$H$46&lt;=F$3+6),--('Year Plan'!$I$7:$I$46&gt;=F$3)))</f>
        <v>2</v>
      </c>
      <c r="G10" s="45" t="n">
        <f aca="false">IF($A10="","",SUMPRODUCT(--ISNUMBER(SEARCH(","&amp;SUBSTITUTE($A10," ","")&amp;",",'Year Plan'!$BM$7:$BM$46)),--('Year Plan'!$H$7:$H$46&lt;&gt;""),--('Year Plan'!$H$7:$H$46&lt;=G$3+6),--('Year Plan'!$I$7:$I$46&gt;=G$3)))</f>
        <v>2</v>
      </c>
      <c r="H10" s="45" t="n">
        <f aca="false">IF($A10="","",SUMPRODUCT(--ISNUMBER(SEARCH(","&amp;SUBSTITUTE($A10," ","")&amp;",",'Year Plan'!$BM$7:$BM$46)),--('Year Plan'!$H$7:$H$46&lt;&gt;""),--('Year Plan'!$H$7:$H$46&lt;=H$3+6),--('Year Plan'!$I$7:$I$46&gt;=H$3)))</f>
        <v>2</v>
      </c>
      <c r="I10" s="45" t="n">
        <f aca="false">IF($A10="","",SUMPRODUCT(--ISNUMBER(SEARCH(","&amp;SUBSTITUTE($A10," ","")&amp;",",'Year Plan'!$BM$7:$BM$46)),--('Year Plan'!$H$7:$H$46&lt;&gt;""),--('Year Plan'!$H$7:$H$46&lt;=I$3+6),--('Year Plan'!$I$7:$I$46&gt;=I$3)))</f>
        <v>2</v>
      </c>
      <c r="J10" s="45" t="n">
        <f aca="false">IF($A10="","",SUMPRODUCT(--ISNUMBER(SEARCH(","&amp;SUBSTITUTE($A10," ","")&amp;",",'Year Plan'!$BM$7:$BM$46)),--('Year Plan'!$H$7:$H$46&lt;&gt;""),--('Year Plan'!$H$7:$H$46&lt;=J$3+6),--('Year Plan'!$I$7:$I$46&gt;=J$3)))</f>
        <v>2</v>
      </c>
      <c r="K10" s="45" t="n">
        <f aca="false">IF($A10="","",SUMPRODUCT(--ISNUMBER(SEARCH(","&amp;SUBSTITUTE($A10," ","")&amp;",",'Year Plan'!$BM$7:$BM$46)),--('Year Plan'!$H$7:$H$46&lt;&gt;""),--('Year Plan'!$H$7:$H$46&lt;=K$3+6),--('Year Plan'!$I$7:$I$46&gt;=K$3)))</f>
        <v>2</v>
      </c>
      <c r="L10" s="45" t="n">
        <f aca="false">IF($A10="","",SUMPRODUCT(--ISNUMBER(SEARCH(","&amp;SUBSTITUTE($A10," ","")&amp;",",'Year Plan'!$BM$7:$BM$46)),--('Year Plan'!$H$7:$H$46&lt;&gt;""),--('Year Plan'!$H$7:$H$46&lt;=L$3+6),--('Year Plan'!$I$7:$I$46&gt;=L$3)))</f>
        <v>2</v>
      </c>
      <c r="M10" s="45" t="n">
        <f aca="false">IF($A10="","",SUMPRODUCT(--ISNUMBER(SEARCH(","&amp;SUBSTITUTE($A10," ","")&amp;",",'Year Plan'!$BM$7:$BM$46)),--('Year Plan'!$H$7:$H$46&lt;&gt;""),--('Year Plan'!$H$7:$H$46&lt;=M$3+6),--('Year Plan'!$I$7:$I$46&gt;=M$3)))</f>
        <v>2</v>
      </c>
      <c r="N10" s="45" t="n">
        <f aca="false">IF($A10="","",SUMPRODUCT(--ISNUMBER(SEARCH(","&amp;SUBSTITUTE($A10," ","")&amp;",",'Year Plan'!$BM$7:$BM$46)),--('Year Plan'!$H$7:$H$46&lt;&gt;""),--('Year Plan'!$H$7:$H$46&lt;=N$3+6),--('Year Plan'!$I$7:$I$46&gt;=N$3)))</f>
        <v>2</v>
      </c>
      <c r="O10" s="45" t="n">
        <f aca="false">IF($A10="","",SUMPRODUCT(--ISNUMBER(SEARCH(","&amp;SUBSTITUTE($A10," ","")&amp;",",'Year Plan'!$BM$7:$BM$46)),--('Year Plan'!$H$7:$H$46&lt;&gt;""),--('Year Plan'!$H$7:$H$46&lt;=O$3+6),--('Year Plan'!$I$7:$I$46&gt;=O$3)))</f>
        <v>2</v>
      </c>
      <c r="P10" s="45" t="n">
        <f aca="false">IF($A10="","",SUMPRODUCT(--ISNUMBER(SEARCH(","&amp;SUBSTITUTE($A10," ","")&amp;",",'Year Plan'!$BM$7:$BM$46)),--('Year Plan'!$H$7:$H$46&lt;&gt;""),--('Year Plan'!$H$7:$H$46&lt;=P$3+6),--('Year Plan'!$I$7:$I$46&gt;=P$3)))</f>
        <v>2</v>
      </c>
      <c r="Q10" s="45" t="n">
        <f aca="false">IF($A10="","",SUMPRODUCT(--ISNUMBER(SEARCH(","&amp;SUBSTITUTE($A10," ","")&amp;",",'Year Plan'!$BM$7:$BM$46)),--('Year Plan'!$H$7:$H$46&lt;&gt;""),--('Year Plan'!$H$7:$H$46&lt;=Q$3+6),--('Year Plan'!$I$7:$I$46&gt;=Q$3)))</f>
        <v>1</v>
      </c>
      <c r="R10" s="45" t="n">
        <f aca="false">IF($A10="","",SUMPRODUCT(--ISNUMBER(SEARCH(","&amp;SUBSTITUTE($A10," ","")&amp;",",'Year Plan'!$BM$7:$BM$46)),--('Year Plan'!$H$7:$H$46&lt;&gt;""),--('Year Plan'!$H$7:$H$46&lt;=R$3+6),--('Year Plan'!$I$7:$I$46&gt;=R$3)))</f>
        <v>1</v>
      </c>
      <c r="S10" s="45" t="n">
        <f aca="false">IF($A10="","",SUMPRODUCT(--ISNUMBER(SEARCH(","&amp;SUBSTITUTE($A10," ","")&amp;",",'Year Plan'!$BM$7:$BM$46)),--('Year Plan'!$H$7:$H$46&lt;&gt;""),--('Year Plan'!$H$7:$H$46&lt;=S$3+6),--('Year Plan'!$I$7:$I$46&gt;=S$3)))</f>
        <v>1</v>
      </c>
      <c r="T10" s="45" t="n">
        <f aca="false">IF($A10="","",SUMPRODUCT(--ISNUMBER(SEARCH(","&amp;SUBSTITUTE($A10," ","")&amp;",",'Year Plan'!$BM$7:$BM$46)),--('Year Plan'!$H$7:$H$46&lt;&gt;""),--('Year Plan'!$H$7:$H$46&lt;=T$3+6),--('Year Plan'!$I$7:$I$46&gt;=T$3)))</f>
        <v>1</v>
      </c>
      <c r="U10" s="45" t="n">
        <f aca="false">IF($A10="","",SUMPRODUCT(--ISNUMBER(SEARCH(","&amp;SUBSTITUTE($A10," ","")&amp;",",'Year Plan'!$BM$7:$BM$46)),--('Year Plan'!$H$7:$H$46&lt;&gt;""),--('Year Plan'!$H$7:$H$46&lt;=U$3+6),--('Year Plan'!$I$7:$I$46&gt;=U$3)))</f>
        <v>1</v>
      </c>
      <c r="V10" s="45" t="n">
        <f aca="false">IF($A10="","",SUMPRODUCT(--ISNUMBER(SEARCH(","&amp;SUBSTITUTE($A10," ","")&amp;",",'Year Plan'!$BM$7:$BM$46)),--('Year Plan'!$H$7:$H$46&lt;&gt;""),--('Year Plan'!$H$7:$H$46&lt;=V$3+6),--('Year Plan'!$I$7:$I$46&gt;=V$3)))</f>
        <v>1</v>
      </c>
      <c r="W10" s="45" t="n">
        <f aca="false">IF($A10="","",SUMPRODUCT(--ISNUMBER(SEARCH(","&amp;SUBSTITUTE($A10," ","")&amp;",",'Year Plan'!$BM$7:$BM$46)),--('Year Plan'!$H$7:$H$46&lt;&gt;""),--('Year Plan'!$H$7:$H$46&lt;=W$3+6),--('Year Plan'!$I$7:$I$46&gt;=W$3)))</f>
        <v>1</v>
      </c>
      <c r="X10" s="45" t="n">
        <f aca="false">IF($A10="","",SUMPRODUCT(--ISNUMBER(SEARCH(","&amp;SUBSTITUTE($A10," ","")&amp;",",'Year Plan'!$BM$7:$BM$46)),--('Year Plan'!$H$7:$H$46&lt;&gt;""),--('Year Plan'!$H$7:$H$46&lt;=X$3+6),--('Year Plan'!$I$7:$I$46&gt;=X$3)))</f>
        <v>1</v>
      </c>
      <c r="Y10" s="45" t="n">
        <f aca="false">IF($A10="","",SUMPRODUCT(--ISNUMBER(SEARCH(","&amp;SUBSTITUTE($A10," ","")&amp;",",'Year Plan'!$BM$7:$BM$46)),--('Year Plan'!$H$7:$H$46&lt;&gt;""),--('Year Plan'!$H$7:$H$46&lt;=Y$3+6),--('Year Plan'!$I$7:$I$46&gt;=Y$3)))</f>
        <v>0</v>
      </c>
      <c r="Z10" s="45" t="n">
        <f aca="false">IF($A10="","",SUMPRODUCT(--ISNUMBER(SEARCH(","&amp;SUBSTITUTE($A10," ","")&amp;",",'Year Plan'!$BM$7:$BM$46)),--('Year Plan'!$H$7:$H$46&lt;&gt;""),--('Year Plan'!$H$7:$H$46&lt;=Z$3+6),--('Year Plan'!$I$7:$I$46&gt;=Z$3)))</f>
        <v>0</v>
      </c>
      <c r="AA10" s="45" t="n">
        <f aca="false">IF($A10="","",SUMPRODUCT(--ISNUMBER(SEARCH(","&amp;SUBSTITUTE($A10," ","")&amp;",",'Year Plan'!$BM$7:$BM$46)),--('Year Plan'!$H$7:$H$46&lt;&gt;""),--('Year Plan'!$H$7:$H$46&lt;=AA$3+6),--('Year Plan'!$I$7:$I$46&gt;=AA$3)))</f>
        <v>0</v>
      </c>
      <c r="AB10" s="45" t="n">
        <f aca="false">IF($A10="","",SUMPRODUCT(--ISNUMBER(SEARCH(","&amp;SUBSTITUTE($A10," ","")&amp;",",'Year Plan'!$BM$7:$BM$46)),--('Year Plan'!$H$7:$H$46&lt;&gt;""),--('Year Plan'!$H$7:$H$46&lt;=AB$3+6),--('Year Plan'!$I$7:$I$46&gt;=AB$3)))</f>
        <v>0</v>
      </c>
      <c r="AC10" s="45" t="n">
        <f aca="false">IF($A10="","",SUMPRODUCT(--ISNUMBER(SEARCH(","&amp;SUBSTITUTE($A10," ","")&amp;",",'Year Plan'!$BM$7:$BM$46)),--('Year Plan'!$H$7:$H$46&lt;&gt;""),--('Year Plan'!$H$7:$H$46&lt;=AC$3+6),--('Year Plan'!$I$7:$I$46&gt;=AC$3)))</f>
        <v>0</v>
      </c>
      <c r="AD10" s="45" t="n">
        <f aca="false">IF($A10="","",SUMPRODUCT(--ISNUMBER(SEARCH(","&amp;SUBSTITUTE($A10," ","")&amp;",",'Year Plan'!$BM$7:$BM$46)),--('Year Plan'!$H$7:$H$46&lt;&gt;""),--('Year Plan'!$H$7:$H$46&lt;=AD$3+6),--('Year Plan'!$I$7:$I$46&gt;=AD$3)))</f>
        <v>0</v>
      </c>
      <c r="AE10" s="45" t="n">
        <f aca="false">IF($A10="","",SUMPRODUCT(--ISNUMBER(SEARCH(","&amp;SUBSTITUTE($A10," ","")&amp;",",'Year Plan'!$BM$7:$BM$46)),--('Year Plan'!$H$7:$H$46&lt;&gt;""),--('Year Plan'!$H$7:$H$46&lt;=AE$3+6),--('Year Plan'!$I$7:$I$46&gt;=AE$3)))</f>
        <v>0</v>
      </c>
      <c r="AF10" s="45" t="n">
        <f aca="false">IF($A10="","",SUMPRODUCT(--ISNUMBER(SEARCH(","&amp;SUBSTITUTE($A10," ","")&amp;",",'Year Plan'!$BM$7:$BM$46)),--('Year Plan'!$H$7:$H$46&lt;&gt;""),--('Year Plan'!$H$7:$H$46&lt;=AF$3+6),--('Year Plan'!$I$7:$I$46&gt;=AF$3)))</f>
        <v>0</v>
      </c>
      <c r="AG10" s="45" t="n">
        <f aca="false">IF($A10="","",SUMPRODUCT(--ISNUMBER(SEARCH(","&amp;SUBSTITUTE($A10," ","")&amp;",",'Year Plan'!$BM$7:$BM$46)),--('Year Plan'!$H$7:$H$46&lt;&gt;""),--('Year Plan'!$H$7:$H$46&lt;=AG$3+6),--('Year Plan'!$I$7:$I$46&gt;=AG$3)))</f>
        <v>0</v>
      </c>
      <c r="AH10" s="45" t="n">
        <f aca="false">IF($A10="","",SUMPRODUCT(--ISNUMBER(SEARCH(","&amp;SUBSTITUTE($A10," ","")&amp;",",'Year Plan'!$BM$7:$BM$46)),--('Year Plan'!$H$7:$H$46&lt;&gt;""),--('Year Plan'!$H$7:$H$46&lt;=AH$3+6),--('Year Plan'!$I$7:$I$46&gt;=AH$3)))</f>
        <v>0</v>
      </c>
      <c r="AI10" s="45" t="n">
        <f aca="false">IF($A10="","",SUMPRODUCT(--ISNUMBER(SEARCH(","&amp;SUBSTITUTE($A10," ","")&amp;",",'Year Plan'!$BM$7:$BM$46)),--('Year Plan'!$H$7:$H$46&lt;&gt;""),--('Year Plan'!$H$7:$H$46&lt;=AI$3+6),--('Year Plan'!$I$7:$I$46&gt;=AI$3)))</f>
        <v>0</v>
      </c>
      <c r="AJ10" s="45" t="n">
        <f aca="false">IF($A10="","",SUMPRODUCT(--ISNUMBER(SEARCH(","&amp;SUBSTITUTE($A10," ","")&amp;",",'Year Plan'!$BM$7:$BM$46)),--('Year Plan'!$H$7:$H$46&lt;&gt;""),--('Year Plan'!$H$7:$H$46&lt;=AJ$3+6),--('Year Plan'!$I$7:$I$46&gt;=AJ$3)))</f>
        <v>0</v>
      </c>
      <c r="AK10" s="45" t="n">
        <f aca="false">IF($A10="","",SUMPRODUCT(--ISNUMBER(SEARCH(","&amp;SUBSTITUTE($A10," ","")&amp;",",'Year Plan'!$BM$7:$BM$46)),--('Year Plan'!$H$7:$H$46&lt;&gt;""),--('Year Plan'!$H$7:$H$46&lt;=AK$3+6),--('Year Plan'!$I$7:$I$46&gt;=AK$3)))</f>
        <v>0</v>
      </c>
      <c r="AL10" s="45" t="n">
        <f aca="false">IF($A10="","",SUMPRODUCT(--ISNUMBER(SEARCH(","&amp;SUBSTITUTE($A10," ","")&amp;",",'Year Plan'!$BM$7:$BM$46)),--('Year Plan'!$H$7:$H$46&lt;&gt;""),--('Year Plan'!$H$7:$H$46&lt;=AL$3+6),--('Year Plan'!$I$7:$I$46&gt;=AL$3)))</f>
        <v>0</v>
      </c>
      <c r="AM10" s="45" t="n">
        <f aca="false">IF($A10="","",SUMPRODUCT(--ISNUMBER(SEARCH(","&amp;SUBSTITUTE($A10," ","")&amp;",",'Year Plan'!$BM$7:$BM$46)),--('Year Plan'!$H$7:$H$46&lt;&gt;""),--('Year Plan'!$H$7:$H$46&lt;=AM$3+6),--('Year Plan'!$I$7:$I$46&gt;=AM$3)))</f>
        <v>0</v>
      </c>
      <c r="AN10" s="45" t="n">
        <f aca="false">IF($A10="","",SUMPRODUCT(--ISNUMBER(SEARCH(","&amp;SUBSTITUTE($A10," ","")&amp;",",'Year Plan'!$BM$7:$BM$46)),--('Year Plan'!$H$7:$H$46&lt;&gt;""),--('Year Plan'!$H$7:$H$46&lt;=AN$3+6),--('Year Plan'!$I$7:$I$46&gt;=AN$3)))</f>
        <v>0</v>
      </c>
      <c r="AO10" s="45" t="n">
        <f aca="false">IF($A10="","",SUMPRODUCT(--ISNUMBER(SEARCH(","&amp;SUBSTITUTE($A10," ","")&amp;",",'Year Plan'!$BM$7:$BM$46)),--('Year Plan'!$H$7:$H$46&lt;&gt;""),--('Year Plan'!$H$7:$H$46&lt;=AO$3+6),--('Year Plan'!$I$7:$I$46&gt;=AO$3)))</f>
        <v>0</v>
      </c>
      <c r="AP10" s="45" t="n">
        <f aca="false">IF($A10="","",SUMPRODUCT(--ISNUMBER(SEARCH(","&amp;SUBSTITUTE($A10," ","")&amp;",",'Year Plan'!$BM$7:$BM$46)),--('Year Plan'!$H$7:$H$46&lt;&gt;""),--('Year Plan'!$H$7:$H$46&lt;=AP$3+6),--('Year Plan'!$I$7:$I$46&gt;=AP$3)))</f>
        <v>0</v>
      </c>
      <c r="AQ10" s="45" t="n">
        <f aca="false">IF($A10="","",SUMPRODUCT(--ISNUMBER(SEARCH(","&amp;SUBSTITUTE($A10," ","")&amp;",",'Year Plan'!$BM$7:$BM$46)),--('Year Plan'!$H$7:$H$46&lt;&gt;""),--('Year Plan'!$H$7:$H$46&lt;=AQ$3+6),--('Year Plan'!$I$7:$I$46&gt;=AQ$3)))</f>
        <v>0</v>
      </c>
      <c r="AR10" s="45" t="n">
        <f aca="false">IF($A10="","",SUMPRODUCT(--ISNUMBER(SEARCH(","&amp;SUBSTITUTE($A10," ","")&amp;",",'Year Plan'!$BM$7:$BM$46)),--('Year Plan'!$H$7:$H$46&lt;&gt;""),--('Year Plan'!$H$7:$H$46&lt;=AR$3+6),--('Year Plan'!$I$7:$I$46&gt;=AR$3)))</f>
        <v>0</v>
      </c>
      <c r="AS10" s="45" t="n">
        <f aca="false">IF($A10="","",SUMPRODUCT(--ISNUMBER(SEARCH(","&amp;SUBSTITUTE($A10," ","")&amp;",",'Year Plan'!$BM$7:$BM$46)),--('Year Plan'!$H$7:$H$46&lt;&gt;""),--('Year Plan'!$H$7:$H$46&lt;=AS$3+6),--('Year Plan'!$I$7:$I$46&gt;=AS$3)))</f>
        <v>0</v>
      </c>
      <c r="AT10" s="45" t="n">
        <f aca="false">IF($A10="","",SUMPRODUCT(--ISNUMBER(SEARCH(","&amp;SUBSTITUTE($A10," ","")&amp;",",'Year Plan'!$BM$7:$BM$46)),--('Year Plan'!$H$7:$H$46&lt;&gt;""),--('Year Plan'!$H$7:$H$46&lt;=AT$3+6),--('Year Plan'!$I$7:$I$46&gt;=AT$3)))</f>
        <v>0</v>
      </c>
      <c r="AU10" s="45" t="n">
        <f aca="false">IF($A10="","",SUMPRODUCT(--ISNUMBER(SEARCH(","&amp;SUBSTITUTE($A10," ","")&amp;",",'Year Plan'!$BM$7:$BM$46)),--('Year Plan'!$H$7:$H$46&lt;&gt;""),--('Year Plan'!$H$7:$H$46&lt;=AU$3+6),--('Year Plan'!$I$7:$I$46&gt;=AU$3)))</f>
        <v>0</v>
      </c>
      <c r="AV10" s="45" t="n">
        <f aca="false">IF($A10="","",SUMPRODUCT(--ISNUMBER(SEARCH(","&amp;SUBSTITUTE($A10," ","")&amp;",",'Year Plan'!$BM$7:$BM$46)),--('Year Plan'!$H$7:$H$46&lt;&gt;""),--('Year Plan'!$H$7:$H$46&lt;=AV$3+6),--('Year Plan'!$I$7:$I$46&gt;=AV$3)))</f>
        <v>0</v>
      </c>
      <c r="AW10" s="45" t="n">
        <f aca="false">IF($A10="","",SUMPRODUCT(--ISNUMBER(SEARCH(","&amp;SUBSTITUTE($A10," ","")&amp;",",'Year Plan'!$BM$7:$BM$46)),--('Year Plan'!$H$7:$H$46&lt;&gt;""),--('Year Plan'!$H$7:$H$46&lt;=AW$3+6),--('Year Plan'!$I$7:$I$46&gt;=AW$3)))</f>
        <v>0</v>
      </c>
      <c r="AX10" s="45" t="n">
        <f aca="false">IF($A10="","",SUMPRODUCT(--ISNUMBER(SEARCH(","&amp;SUBSTITUTE($A10," ","")&amp;",",'Year Plan'!$BM$7:$BM$46)),--('Year Plan'!$H$7:$H$46&lt;&gt;""),--('Year Plan'!$H$7:$H$46&lt;=AX$3+6),--('Year Plan'!$I$7:$I$46&gt;=AX$3)))</f>
        <v>0</v>
      </c>
      <c r="AY10" s="45" t="n">
        <f aca="false">IF($A10="","",SUMPRODUCT(--ISNUMBER(SEARCH(","&amp;SUBSTITUTE($A10," ","")&amp;",",'Year Plan'!$BM$7:$BM$46)),--('Year Plan'!$H$7:$H$46&lt;&gt;""),--('Year Plan'!$H$7:$H$46&lt;=AY$3+6),--('Year Plan'!$I$7:$I$46&gt;=AY$3)))</f>
        <v>0</v>
      </c>
      <c r="AZ10" s="45" t="n">
        <f aca="false">IF($A10="","",SUMPRODUCT(--ISNUMBER(SEARCH(","&amp;SUBSTITUTE($A10," ","")&amp;",",'Year Plan'!$BM$7:$BM$46)),--('Year Plan'!$H$7:$H$46&lt;&gt;""),--('Year Plan'!$H$7:$H$46&lt;=AZ$3+6),--('Year Plan'!$I$7:$I$46&gt;=AZ$3)))</f>
        <v>0</v>
      </c>
      <c r="BA10" s="45" t="n">
        <f aca="false">IF($A10="","",SUMPRODUCT(--ISNUMBER(SEARCH(","&amp;SUBSTITUTE($A10," ","")&amp;",",'Year Plan'!$BM$7:$BM$46)),--('Year Plan'!$H$7:$H$46&lt;&gt;""),--('Year Plan'!$H$7:$H$46&lt;=BA$3+6),--('Year Plan'!$I$7:$I$46&gt;=BA$3)))</f>
        <v>0</v>
      </c>
      <c r="BB10" s="45" t="n">
        <f aca="false">IF($A10="","",SUMPRODUCT(--ISNUMBER(SEARCH(","&amp;SUBSTITUTE($A10," ","")&amp;",",'Year Plan'!$BM$7:$BM$46)),--('Year Plan'!$H$7:$H$46&lt;&gt;""),--('Year Plan'!$H$7:$H$46&lt;=BB$3+6),--('Year Plan'!$I$7:$I$46&gt;=BB$3)))</f>
        <v>0</v>
      </c>
      <c r="BC10" s="45" t="n">
        <f aca="false">IF($A10="","",SUMPRODUCT(--ISNUMBER(SEARCH(","&amp;SUBSTITUTE($A10," ","")&amp;",",'Year Plan'!$BM$7:$BM$46)),--('Year Plan'!$H$7:$H$46&lt;&gt;""),--('Year Plan'!$H$7:$H$46&lt;=BC$3+6),--('Year Plan'!$I$7:$I$46&gt;=BC$3)))</f>
        <v>0</v>
      </c>
    </row>
    <row r="11" customFormat="false" ht="19.5" hidden="false" customHeight="true" outlineLevel="0" collapsed="false">
      <c r="A11" s="39" t="str">
        <f aca="false">IF(Setup!$B$15="","",Setup!$B$15)</f>
        <v>Ellen Vargas</v>
      </c>
      <c r="B11" s="39" t="str">
        <f aca="false">IF(Setup!$B$15="","",Setup!$C$15)</f>
        <v>Engineer</v>
      </c>
      <c r="C11" s="44" t="n">
        <f aca="false">IF($A11="","",SUMPRODUCT(--ISNUMBER(SEARCH(","&amp;SUBSTITUTE($A11," ","")&amp;",",'Year Plan'!$BM$7:$BM$46))))</f>
        <v>2</v>
      </c>
      <c r="D11" s="45" t="n">
        <f aca="false">IF($A11="","",SUMPRODUCT(--ISNUMBER(SEARCH(","&amp;SUBSTITUTE($A11," ","")&amp;",",'Year Plan'!$BM$7:$BM$46)),--('Year Plan'!$H$7:$H$46&lt;&gt;""),--('Year Plan'!$H$7:$H$46&lt;=D$3+6),--('Year Plan'!$I$7:$I$46&gt;=D$3)))</f>
        <v>1</v>
      </c>
      <c r="E11" s="45" t="n">
        <f aca="false">IF($A11="","",SUMPRODUCT(--ISNUMBER(SEARCH(","&amp;SUBSTITUTE($A11," ","")&amp;",",'Year Plan'!$BM$7:$BM$46)),--('Year Plan'!$H$7:$H$46&lt;&gt;""),--('Year Plan'!$H$7:$H$46&lt;=E$3+6),--('Year Plan'!$I$7:$I$46&gt;=E$3)))</f>
        <v>1</v>
      </c>
      <c r="F11" s="45" t="n">
        <f aca="false">IF($A11="","",SUMPRODUCT(--ISNUMBER(SEARCH(","&amp;SUBSTITUTE($A11," ","")&amp;",",'Year Plan'!$BM$7:$BM$46)),--('Year Plan'!$H$7:$H$46&lt;&gt;""),--('Year Plan'!$H$7:$H$46&lt;=F$3+6),--('Year Plan'!$I$7:$I$46&gt;=F$3)))</f>
        <v>2</v>
      </c>
      <c r="G11" s="45" t="n">
        <f aca="false">IF($A11="","",SUMPRODUCT(--ISNUMBER(SEARCH(","&amp;SUBSTITUTE($A11," ","")&amp;",",'Year Plan'!$BM$7:$BM$46)),--('Year Plan'!$H$7:$H$46&lt;&gt;""),--('Year Plan'!$H$7:$H$46&lt;=G$3+6),--('Year Plan'!$I$7:$I$46&gt;=G$3)))</f>
        <v>2</v>
      </c>
      <c r="H11" s="45" t="n">
        <f aca="false">IF($A11="","",SUMPRODUCT(--ISNUMBER(SEARCH(","&amp;SUBSTITUTE($A11," ","")&amp;",",'Year Plan'!$BM$7:$BM$46)),--('Year Plan'!$H$7:$H$46&lt;&gt;""),--('Year Plan'!$H$7:$H$46&lt;=H$3+6),--('Year Plan'!$I$7:$I$46&gt;=H$3)))</f>
        <v>2</v>
      </c>
      <c r="I11" s="45" t="n">
        <f aca="false">IF($A11="","",SUMPRODUCT(--ISNUMBER(SEARCH(","&amp;SUBSTITUTE($A11," ","")&amp;",",'Year Plan'!$BM$7:$BM$46)),--('Year Plan'!$H$7:$H$46&lt;&gt;""),--('Year Plan'!$H$7:$H$46&lt;=I$3+6),--('Year Plan'!$I$7:$I$46&gt;=I$3)))</f>
        <v>2</v>
      </c>
      <c r="J11" s="45" t="n">
        <f aca="false">IF($A11="","",SUMPRODUCT(--ISNUMBER(SEARCH(","&amp;SUBSTITUTE($A11," ","")&amp;",",'Year Plan'!$BM$7:$BM$46)),--('Year Plan'!$H$7:$H$46&lt;&gt;""),--('Year Plan'!$H$7:$H$46&lt;=J$3+6),--('Year Plan'!$I$7:$I$46&gt;=J$3)))</f>
        <v>2</v>
      </c>
      <c r="K11" s="45" t="n">
        <f aca="false">IF($A11="","",SUMPRODUCT(--ISNUMBER(SEARCH(","&amp;SUBSTITUTE($A11," ","")&amp;",",'Year Plan'!$BM$7:$BM$46)),--('Year Plan'!$H$7:$H$46&lt;&gt;""),--('Year Plan'!$H$7:$H$46&lt;=K$3+6),--('Year Plan'!$I$7:$I$46&gt;=K$3)))</f>
        <v>1</v>
      </c>
      <c r="L11" s="45" t="n">
        <f aca="false">IF($A11="","",SUMPRODUCT(--ISNUMBER(SEARCH(","&amp;SUBSTITUTE($A11," ","")&amp;",",'Year Plan'!$BM$7:$BM$46)),--('Year Plan'!$H$7:$H$46&lt;&gt;""),--('Year Plan'!$H$7:$H$46&lt;=L$3+6),--('Year Plan'!$I$7:$I$46&gt;=L$3)))</f>
        <v>1</v>
      </c>
      <c r="M11" s="45" t="n">
        <f aca="false">IF($A11="","",SUMPRODUCT(--ISNUMBER(SEARCH(","&amp;SUBSTITUTE($A11," ","")&amp;",",'Year Plan'!$BM$7:$BM$46)),--('Year Plan'!$H$7:$H$46&lt;&gt;""),--('Year Plan'!$H$7:$H$46&lt;=M$3+6),--('Year Plan'!$I$7:$I$46&gt;=M$3)))</f>
        <v>1</v>
      </c>
      <c r="N11" s="45" t="n">
        <f aca="false">IF($A11="","",SUMPRODUCT(--ISNUMBER(SEARCH(","&amp;SUBSTITUTE($A11," ","")&amp;",",'Year Plan'!$BM$7:$BM$46)),--('Year Plan'!$H$7:$H$46&lt;&gt;""),--('Year Plan'!$H$7:$H$46&lt;=N$3+6),--('Year Plan'!$I$7:$I$46&gt;=N$3)))</f>
        <v>1</v>
      </c>
      <c r="O11" s="45" t="n">
        <f aca="false">IF($A11="","",SUMPRODUCT(--ISNUMBER(SEARCH(","&amp;SUBSTITUTE($A11," ","")&amp;",",'Year Plan'!$BM$7:$BM$46)),--('Year Plan'!$H$7:$H$46&lt;&gt;""),--('Year Plan'!$H$7:$H$46&lt;=O$3+6),--('Year Plan'!$I$7:$I$46&gt;=O$3)))</f>
        <v>0</v>
      </c>
      <c r="P11" s="45" t="n">
        <f aca="false">IF($A11="","",SUMPRODUCT(--ISNUMBER(SEARCH(","&amp;SUBSTITUTE($A11," ","")&amp;",",'Year Plan'!$BM$7:$BM$46)),--('Year Plan'!$H$7:$H$46&lt;&gt;""),--('Year Plan'!$H$7:$H$46&lt;=P$3+6),--('Year Plan'!$I$7:$I$46&gt;=P$3)))</f>
        <v>0</v>
      </c>
      <c r="Q11" s="45" t="n">
        <f aca="false">IF($A11="","",SUMPRODUCT(--ISNUMBER(SEARCH(","&amp;SUBSTITUTE($A11," ","")&amp;",",'Year Plan'!$BM$7:$BM$46)),--('Year Plan'!$H$7:$H$46&lt;&gt;""),--('Year Plan'!$H$7:$H$46&lt;=Q$3+6),--('Year Plan'!$I$7:$I$46&gt;=Q$3)))</f>
        <v>0</v>
      </c>
      <c r="R11" s="45" t="n">
        <f aca="false">IF($A11="","",SUMPRODUCT(--ISNUMBER(SEARCH(","&amp;SUBSTITUTE($A11," ","")&amp;",",'Year Plan'!$BM$7:$BM$46)),--('Year Plan'!$H$7:$H$46&lt;&gt;""),--('Year Plan'!$H$7:$H$46&lt;=R$3+6),--('Year Plan'!$I$7:$I$46&gt;=R$3)))</f>
        <v>0</v>
      </c>
      <c r="S11" s="45" t="n">
        <f aca="false">IF($A11="","",SUMPRODUCT(--ISNUMBER(SEARCH(","&amp;SUBSTITUTE($A11," ","")&amp;",",'Year Plan'!$BM$7:$BM$46)),--('Year Plan'!$H$7:$H$46&lt;&gt;""),--('Year Plan'!$H$7:$H$46&lt;=S$3+6),--('Year Plan'!$I$7:$I$46&gt;=S$3)))</f>
        <v>0</v>
      </c>
      <c r="T11" s="45" t="n">
        <f aca="false">IF($A11="","",SUMPRODUCT(--ISNUMBER(SEARCH(","&amp;SUBSTITUTE($A11," ","")&amp;",",'Year Plan'!$BM$7:$BM$46)),--('Year Plan'!$H$7:$H$46&lt;&gt;""),--('Year Plan'!$H$7:$H$46&lt;=T$3+6),--('Year Plan'!$I$7:$I$46&gt;=T$3)))</f>
        <v>0</v>
      </c>
      <c r="U11" s="45" t="n">
        <f aca="false">IF($A11="","",SUMPRODUCT(--ISNUMBER(SEARCH(","&amp;SUBSTITUTE($A11," ","")&amp;",",'Year Plan'!$BM$7:$BM$46)),--('Year Plan'!$H$7:$H$46&lt;&gt;""),--('Year Plan'!$H$7:$H$46&lt;=U$3+6),--('Year Plan'!$I$7:$I$46&gt;=U$3)))</f>
        <v>0</v>
      </c>
      <c r="V11" s="45" t="n">
        <f aca="false">IF($A11="","",SUMPRODUCT(--ISNUMBER(SEARCH(","&amp;SUBSTITUTE($A11," ","")&amp;",",'Year Plan'!$BM$7:$BM$46)),--('Year Plan'!$H$7:$H$46&lt;&gt;""),--('Year Plan'!$H$7:$H$46&lt;=V$3+6),--('Year Plan'!$I$7:$I$46&gt;=V$3)))</f>
        <v>0</v>
      </c>
      <c r="W11" s="45" t="n">
        <f aca="false">IF($A11="","",SUMPRODUCT(--ISNUMBER(SEARCH(","&amp;SUBSTITUTE($A11," ","")&amp;",",'Year Plan'!$BM$7:$BM$46)),--('Year Plan'!$H$7:$H$46&lt;&gt;""),--('Year Plan'!$H$7:$H$46&lt;=W$3+6),--('Year Plan'!$I$7:$I$46&gt;=W$3)))</f>
        <v>0</v>
      </c>
      <c r="X11" s="45" t="n">
        <f aca="false">IF($A11="","",SUMPRODUCT(--ISNUMBER(SEARCH(","&amp;SUBSTITUTE($A11," ","")&amp;",",'Year Plan'!$BM$7:$BM$46)),--('Year Plan'!$H$7:$H$46&lt;&gt;""),--('Year Plan'!$H$7:$H$46&lt;=X$3+6),--('Year Plan'!$I$7:$I$46&gt;=X$3)))</f>
        <v>0</v>
      </c>
      <c r="Y11" s="45" t="n">
        <f aca="false">IF($A11="","",SUMPRODUCT(--ISNUMBER(SEARCH(","&amp;SUBSTITUTE($A11," ","")&amp;",",'Year Plan'!$BM$7:$BM$46)),--('Year Plan'!$H$7:$H$46&lt;&gt;""),--('Year Plan'!$H$7:$H$46&lt;=Y$3+6),--('Year Plan'!$I$7:$I$46&gt;=Y$3)))</f>
        <v>0</v>
      </c>
      <c r="Z11" s="45" t="n">
        <f aca="false">IF($A11="","",SUMPRODUCT(--ISNUMBER(SEARCH(","&amp;SUBSTITUTE($A11," ","")&amp;",",'Year Plan'!$BM$7:$BM$46)),--('Year Plan'!$H$7:$H$46&lt;&gt;""),--('Year Plan'!$H$7:$H$46&lt;=Z$3+6),--('Year Plan'!$I$7:$I$46&gt;=Z$3)))</f>
        <v>0</v>
      </c>
      <c r="AA11" s="45" t="n">
        <f aca="false">IF($A11="","",SUMPRODUCT(--ISNUMBER(SEARCH(","&amp;SUBSTITUTE($A11," ","")&amp;",",'Year Plan'!$BM$7:$BM$46)),--('Year Plan'!$H$7:$H$46&lt;&gt;""),--('Year Plan'!$H$7:$H$46&lt;=AA$3+6),--('Year Plan'!$I$7:$I$46&gt;=AA$3)))</f>
        <v>0</v>
      </c>
      <c r="AB11" s="45" t="n">
        <f aca="false">IF($A11="","",SUMPRODUCT(--ISNUMBER(SEARCH(","&amp;SUBSTITUTE($A11," ","")&amp;",",'Year Plan'!$BM$7:$BM$46)),--('Year Plan'!$H$7:$H$46&lt;&gt;""),--('Year Plan'!$H$7:$H$46&lt;=AB$3+6),--('Year Plan'!$I$7:$I$46&gt;=AB$3)))</f>
        <v>0</v>
      </c>
      <c r="AC11" s="45" t="n">
        <f aca="false">IF($A11="","",SUMPRODUCT(--ISNUMBER(SEARCH(","&amp;SUBSTITUTE($A11," ","")&amp;",",'Year Plan'!$BM$7:$BM$46)),--('Year Plan'!$H$7:$H$46&lt;&gt;""),--('Year Plan'!$H$7:$H$46&lt;=AC$3+6),--('Year Plan'!$I$7:$I$46&gt;=AC$3)))</f>
        <v>0</v>
      </c>
      <c r="AD11" s="45" t="n">
        <f aca="false">IF($A11="","",SUMPRODUCT(--ISNUMBER(SEARCH(","&amp;SUBSTITUTE($A11," ","")&amp;",",'Year Plan'!$BM$7:$BM$46)),--('Year Plan'!$H$7:$H$46&lt;&gt;""),--('Year Plan'!$H$7:$H$46&lt;=AD$3+6),--('Year Plan'!$I$7:$I$46&gt;=AD$3)))</f>
        <v>0</v>
      </c>
      <c r="AE11" s="45" t="n">
        <f aca="false">IF($A11="","",SUMPRODUCT(--ISNUMBER(SEARCH(","&amp;SUBSTITUTE($A11," ","")&amp;",",'Year Plan'!$BM$7:$BM$46)),--('Year Plan'!$H$7:$H$46&lt;&gt;""),--('Year Plan'!$H$7:$H$46&lt;=AE$3+6),--('Year Plan'!$I$7:$I$46&gt;=AE$3)))</f>
        <v>0</v>
      </c>
      <c r="AF11" s="45" t="n">
        <f aca="false">IF($A11="","",SUMPRODUCT(--ISNUMBER(SEARCH(","&amp;SUBSTITUTE($A11," ","")&amp;",",'Year Plan'!$BM$7:$BM$46)),--('Year Plan'!$H$7:$H$46&lt;&gt;""),--('Year Plan'!$H$7:$H$46&lt;=AF$3+6),--('Year Plan'!$I$7:$I$46&gt;=AF$3)))</f>
        <v>0</v>
      </c>
      <c r="AG11" s="45" t="n">
        <f aca="false">IF($A11="","",SUMPRODUCT(--ISNUMBER(SEARCH(","&amp;SUBSTITUTE($A11," ","")&amp;",",'Year Plan'!$BM$7:$BM$46)),--('Year Plan'!$H$7:$H$46&lt;&gt;""),--('Year Plan'!$H$7:$H$46&lt;=AG$3+6),--('Year Plan'!$I$7:$I$46&gt;=AG$3)))</f>
        <v>0</v>
      </c>
      <c r="AH11" s="45" t="n">
        <f aca="false">IF($A11="","",SUMPRODUCT(--ISNUMBER(SEARCH(","&amp;SUBSTITUTE($A11," ","")&amp;",",'Year Plan'!$BM$7:$BM$46)),--('Year Plan'!$H$7:$H$46&lt;&gt;""),--('Year Plan'!$H$7:$H$46&lt;=AH$3+6),--('Year Plan'!$I$7:$I$46&gt;=AH$3)))</f>
        <v>0</v>
      </c>
      <c r="AI11" s="45" t="n">
        <f aca="false">IF($A11="","",SUMPRODUCT(--ISNUMBER(SEARCH(","&amp;SUBSTITUTE($A11," ","")&amp;",",'Year Plan'!$BM$7:$BM$46)),--('Year Plan'!$H$7:$H$46&lt;&gt;""),--('Year Plan'!$H$7:$H$46&lt;=AI$3+6),--('Year Plan'!$I$7:$I$46&gt;=AI$3)))</f>
        <v>0</v>
      </c>
      <c r="AJ11" s="45" t="n">
        <f aca="false">IF($A11="","",SUMPRODUCT(--ISNUMBER(SEARCH(","&amp;SUBSTITUTE($A11," ","")&amp;",",'Year Plan'!$BM$7:$BM$46)),--('Year Plan'!$H$7:$H$46&lt;&gt;""),--('Year Plan'!$H$7:$H$46&lt;=AJ$3+6),--('Year Plan'!$I$7:$I$46&gt;=AJ$3)))</f>
        <v>0</v>
      </c>
      <c r="AK11" s="45" t="n">
        <f aca="false">IF($A11="","",SUMPRODUCT(--ISNUMBER(SEARCH(","&amp;SUBSTITUTE($A11," ","")&amp;",",'Year Plan'!$BM$7:$BM$46)),--('Year Plan'!$H$7:$H$46&lt;&gt;""),--('Year Plan'!$H$7:$H$46&lt;=AK$3+6),--('Year Plan'!$I$7:$I$46&gt;=AK$3)))</f>
        <v>0</v>
      </c>
      <c r="AL11" s="45" t="n">
        <f aca="false">IF($A11="","",SUMPRODUCT(--ISNUMBER(SEARCH(","&amp;SUBSTITUTE($A11," ","")&amp;",",'Year Plan'!$BM$7:$BM$46)),--('Year Plan'!$H$7:$H$46&lt;&gt;""),--('Year Plan'!$H$7:$H$46&lt;=AL$3+6),--('Year Plan'!$I$7:$I$46&gt;=AL$3)))</f>
        <v>0</v>
      </c>
      <c r="AM11" s="45" t="n">
        <f aca="false">IF($A11="","",SUMPRODUCT(--ISNUMBER(SEARCH(","&amp;SUBSTITUTE($A11," ","")&amp;",",'Year Plan'!$BM$7:$BM$46)),--('Year Plan'!$H$7:$H$46&lt;&gt;""),--('Year Plan'!$H$7:$H$46&lt;=AM$3+6),--('Year Plan'!$I$7:$I$46&gt;=AM$3)))</f>
        <v>0</v>
      </c>
      <c r="AN11" s="45" t="n">
        <f aca="false">IF($A11="","",SUMPRODUCT(--ISNUMBER(SEARCH(","&amp;SUBSTITUTE($A11," ","")&amp;",",'Year Plan'!$BM$7:$BM$46)),--('Year Plan'!$H$7:$H$46&lt;&gt;""),--('Year Plan'!$H$7:$H$46&lt;=AN$3+6),--('Year Plan'!$I$7:$I$46&gt;=AN$3)))</f>
        <v>0</v>
      </c>
      <c r="AO11" s="45" t="n">
        <f aca="false">IF($A11="","",SUMPRODUCT(--ISNUMBER(SEARCH(","&amp;SUBSTITUTE($A11," ","")&amp;",",'Year Plan'!$BM$7:$BM$46)),--('Year Plan'!$H$7:$H$46&lt;&gt;""),--('Year Plan'!$H$7:$H$46&lt;=AO$3+6),--('Year Plan'!$I$7:$I$46&gt;=AO$3)))</f>
        <v>0</v>
      </c>
      <c r="AP11" s="45" t="n">
        <f aca="false">IF($A11="","",SUMPRODUCT(--ISNUMBER(SEARCH(","&amp;SUBSTITUTE($A11," ","")&amp;",",'Year Plan'!$BM$7:$BM$46)),--('Year Plan'!$H$7:$H$46&lt;&gt;""),--('Year Plan'!$H$7:$H$46&lt;=AP$3+6),--('Year Plan'!$I$7:$I$46&gt;=AP$3)))</f>
        <v>0</v>
      </c>
      <c r="AQ11" s="45" t="n">
        <f aca="false">IF($A11="","",SUMPRODUCT(--ISNUMBER(SEARCH(","&amp;SUBSTITUTE($A11," ","")&amp;",",'Year Plan'!$BM$7:$BM$46)),--('Year Plan'!$H$7:$H$46&lt;&gt;""),--('Year Plan'!$H$7:$H$46&lt;=AQ$3+6),--('Year Plan'!$I$7:$I$46&gt;=AQ$3)))</f>
        <v>0</v>
      </c>
      <c r="AR11" s="45" t="n">
        <f aca="false">IF($A11="","",SUMPRODUCT(--ISNUMBER(SEARCH(","&amp;SUBSTITUTE($A11," ","")&amp;",",'Year Plan'!$BM$7:$BM$46)),--('Year Plan'!$H$7:$H$46&lt;&gt;""),--('Year Plan'!$H$7:$H$46&lt;=AR$3+6),--('Year Plan'!$I$7:$I$46&gt;=AR$3)))</f>
        <v>0</v>
      </c>
      <c r="AS11" s="45" t="n">
        <f aca="false">IF($A11="","",SUMPRODUCT(--ISNUMBER(SEARCH(","&amp;SUBSTITUTE($A11," ","")&amp;",",'Year Plan'!$BM$7:$BM$46)),--('Year Plan'!$H$7:$H$46&lt;&gt;""),--('Year Plan'!$H$7:$H$46&lt;=AS$3+6),--('Year Plan'!$I$7:$I$46&gt;=AS$3)))</f>
        <v>0</v>
      </c>
      <c r="AT11" s="45" t="n">
        <f aca="false">IF($A11="","",SUMPRODUCT(--ISNUMBER(SEARCH(","&amp;SUBSTITUTE($A11," ","")&amp;",",'Year Plan'!$BM$7:$BM$46)),--('Year Plan'!$H$7:$H$46&lt;&gt;""),--('Year Plan'!$H$7:$H$46&lt;=AT$3+6),--('Year Plan'!$I$7:$I$46&gt;=AT$3)))</f>
        <v>0</v>
      </c>
      <c r="AU11" s="45" t="n">
        <f aca="false">IF($A11="","",SUMPRODUCT(--ISNUMBER(SEARCH(","&amp;SUBSTITUTE($A11," ","")&amp;",",'Year Plan'!$BM$7:$BM$46)),--('Year Plan'!$H$7:$H$46&lt;&gt;""),--('Year Plan'!$H$7:$H$46&lt;=AU$3+6),--('Year Plan'!$I$7:$I$46&gt;=AU$3)))</f>
        <v>0</v>
      </c>
      <c r="AV11" s="45" t="n">
        <f aca="false">IF($A11="","",SUMPRODUCT(--ISNUMBER(SEARCH(","&amp;SUBSTITUTE($A11," ","")&amp;",",'Year Plan'!$BM$7:$BM$46)),--('Year Plan'!$H$7:$H$46&lt;&gt;""),--('Year Plan'!$H$7:$H$46&lt;=AV$3+6),--('Year Plan'!$I$7:$I$46&gt;=AV$3)))</f>
        <v>0</v>
      </c>
      <c r="AW11" s="45" t="n">
        <f aca="false">IF($A11="","",SUMPRODUCT(--ISNUMBER(SEARCH(","&amp;SUBSTITUTE($A11," ","")&amp;",",'Year Plan'!$BM$7:$BM$46)),--('Year Plan'!$H$7:$H$46&lt;&gt;""),--('Year Plan'!$H$7:$H$46&lt;=AW$3+6),--('Year Plan'!$I$7:$I$46&gt;=AW$3)))</f>
        <v>0</v>
      </c>
      <c r="AX11" s="45" t="n">
        <f aca="false">IF($A11="","",SUMPRODUCT(--ISNUMBER(SEARCH(","&amp;SUBSTITUTE($A11," ","")&amp;",",'Year Plan'!$BM$7:$BM$46)),--('Year Plan'!$H$7:$H$46&lt;&gt;""),--('Year Plan'!$H$7:$H$46&lt;=AX$3+6),--('Year Plan'!$I$7:$I$46&gt;=AX$3)))</f>
        <v>0</v>
      </c>
      <c r="AY11" s="45" t="n">
        <f aca="false">IF($A11="","",SUMPRODUCT(--ISNUMBER(SEARCH(","&amp;SUBSTITUTE($A11," ","")&amp;",",'Year Plan'!$BM$7:$BM$46)),--('Year Plan'!$H$7:$H$46&lt;&gt;""),--('Year Plan'!$H$7:$H$46&lt;=AY$3+6),--('Year Plan'!$I$7:$I$46&gt;=AY$3)))</f>
        <v>0</v>
      </c>
      <c r="AZ11" s="45" t="n">
        <f aca="false">IF($A11="","",SUMPRODUCT(--ISNUMBER(SEARCH(","&amp;SUBSTITUTE($A11," ","")&amp;",",'Year Plan'!$BM$7:$BM$46)),--('Year Plan'!$H$7:$H$46&lt;&gt;""),--('Year Plan'!$H$7:$H$46&lt;=AZ$3+6),--('Year Plan'!$I$7:$I$46&gt;=AZ$3)))</f>
        <v>0</v>
      </c>
      <c r="BA11" s="45" t="n">
        <f aca="false">IF($A11="","",SUMPRODUCT(--ISNUMBER(SEARCH(","&amp;SUBSTITUTE($A11," ","")&amp;",",'Year Plan'!$BM$7:$BM$46)),--('Year Plan'!$H$7:$H$46&lt;&gt;""),--('Year Plan'!$H$7:$H$46&lt;=BA$3+6),--('Year Plan'!$I$7:$I$46&gt;=BA$3)))</f>
        <v>0</v>
      </c>
      <c r="BB11" s="45" t="n">
        <f aca="false">IF($A11="","",SUMPRODUCT(--ISNUMBER(SEARCH(","&amp;SUBSTITUTE($A11," ","")&amp;",",'Year Plan'!$BM$7:$BM$46)),--('Year Plan'!$H$7:$H$46&lt;&gt;""),--('Year Plan'!$H$7:$H$46&lt;=BB$3+6),--('Year Plan'!$I$7:$I$46&gt;=BB$3)))</f>
        <v>0</v>
      </c>
      <c r="BC11" s="45" t="n">
        <f aca="false">IF($A11="","",SUMPRODUCT(--ISNUMBER(SEARCH(","&amp;SUBSTITUTE($A11," ","")&amp;",",'Year Plan'!$BM$7:$BM$46)),--('Year Plan'!$H$7:$H$46&lt;&gt;""),--('Year Plan'!$H$7:$H$46&lt;=BC$3+6),--('Year Plan'!$I$7:$I$46&gt;=BC$3)))</f>
        <v>0</v>
      </c>
    </row>
    <row r="12" customFormat="false" ht="19.5" hidden="false" customHeight="true" outlineLevel="0" collapsed="false">
      <c r="A12" s="39" t="str">
        <f aca="false">IF(Setup!$B$16="","",Setup!$B$16)</f>
        <v>Tom Whitfield</v>
      </c>
      <c r="B12" s="39" t="str">
        <f aca="false">IF(Setup!$B$16="","",Setup!$C$16)</f>
        <v>SDET</v>
      </c>
      <c r="C12" s="44" t="n">
        <f aca="false">IF($A12="","",SUMPRODUCT(--ISNUMBER(SEARCH(","&amp;SUBSTITUTE($A12," ","")&amp;",",'Year Plan'!$BM$7:$BM$46))))</f>
        <v>2</v>
      </c>
      <c r="D12" s="45" t="n">
        <f aca="false">IF($A12="","",SUMPRODUCT(--ISNUMBER(SEARCH(","&amp;SUBSTITUTE($A12," ","")&amp;",",'Year Plan'!$BM$7:$BM$46)),--('Year Plan'!$H$7:$H$46&lt;&gt;""),--('Year Plan'!$H$7:$H$46&lt;=D$3+6),--('Year Plan'!$I$7:$I$46&gt;=D$3)))</f>
        <v>2</v>
      </c>
      <c r="E12" s="45" t="n">
        <f aca="false">IF($A12="","",SUMPRODUCT(--ISNUMBER(SEARCH(","&amp;SUBSTITUTE($A12," ","")&amp;",",'Year Plan'!$BM$7:$BM$46)),--('Year Plan'!$H$7:$H$46&lt;&gt;""),--('Year Plan'!$H$7:$H$46&lt;=E$3+6),--('Year Plan'!$I$7:$I$46&gt;=E$3)))</f>
        <v>2</v>
      </c>
      <c r="F12" s="45" t="n">
        <f aca="false">IF($A12="","",SUMPRODUCT(--ISNUMBER(SEARCH(","&amp;SUBSTITUTE($A12," ","")&amp;",",'Year Plan'!$BM$7:$BM$46)),--('Year Plan'!$H$7:$H$46&lt;&gt;""),--('Year Plan'!$H$7:$H$46&lt;=F$3+6),--('Year Plan'!$I$7:$I$46&gt;=F$3)))</f>
        <v>2</v>
      </c>
      <c r="G12" s="45" t="n">
        <f aca="false">IF($A12="","",SUMPRODUCT(--ISNUMBER(SEARCH(","&amp;SUBSTITUTE($A12," ","")&amp;",",'Year Plan'!$BM$7:$BM$46)),--('Year Plan'!$H$7:$H$46&lt;&gt;""),--('Year Plan'!$H$7:$H$46&lt;=G$3+6),--('Year Plan'!$I$7:$I$46&gt;=G$3)))</f>
        <v>2</v>
      </c>
      <c r="H12" s="45" t="n">
        <f aca="false">IF($A12="","",SUMPRODUCT(--ISNUMBER(SEARCH(","&amp;SUBSTITUTE($A12," ","")&amp;",",'Year Plan'!$BM$7:$BM$46)),--('Year Plan'!$H$7:$H$46&lt;&gt;""),--('Year Plan'!$H$7:$H$46&lt;=H$3+6),--('Year Plan'!$I$7:$I$46&gt;=H$3)))</f>
        <v>2</v>
      </c>
      <c r="I12" s="45" t="n">
        <f aca="false">IF($A12="","",SUMPRODUCT(--ISNUMBER(SEARCH(","&amp;SUBSTITUTE($A12," ","")&amp;",",'Year Plan'!$BM$7:$BM$46)),--('Year Plan'!$H$7:$H$46&lt;&gt;""),--('Year Plan'!$H$7:$H$46&lt;=I$3+6),--('Year Plan'!$I$7:$I$46&gt;=I$3)))</f>
        <v>2</v>
      </c>
      <c r="J12" s="45" t="n">
        <f aca="false">IF($A12="","",SUMPRODUCT(--ISNUMBER(SEARCH(","&amp;SUBSTITUTE($A12," ","")&amp;",",'Year Plan'!$BM$7:$BM$46)),--('Year Plan'!$H$7:$H$46&lt;&gt;""),--('Year Plan'!$H$7:$H$46&lt;=J$3+6),--('Year Plan'!$I$7:$I$46&gt;=J$3)))</f>
        <v>2</v>
      </c>
      <c r="K12" s="45" t="n">
        <f aca="false">IF($A12="","",SUMPRODUCT(--ISNUMBER(SEARCH(","&amp;SUBSTITUTE($A12," ","")&amp;",",'Year Plan'!$BM$7:$BM$46)),--('Year Plan'!$H$7:$H$46&lt;&gt;""),--('Year Plan'!$H$7:$H$46&lt;=K$3+6),--('Year Plan'!$I$7:$I$46&gt;=K$3)))</f>
        <v>2</v>
      </c>
      <c r="L12" s="45" t="n">
        <f aca="false">IF($A12="","",SUMPRODUCT(--ISNUMBER(SEARCH(","&amp;SUBSTITUTE($A12," ","")&amp;",",'Year Plan'!$BM$7:$BM$46)),--('Year Plan'!$H$7:$H$46&lt;&gt;""),--('Year Plan'!$H$7:$H$46&lt;=L$3+6),--('Year Plan'!$I$7:$I$46&gt;=L$3)))</f>
        <v>2</v>
      </c>
      <c r="M12" s="45" t="n">
        <f aca="false">IF($A12="","",SUMPRODUCT(--ISNUMBER(SEARCH(","&amp;SUBSTITUTE($A12," ","")&amp;",",'Year Plan'!$BM$7:$BM$46)),--('Year Plan'!$H$7:$H$46&lt;&gt;""),--('Year Plan'!$H$7:$H$46&lt;=M$3+6),--('Year Plan'!$I$7:$I$46&gt;=M$3)))</f>
        <v>2</v>
      </c>
      <c r="N12" s="45" t="n">
        <f aca="false">IF($A12="","",SUMPRODUCT(--ISNUMBER(SEARCH(","&amp;SUBSTITUTE($A12," ","")&amp;",",'Year Plan'!$BM$7:$BM$46)),--('Year Plan'!$H$7:$H$46&lt;&gt;""),--('Year Plan'!$H$7:$H$46&lt;=N$3+6),--('Year Plan'!$I$7:$I$46&gt;=N$3)))</f>
        <v>2</v>
      </c>
      <c r="O12" s="45" t="n">
        <f aca="false">IF($A12="","",SUMPRODUCT(--ISNUMBER(SEARCH(","&amp;SUBSTITUTE($A12," ","")&amp;",",'Year Plan'!$BM$7:$BM$46)),--('Year Plan'!$H$7:$H$46&lt;&gt;""),--('Year Plan'!$H$7:$H$46&lt;=O$3+6),--('Year Plan'!$I$7:$I$46&gt;=O$3)))</f>
        <v>2</v>
      </c>
      <c r="P12" s="45" t="n">
        <f aca="false">IF($A12="","",SUMPRODUCT(--ISNUMBER(SEARCH(","&amp;SUBSTITUTE($A12," ","")&amp;",",'Year Plan'!$BM$7:$BM$46)),--('Year Plan'!$H$7:$H$46&lt;&gt;""),--('Year Plan'!$H$7:$H$46&lt;=P$3+6),--('Year Plan'!$I$7:$I$46&gt;=P$3)))</f>
        <v>2</v>
      </c>
      <c r="Q12" s="45" t="n">
        <f aca="false">IF($A12="","",SUMPRODUCT(--ISNUMBER(SEARCH(","&amp;SUBSTITUTE($A12," ","")&amp;",",'Year Plan'!$BM$7:$BM$46)),--('Year Plan'!$H$7:$H$46&lt;&gt;""),--('Year Plan'!$H$7:$H$46&lt;=Q$3+6),--('Year Plan'!$I$7:$I$46&gt;=Q$3)))</f>
        <v>2</v>
      </c>
      <c r="R12" s="45" t="n">
        <f aca="false">IF($A12="","",SUMPRODUCT(--ISNUMBER(SEARCH(","&amp;SUBSTITUTE($A12," ","")&amp;",",'Year Plan'!$BM$7:$BM$46)),--('Year Plan'!$H$7:$H$46&lt;&gt;""),--('Year Plan'!$H$7:$H$46&lt;=R$3+6),--('Year Plan'!$I$7:$I$46&gt;=R$3)))</f>
        <v>2</v>
      </c>
      <c r="S12" s="45" t="n">
        <f aca="false">IF($A12="","",SUMPRODUCT(--ISNUMBER(SEARCH(","&amp;SUBSTITUTE($A12," ","")&amp;",",'Year Plan'!$BM$7:$BM$46)),--('Year Plan'!$H$7:$H$46&lt;&gt;""),--('Year Plan'!$H$7:$H$46&lt;=S$3+6),--('Year Plan'!$I$7:$I$46&gt;=S$3)))</f>
        <v>2</v>
      </c>
      <c r="T12" s="45" t="n">
        <f aca="false">IF($A12="","",SUMPRODUCT(--ISNUMBER(SEARCH(","&amp;SUBSTITUTE($A12," ","")&amp;",",'Year Plan'!$BM$7:$BM$46)),--('Year Plan'!$H$7:$H$46&lt;&gt;""),--('Year Plan'!$H$7:$H$46&lt;=T$3+6),--('Year Plan'!$I$7:$I$46&gt;=T$3)))</f>
        <v>2</v>
      </c>
      <c r="U12" s="45" t="n">
        <f aca="false">IF($A12="","",SUMPRODUCT(--ISNUMBER(SEARCH(","&amp;SUBSTITUTE($A12," ","")&amp;",",'Year Plan'!$BM$7:$BM$46)),--('Year Plan'!$H$7:$H$46&lt;&gt;""),--('Year Plan'!$H$7:$H$46&lt;=U$3+6),--('Year Plan'!$I$7:$I$46&gt;=U$3)))</f>
        <v>2</v>
      </c>
      <c r="V12" s="45" t="n">
        <f aca="false">IF($A12="","",SUMPRODUCT(--ISNUMBER(SEARCH(","&amp;SUBSTITUTE($A12," ","")&amp;",",'Year Plan'!$BM$7:$BM$46)),--('Year Plan'!$H$7:$H$46&lt;&gt;""),--('Year Plan'!$H$7:$H$46&lt;=V$3+6),--('Year Plan'!$I$7:$I$46&gt;=V$3)))</f>
        <v>2</v>
      </c>
      <c r="W12" s="45" t="n">
        <f aca="false">IF($A12="","",SUMPRODUCT(--ISNUMBER(SEARCH(","&amp;SUBSTITUTE($A12," ","")&amp;",",'Year Plan'!$BM$7:$BM$46)),--('Year Plan'!$H$7:$H$46&lt;&gt;""),--('Year Plan'!$H$7:$H$46&lt;=W$3+6),--('Year Plan'!$I$7:$I$46&gt;=W$3)))</f>
        <v>2</v>
      </c>
      <c r="X12" s="45" t="n">
        <f aca="false">IF($A12="","",SUMPRODUCT(--ISNUMBER(SEARCH(","&amp;SUBSTITUTE($A12," ","")&amp;",",'Year Plan'!$BM$7:$BM$46)),--('Year Plan'!$H$7:$H$46&lt;&gt;""),--('Year Plan'!$H$7:$H$46&lt;=X$3+6),--('Year Plan'!$I$7:$I$46&gt;=X$3)))</f>
        <v>2</v>
      </c>
      <c r="Y12" s="45" t="n">
        <f aca="false">IF($A12="","",SUMPRODUCT(--ISNUMBER(SEARCH(","&amp;SUBSTITUTE($A12," ","")&amp;",",'Year Plan'!$BM$7:$BM$46)),--('Year Plan'!$H$7:$H$46&lt;&gt;""),--('Year Plan'!$H$7:$H$46&lt;=Y$3+6),--('Year Plan'!$I$7:$I$46&gt;=Y$3)))</f>
        <v>1</v>
      </c>
      <c r="Z12" s="45" t="n">
        <f aca="false">IF($A12="","",SUMPRODUCT(--ISNUMBER(SEARCH(","&amp;SUBSTITUTE($A12," ","")&amp;",",'Year Plan'!$BM$7:$BM$46)),--('Year Plan'!$H$7:$H$46&lt;&gt;""),--('Year Plan'!$H$7:$H$46&lt;=Z$3+6),--('Year Plan'!$I$7:$I$46&gt;=Z$3)))</f>
        <v>1</v>
      </c>
      <c r="AA12" s="45" t="n">
        <f aca="false">IF($A12="","",SUMPRODUCT(--ISNUMBER(SEARCH(","&amp;SUBSTITUTE($A12," ","")&amp;",",'Year Plan'!$BM$7:$BM$46)),--('Year Plan'!$H$7:$H$46&lt;&gt;""),--('Year Plan'!$H$7:$H$46&lt;=AA$3+6),--('Year Plan'!$I$7:$I$46&gt;=AA$3)))</f>
        <v>1</v>
      </c>
      <c r="AB12" s="45" t="n">
        <f aca="false">IF($A12="","",SUMPRODUCT(--ISNUMBER(SEARCH(","&amp;SUBSTITUTE($A12," ","")&amp;",",'Year Plan'!$BM$7:$BM$46)),--('Year Plan'!$H$7:$H$46&lt;&gt;""),--('Year Plan'!$H$7:$H$46&lt;=AB$3+6),--('Year Plan'!$I$7:$I$46&gt;=AB$3)))</f>
        <v>1</v>
      </c>
      <c r="AC12" s="45" t="n">
        <f aca="false">IF($A12="","",SUMPRODUCT(--ISNUMBER(SEARCH(","&amp;SUBSTITUTE($A12," ","")&amp;",",'Year Plan'!$BM$7:$BM$46)),--('Year Plan'!$H$7:$H$46&lt;&gt;""),--('Year Plan'!$H$7:$H$46&lt;=AC$3+6),--('Year Plan'!$I$7:$I$46&gt;=AC$3)))</f>
        <v>1</v>
      </c>
      <c r="AD12" s="45" t="n">
        <f aca="false">IF($A12="","",SUMPRODUCT(--ISNUMBER(SEARCH(","&amp;SUBSTITUTE($A12," ","")&amp;",",'Year Plan'!$BM$7:$BM$46)),--('Year Plan'!$H$7:$H$46&lt;&gt;""),--('Year Plan'!$H$7:$H$46&lt;=AD$3+6),--('Year Plan'!$I$7:$I$46&gt;=AD$3)))</f>
        <v>0</v>
      </c>
      <c r="AE12" s="45" t="n">
        <f aca="false">IF($A12="","",SUMPRODUCT(--ISNUMBER(SEARCH(","&amp;SUBSTITUTE($A12," ","")&amp;",",'Year Plan'!$BM$7:$BM$46)),--('Year Plan'!$H$7:$H$46&lt;&gt;""),--('Year Plan'!$H$7:$H$46&lt;=AE$3+6),--('Year Plan'!$I$7:$I$46&gt;=AE$3)))</f>
        <v>0</v>
      </c>
      <c r="AF12" s="45" t="n">
        <f aca="false">IF($A12="","",SUMPRODUCT(--ISNUMBER(SEARCH(","&amp;SUBSTITUTE($A12," ","")&amp;",",'Year Plan'!$BM$7:$BM$46)),--('Year Plan'!$H$7:$H$46&lt;&gt;""),--('Year Plan'!$H$7:$H$46&lt;=AF$3+6),--('Year Plan'!$I$7:$I$46&gt;=AF$3)))</f>
        <v>0</v>
      </c>
      <c r="AG12" s="45" t="n">
        <f aca="false">IF($A12="","",SUMPRODUCT(--ISNUMBER(SEARCH(","&amp;SUBSTITUTE($A12," ","")&amp;",",'Year Plan'!$BM$7:$BM$46)),--('Year Plan'!$H$7:$H$46&lt;&gt;""),--('Year Plan'!$H$7:$H$46&lt;=AG$3+6),--('Year Plan'!$I$7:$I$46&gt;=AG$3)))</f>
        <v>0</v>
      </c>
      <c r="AH12" s="45" t="n">
        <f aca="false">IF($A12="","",SUMPRODUCT(--ISNUMBER(SEARCH(","&amp;SUBSTITUTE($A12," ","")&amp;",",'Year Plan'!$BM$7:$BM$46)),--('Year Plan'!$H$7:$H$46&lt;&gt;""),--('Year Plan'!$H$7:$H$46&lt;=AH$3+6),--('Year Plan'!$I$7:$I$46&gt;=AH$3)))</f>
        <v>0</v>
      </c>
      <c r="AI12" s="45" t="n">
        <f aca="false">IF($A12="","",SUMPRODUCT(--ISNUMBER(SEARCH(","&amp;SUBSTITUTE($A12," ","")&amp;",",'Year Plan'!$BM$7:$BM$46)),--('Year Plan'!$H$7:$H$46&lt;&gt;""),--('Year Plan'!$H$7:$H$46&lt;=AI$3+6),--('Year Plan'!$I$7:$I$46&gt;=AI$3)))</f>
        <v>0</v>
      </c>
      <c r="AJ12" s="45" t="n">
        <f aca="false">IF($A12="","",SUMPRODUCT(--ISNUMBER(SEARCH(","&amp;SUBSTITUTE($A12," ","")&amp;",",'Year Plan'!$BM$7:$BM$46)),--('Year Plan'!$H$7:$H$46&lt;&gt;""),--('Year Plan'!$H$7:$H$46&lt;=AJ$3+6),--('Year Plan'!$I$7:$I$46&gt;=AJ$3)))</f>
        <v>0</v>
      </c>
      <c r="AK12" s="45" t="n">
        <f aca="false">IF($A12="","",SUMPRODUCT(--ISNUMBER(SEARCH(","&amp;SUBSTITUTE($A12," ","")&amp;",",'Year Plan'!$BM$7:$BM$46)),--('Year Plan'!$H$7:$H$46&lt;&gt;""),--('Year Plan'!$H$7:$H$46&lt;=AK$3+6),--('Year Plan'!$I$7:$I$46&gt;=AK$3)))</f>
        <v>0</v>
      </c>
      <c r="AL12" s="45" t="n">
        <f aca="false">IF($A12="","",SUMPRODUCT(--ISNUMBER(SEARCH(","&amp;SUBSTITUTE($A12," ","")&amp;",",'Year Plan'!$BM$7:$BM$46)),--('Year Plan'!$H$7:$H$46&lt;&gt;""),--('Year Plan'!$H$7:$H$46&lt;=AL$3+6),--('Year Plan'!$I$7:$I$46&gt;=AL$3)))</f>
        <v>0</v>
      </c>
      <c r="AM12" s="45" t="n">
        <f aca="false">IF($A12="","",SUMPRODUCT(--ISNUMBER(SEARCH(","&amp;SUBSTITUTE($A12," ","")&amp;",",'Year Plan'!$BM$7:$BM$46)),--('Year Plan'!$H$7:$H$46&lt;&gt;""),--('Year Plan'!$H$7:$H$46&lt;=AM$3+6),--('Year Plan'!$I$7:$I$46&gt;=AM$3)))</f>
        <v>0</v>
      </c>
      <c r="AN12" s="45" t="n">
        <f aca="false">IF($A12="","",SUMPRODUCT(--ISNUMBER(SEARCH(","&amp;SUBSTITUTE($A12," ","")&amp;",",'Year Plan'!$BM$7:$BM$46)),--('Year Plan'!$H$7:$H$46&lt;&gt;""),--('Year Plan'!$H$7:$H$46&lt;=AN$3+6),--('Year Plan'!$I$7:$I$46&gt;=AN$3)))</f>
        <v>0</v>
      </c>
      <c r="AO12" s="45" t="n">
        <f aca="false">IF($A12="","",SUMPRODUCT(--ISNUMBER(SEARCH(","&amp;SUBSTITUTE($A12," ","")&amp;",",'Year Plan'!$BM$7:$BM$46)),--('Year Plan'!$H$7:$H$46&lt;&gt;""),--('Year Plan'!$H$7:$H$46&lt;=AO$3+6),--('Year Plan'!$I$7:$I$46&gt;=AO$3)))</f>
        <v>0</v>
      </c>
      <c r="AP12" s="45" t="n">
        <f aca="false">IF($A12="","",SUMPRODUCT(--ISNUMBER(SEARCH(","&amp;SUBSTITUTE($A12," ","")&amp;",",'Year Plan'!$BM$7:$BM$46)),--('Year Plan'!$H$7:$H$46&lt;&gt;""),--('Year Plan'!$H$7:$H$46&lt;=AP$3+6),--('Year Plan'!$I$7:$I$46&gt;=AP$3)))</f>
        <v>0</v>
      </c>
      <c r="AQ12" s="45" t="n">
        <f aca="false">IF($A12="","",SUMPRODUCT(--ISNUMBER(SEARCH(","&amp;SUBSTITUTE($A12," ","")&amp;",",'Year Plan'!$BM$7:$BM$46)),--('Year Plan'!$H$7:$H$46&lt;&gt;""),--('Year Plan'!$H$7:$H$46&lt;=AQ$3+6),--('Year Plan'!$I$7:$I$46&gt;=AQ$3)))</f>
        <v>0</v>
      </c>
      <c r="AR12" s="45" t="n">
        <f aca="false">IF($A12="","",SUMPRODUCT(--ISNUMBER(SEARCH(","&amp;SUBSTITUTE($A12," ","")&amp;",",'Year Plan'!$BM$7:$BM$46)),--('Year Plan'!$H$7:$H$46&lt;&gt;""),--('Year Plan'!$H$7:$H$46&lt;=AR$3+6),--('Year Plan'!$I$7:$I$46&gt;=AR$3)))</f>
        <v>0</v>
      </c>
      <c r="AS12" s="45" t="n">
        <f aca="false">IF($A12="","",SUMPRODUCT(--ISNUMBER(SEARCH(","&amp;SUBSTITUTE($A12," ","")&amp;",",'Year Plan'!$BM$7:$BM$46)),--('Year Plan'!$H$7:$H$46&lt;&gt;""),--('Year Plan'!$H$7:$H$46&lt;=AS$3+6),--('Year Plan'!$I$7:$I$46&gt;=AS$3)))</f>
        <v>0</v>
      </c>
      <c r="AT12" s="45" t="n">
        <f aca="false">IF($A12="","",SUMPRODUCT(--ISNUMBER(SEARCH(","&amp;SUBSTITUTE($A12," ","")&amp;",",'Year Plan'!$BM$7:$BM$46)),--('Year Plan'!$H$7:$H$46&lt;&gt;""),--('Year Plan'!$H$7:$H$46&lt;=AT$3+6),--('Year Plan'!$I$7:$I$46&gt;=AT$3)))</f>
        <v>0</v>
      </c>
      <c r="AU12" s="45" t="n">
        <f aca="false">IF($A12="","",SUMPRODUCT(--ISNUMBER(SEARCH(","&amp;SUBSTITUTE($A12," ","")&amp;",",'Year Plan'!$BM$7:$BM$46)),--('Year Plan'!$H$7:$H$46&lt;&gt;""),--('Year Plan'!$H$7:$H$46&lt;=AU$3+6),--('Year Plan'!$I$7:$I$46&gt;=AU$3)))</f>
        <v>0</v>
      </c>
      <c r="AV12" s="45" t="n">
        <f aca="false">IF($A12="","",SUMPRODUCT(--ISNUMBER(SEARCH(","&amp;SUBSTITUTE($A12," ","")&amp;",",'Year Plan'!$BM$7:$BM$46)),--('Year Plan'!$H$7:$H$46&lt;&gt;""),--('Year Plan'!$H$7:$H$46&lt;=AV$3+6),--('Year Plan'!$I$7:$I$46&gt;=AV$3)))</f>
        <v>0</v>
      </c>
      <c r="AW12" s="45" t="n">
        <f aca="false">IF($A12="","",SUMPRODUCT(--ISNUMBER(SEARCH(","&amp;SUBSTITUTE($A12," ","")&amp;",",'Year Plan'!$BM$7:$BM$46)),--('Year Plan'!$H$7:$H$46&lt;&gt;""),--('Year Plan'!$H$7:$H$46&lt;=AW$3+6),--('Year Plan'!$I$7:$I$46&gt;=AW$3)))</f>
        <v>0</v>
      </c>
      <c r="AX12" s="45" t="n">
        <f aca="false">IF($A12="","",SUMPRODUCT(--ISNUMBER(SEARCH(","&amp;SUBSTITUTE($A12," ","")&amp;",",'Year Plan'!$BM$7:$BM$46)),--('Year Plan'!$H$7:$H$46&lt;&gt;""),--('Year Plan'!$H$7:$H$46&lt;=AX$3+6),--('Year Plan'!$I$7:$I$46&gt;=AX$3)))</f>
        <v>0</v>
      </c>
      <c r="AY12" s="45" t="n">
        <f aca="false">IF($A12="","",SUMPRODUCT(--ISNUMBER(SEARCH(","&amp;SUBSTITUTE($A12," ","")&amp;",",'Year Plan'!$BM$7:$BM$46)),--('Year Plan'!$H$7:$H$46&lt;&gt;""),--('Year Plan'!$H$7:$H$46&lt;=AY$3+6),--('Year Plan'!$I$7:$I$46&gt;=AY$3)))</f>
        <v>0</v>
      </c>
      <c r="AZ12" s="45" t="n">
        <f aca="false">IF($A12="","",SUMPRODUCT(--ISNUMBER(SEARCH(","&amp;SUBSTITUTE($A12," ","")&amp;",",'Year Plan'!$BM$7:$BM$46)),--('Year Plan'!$H$7:$H$46&lt;&gt;""),--('Year Plan'!$H$7:$H$46&lt;=AZ$3+6),--('Year Plan'!$I$7:$I$46&gt;=AZ$3)))</f>
        <v>0</v>
      </c>
      <c r="BA12" s="45" t="n">
        <f aca="false">IF($A12="","",SUMPRODUCT(--ISNUMBER(SEARCH(","&amp;SUBSTITUTE($A12," ","")&amp;",",'Year Plan'!$BM$7:$BM$46)),--('Year Plan'!$H$7:$H$46&lt;&gt;""),--('Year Plan'!$H$7:$H$46&lt;=BA$3+6),--('Year Plan'!$I$7:$I$46&gt;=BA$3)))</f>
        <v>0</v>
      </c>
      <c r="BB12" s="45" t="n">
        <f aca="false">IF($A12="","",SUMPRODUCT(--ISNUMBER(SEARCH(","&amp;SUBSTITUTE($A12," ","")&amp;",",'Year Plan'!$BM$7:$BM$46)),--('Year Plan'!$H$7:$H$46&lt;&gt;""),--('Year Plan'!$H$7:$H$46&lt;=BB$3+6),--('Year Plan'!$I$7:$I$46&gt;=BB$3)))</f>
        <v>0</v>
      </c>
      <c r="BC12" s="45" t="n">
        <f aca="false">IF($A12="","",SUMPRODUCT(--ISNUMBER(SEARCH(","&amp;SUBSTITUTE($A12," ","")&amp;",",'Year Plan'!$BM$7:$BM$46)),--('Year Plan'!$H$7:$H$46&lt;&gt;""),--('Year Plan'!$H$7:$H$46&lt;=BC$3+6),--('Year Plan'!$I$7:$I$46&gt;=BC$3)))</f>
        <v>0</v>
      </c>
    </row>
    <row r="13" customFormat="false" ht="19.5" hidden="false" customHeight="true" outlineLevel="0" collapsed="false">
      <c r="A13" s="39" t="str">
        <f aca="false">IF(Setup!$B$17="","",Setup!$B$17)</f>
        <v>Grace Lin</v>
      </c>
      <c r="B13" s="39" t="str">
        <f aca="false">IF(Setup!$B$17="","",Setup!$C$17)</f>
        <v>UX</v>
      </c>
      <c r="C13" s="44" t="n">
        <f aca="false">IF($A13="","",SUMPRODUCT(--ISNUMBER(SEARCH(","&amp;SUBSTITUTE($A13," ","")&amp;",",'Year Plan'!$BM$7:$BM$46))))</f>
        <v>1</v>
      </c>
      <c r="D13" s="45" t="n">
        <f aca="false">IF($A13="","",SUMPRODUCT(--ISNUMBER(SEARCH(","&amp;SUBSTITUTE($A13," ","")&amp;",",'Year Plan'!$BM$7:$BM$46)),--('Year Plan'!$H$7:$H$46&lt;&gt;""),--('Year Plan'!$H$7:$H$46&lt;=D$3+6),--('Year Plan'!$I$7:$I$46&gt;=D$3)))</f>
        <v>0</v>
      </c>
      <c r="E13" s="45" t="n">
        <f aca="false">IF($A13="","",SUMPRODUCT(--ISNUMBER(SEARCH(","&amp;SUBSTITUTE($A13," ","")&amp;",",'Year Plan'!$BM$7:$BM$46)),--('Year Plan'!$H$7:$H$46&lt;&gt;""),--('Year Plan'!$H$7:$H$46&lt;=E$3+6),--('Year Plan'!$I$7:$I$46&gt;=E$3)))</f>
        <v>0</v>
      </c>
      <c r="F13" s="45" t="n">
        <f aca="false">IF($A13="","",SUMPRODUCT(--ISNUMBER(SEARCH(","&amp;SUBSTITUTE($A13," ","")&amp;",",'Year Plan'!$BM$7:$BM$46)),--('Year Plan'!$H$7:$H$46&lt;&gt;""),--('Year Plan'!$H$7:$H$46&lt;=F$3+6),--('Year Plan'!$I$7:$I$46&gt;=F$3)))</f>
        <v>0</v>
      </c>
      <c r="G13" s="45" t="n">
        <f aca="false">IF($A13="","",SUMPRODUCT(--ISNUMBER(SEARCH(","&amp;SUBSTITUTE($A13," ","")&amp;",",'Year Plan'!$BM$7:$BM$46)),--('Year Plan'!$H$7:$H$46&lt;&gt;""),--('Year Plan'!$H$7:$H$46&lt;=G$3+6),--('Year Plan'!$I$7:$I$46&gt;=G$3)))</f>
        <v>0</v>
      </c>
      <c r="H13" s="45" t="n">
        <f aca="false">IF($A13="","",SUMPRODUCT(--ISNUMBER(SEARCH(","&amp;SUBSTITUTE($A13," ","")&amp;",",'Year Plan'!$BM$7:$BM$46)),--('Year Plan'!$H$7:$H$46&lt;&gt;""),--('Year Plan'!$H$7:$H$46&lt;=H$3+6),--('Year Plan'!$I$7:$I$46&gt;=H$3)))</f>
        <v>0</v>
      </c>
      <c r="I13" s="45" t="n">
        <f aca="false">IF($A13="","",SUMPRODUCT(--ISNUMBER(SEARCH(","&amp;SUBSTITUTE($A13," ","")&amp;",",'Year Plan'!$BM$7:$BM$46)),--('Year Plan'!$H$7:$H$46&lt;&gt;""),--('Year Plan'!$H$7:$H$46&lt;=I$3+6),--('Year Plan'!$I$7:$I$46&gt;=I$3)))</f>
        <v>0</v>
      </c>
      <c r="J13" s="45" t="n">
        <f aca="false">IF($A13="","",SUMPRODUCT(--ISNUMBER(SEARCH(","&amp;SUBSTITUTE($A13," ","")&amp;",",'Year Plan'!$BM$7:$BM$46)),--('Year Plan'!$H$7:$H$46&lt;&gt;""),--('Year Plan'!$H$7:$H$46&lt;=J$3+6),--('Year Plan'!$I$7:$I$46&gt;=J$3)))</f>
        <v>0</v>
      </c>
      <c r="K13" s="45" t="n">
        <f aca="false">IF($A13="","",SUMPRODUCT(--ISNUMBER(SEARCH(","&amp;SUBSTITUTE($A13," ","")&amp;",",'Year Plan'!$BM$7:$BM$46)),--('Year Plan'!$H$7:$H$46&lt;&gt;""),--('Year Plan'!$H$7:$H$46&lt;=K$3+6),--('Year Plan'!$I$7:$I$46&gt;=K$3)))</f>
        <v>0</v>
      </c>
      <c r="L13" s="45" t="n">
        <f aca="false">IF($A13="","",SUMPRODUCT(--ISNUMBER(SEARCH(","&amp;SUBSTITUTE($A13," ","")&amp;",",'Year Plan'!$BM$7:$BM$46)),--('Year Plan'!$H$7:$H$46&lt;&gt;""),--('Year Plan'!$H$7:$H$46&lt;=L$3+6),--('Year Plan'!$I$7:$I$46&gt;=L$3)))</f>
        <v>0</v>
      </c>
      <c r="M13" s="45" t="n">
        <f aca="false">IF($A13="","",SUMPRODUCT(--ISNUMBER(SEARCH(","&amp;SUBSTITUTE($A13," ","")&amp;",",'Year Plan'!$BM$7:$BM$46)),--('Year Plan'!$H$7:$H$46&lt;&gt;""),--('Year Plan'!$H$7:$H$46&lt;=M$3+6),--('Year Plan'!$I$7:$I$46&gt;=M$3)))</f>
        <v>0</v>
      </c>
      <c r="N13" s="45" t="n">
        <f aca="false">IF($A13="","",SUMPRODUCT(--ISNUMBER(SEARCH(","&amp;SUBSTITUTE($A13," ","")&amp;",",'Year Plan'!$BM$7:$BM$46)),--('Year Plan'!$H$7:$H$46&lt;&gt;""),--('Year Plan'!$H$7:$H$46&lt;=N$3+6),--('Year Plan'!$I$7:$I$46&gt;=N$3)))</f>
        <v>0</v>
      </c>
      <c r="O13" s="45" t="n">
        <f aca="false">IF($A13="","",SUMPRODUCT(--ISNUMBER(SEARCH(","&amp;SUBSTITUTE($A13," ","")&amp;",",'Year Plan'!$BM$7:$BM$46)),--('Year Plan'!$H$7:$H$46&lt;&gt;""),--('Year Plan'!$H$7:$H$46&lt;=O$3+6),--('Year Plan'!$I$7:$I$46&gt;=O$3)))</f>
        <v>0</v>
      </c>
      <c r="P13" s="45" t="n">
        <f aca="false">IF($A13="","",SUMPRODUCT(--ISNUMBER(SEARCH(","&amp;SUBSTITUTE($A13," ","")&amp;",",'Year Plan'!$BM$7:$BM$46)),--('Year Plan'!$H$7:$H$46&lt;&gt;""),--('Year Plan'!$H$7:$H$46&lt;=P$3+6),--('Year Plan'!$I$7:$I$46&gt;=P$3)))</f>
        <v>0</v>
      </c>
      <c r="Q13" s="45" t="n">
        <f aca="false">IF($A13="","",SUMPRODUCT(--ISNUMBER(SEARCH(","&amp;SUBSTITUTE($A13," ","")&amp;",",'Year Plan'!$BM$7:$BM$46)),--('Year Plan'!$H$7:$H$46&lt;&gt;""),--('Year Plan'!$H$7:$H$46&lt;=Q$3+6),--('Year Plan'!$I$7:$I$46&gt;=Q$3)))</f>
        <v>0</v>
      </c>
      <c r="R13" s="45" t="n">
        <f aca="false">IF($A13="","",SUMPRODUCT(--ISNUMBER(SEARCH(","&amp;SUBSTITUTE($A13," ","")&amp;",",'Year Plan'!$BM$7:$BM$46)),--('Year Plan'!$H$7:$H$46&lt;&gt;""),--('Year Plan'!$H$7:$H$46&lt;=R$3+6),--('Year Plan'!$I$7:$I$46&gt;=R$3)))</f>
        <v>1</v>
      </c>
      <c r="S13" s="45" t="n">
        <f aca="false">IF($A13="","",SUMPRODUCT(--ISNUMBER(SEARCH(","&amp;SUBSTITUTE($A13," ","")&amp;",",'Year Plan'!$BM$7:$BM$46)),--('Year Plan'!$H$7:$H$46&lt;&gt;""),--('Year Plan'!$H$7:$H$46&lt;=S$3+6),--('Year Plan'!$I$7:$I$46&gt;=S$3)))</f>
        <v>1</v>
      </c>
      <c r="T13" s="45" t="n">
        <f aca="false">IF($A13="","",SUMPRODUCT(--ISNUMBER(SEARCH(","&amp;SUBSTITUTE($A13," ","")&amp;",",'Year Plan'!$BM$7:$BM$46)),--('Year Plan'!$H$7:$H$46&lt;&gt;""),--('Year Plan'!$H$7:$H$46&lt;=T$3+6),--('Year Plan'!$I$7:$I$46&gt;=T$3)))</f>
        <v>1</v>
      </c>
      <c r="U13" s="45" t="n">
        <f aca="false">IF($A13="","",SUMPRODUCT(--ISNUMBER(SEARCH(","&amp;SUBSTITUTE($A13," ","")&amp;",",'Year Plan'!$BM$7:$BM$46)),--('Year Plan'!$H$7:$H$46&lt;&gt;""),--('Year Plan'!$H$7:$H$46&lt;=U$3+6),--('Year Plan'!$I$7:$I$46&gt;=U$3)))</f>
        <v>1</v>
      </c>
      <c r="V13" s="45" t="n">
        <f aca="false">IF($A13="","",SUMPRODUCT(--ISNUMBER(SEARCH(","&amp;SUBSTITUTE($A13," ","")&amp;",",'Year Plan'!$BM$7:$BM$46)),--('Year Plan'!$H$7:$H$46&lt;&gt;""),--('Year Plan'!$H$7:$H$46&lt;=V$3+6),--('Year Plan'!$I$7:$I$46&gt;=V$3)))</f>
        <v>1</v>
      </c>
      <c r="W13" s="45" t="n">
        <f aca="false">IF($A13="","",SUMPRODUCT(--ISNUMBER(SEARCH(","&amp;SUBSTITUTE($A13," ","")&amp;",",'Year Plan'!$BM$7:$BM$46)),--('Year Plan'!$H$7:$H$46&lt;&gt;""),--('Year Plan'!$H$7:$H$46&lt;=W$3+6),--('Year Plan'!$I$7:$I$46&gt;=W$3)))</f>
        <v>1</v>
      </c>
      <c r="X13" s="45" t="n">
        <f aca="false">IF($A13="","",SUMPRODUCT(--ISNUMBER(SEARCH(","&amp;SUBSTITUTE($A13," ","")&amp;",",'Year Plan'!$BM$7:$BM$46)),--('Year Plan'!$H$7:$H$46&lt;&gt;""),--('Year Plan'!$H$7:$H$46&lt;=X$3+6),--('Year Plan'!$I$7:$I$46&gt;=X$3)))</f>
        <v>1</v>
      </c>
      <c r="Y13" s="45" t="n">
        <f aca="false">IF($A13="","",SUMPRODUCT(--ISNUMBER(SEARCH(","&amp;SUBSTITUTE($A13," ","")&amp;",",'Year Plan'!$BM$7:$BM$46)),--('Year Plan'!$H$7:$H$46&lt;&gt;""),--('Year Plan'!$H$7:$H$46&lt;=Y$3+6),--('Year Plan'!$I$7:$I$46&gt;=Y$3)))</f>
        <v>1</v>
      </c>
      <c r="Z13" s="45" t="n">
        <f aca="false">IF($A13="","",SUMPRODUCT(--ISNUMBER(SEARCH(","&amp;SUBSTITUTE($A13," ","")&amp;",",'Year Plan'!$BM$7:$BM$46)),--('Year Plan'!$H$7:$H$46&lt;&gt;""),--('Year Plan'!$H$7:$H$46&lt;=Z$3+6),--('Year Plan'!$I$7:$I$46&gt;=Z$3)))</f>
        <v>1</v>
      </c>
      <c r="AA13" s="45" t="n">
        <f aca="false">IF($A13="","",SUMPRODUCT(--ISNUMBER(SEARCH(","&amp;SUBSTITUTE($A13," ","")&amp;",",'Year Plan'!$BM$7:$BM$46)),--('Year Plan'!$H$7:$H$46&lt;&gt;""),--('Year Plan'!$H$7:$H$46&lt;=AA$3+6),--('Year Plan'!$I$7:$I$46&gt;=AA$3)))</f>
        <v>1</v>
      </c>
      <c r="AB13" s="45" t="n">
        <f aca="false">IF($A13="","",SUMPRODUCT(--ISNUMBER(SEARCH(","&amp;SUBSTITUTE($A13," ","")&amp;",",'Year Plan'!$BM$7:$BM$46)),--('Year Plan'!$H$7:$H$46&lt;&gt;""),--('Year Plan'!$H$7:$H$46&lt;=AB$3+6),--('Year Plan'!$I$7:$I$46&gt;=AB$3)))</f>
        <v>1</v>
      </c>
      <c r="AC13" s="45" t="n">
        <f aca="false">IF($A13="","",SUMPRODUCT(--ISNUMBER(SEARCH(","&amp;SUBSTITUTE($A13," ","")&amp;",",'Year Plan'!$BM$7:$BM$46)),--('Year Plan'!$H$7:$H$46&lt;&gt;""),--('Year Plan'!$H$7:$H$46&lt;=AC$3+6),--('Year Plan'!$I$7:$I$46&gt;=AC$3)))</f>
        <v>1</v>
      </c>
      <c r="AD13" s="45" t="n">
        <f aca="false">IF($A13="","",SUMPRODUCT(--ISNUMBER(SEARCH(","&amp;SUBSTITUTE($A13," ","")&amp;",",'Year Plan'!$BM$7:$BM$46)),--('Year Plan'!$H$7:$H$46&lt;&gt;""),--('Year Plan'!$H$7:$H$46&lt;=AD$3+6),--('Year Plan'!$I$7:$I$46&gt;=AD$3)))</f>
        <v>1</v>
      </c>
      <c r="AE13" s="45" t="n">
        <f aca="false">IF($A13="","",SUMPRODUCT(--ISNUMBER(SEARCH(","&amp;SUBSTITUTE($A13," ","")&amp;",",'Year Plan'!$BM$7:$BM$46)),--('Year Plan'!$H$7:$H$46&lt;&gt;""),--('Year Plan'!$H$7:$H$46&lt;=AE$3+6),--('Year Plan'!$I$7:$I$46&gt;=AE$3)))</f>
        <v>1</v>
      </c>
      <c r="AF13" s="45" t="n">
        <f aca="false">IF($A13="","",SUMPRODUCT(--ISNUMBER(SEARCH(","&amp;SUBSTITUTE($A13," ","")&amp;",",'Year Plan'!$BM$7:$BM$46)),--('Year Plan'!$H$7:$H$46&lt;&gt;""),--('Year Plan'!$H$7:$H$46&lt;=AF$3+6),--('Year Plan'!$I$7:$I$46&gt;=AF$3)))</f>
        <v>1</v>
      </c>
      <c r="AG13" s="45" t="n">
        <f aca="false">IF($A13="","",SUMPRODUCT(--ISNUMBER(SEARCH(","&amp;SUBSTITUTE($A13," ","")&amp;",",'Year Plan'!$BM$7:$BM$46)),--('Year Plan'!$H$7:$H$46&lt;&gt;""),--('Year Plan'!$H$7:$H$46&lt;=AG$3+6),--('Year Plan'!$I$7:$I$46&gt;=AG$3)))</f>
        <v>1</v>
      </c>
      <c r="AH13" s="45" t="n">
        <f aca="false">IF($A13="","",SUMPRODUCT(--ISNUMBER(SEARCH(","&amp;SUBSTITUTE($A13," ","")&amp;",",'Year Plan'!$BM$7:$BM$46)),--('Year Plan'!$H$7:$H$46&lt;&gt;""),--('Year Plan'!$H$7:$H$46&lt;=AH$3+6),--('Year Plan'!$I$7:$I$46&gt;=AH$3)))</f>
        <v>1</v>
      </c>
      <c r="AI13" s="45" t="n">
        <f aca="false">IF($A13="","",SUMPRODUCT(--ISNUMBER(SEARCH(","&amp;SUBSTITUTE($A13," ","")&amp;",",'Year Plan'!$BM$7:$BM$46)),--('Year Plan'!$H$7:$H$46&lt;&gt;""),--('Year Plan'!$H$7:$H$46&lt;=AI$3+6),--('Year Plan'!$I$7:$I$46&gt;=AI$3)))</f>
        <v>0</v>
      </c>
      <c r="AJ13" s="45" t="n">
        <f aca="false">IF($A13="","",SUMPRODUCT(--ISNUMBER(SEARCH(","&amp;SUBSTITUTE($A13," ","")&amp;",",'Year Plan'!$BM$7:$BM$46)),--('Year Plan'!$H$7:$H$46&lt;&gt;""),--('Year Plan'!$H$7:$H$46&lt;=AJ$3+6),--('Year Plan'!$I$7:$I$46&gt;=AJ$3)))</f>
        <v>0</v>
      </c>
      <c r="AK13" s="45" t="n">
        <f aca="false">IF($A13="","",SUMPRODUCT(--ISNUMBER(SEARCH(","&amp;SUBSTITUTE($A13," ","")&amp;",",'Year Plan'!$BM$7:$BM$46)),--('Year Plan'!$H$7:$H$46&lt;&gt;""),--('Year Plan'!$H$7:$H$46&lt;=AK$3+6),--('Year Plan'!$I$7:$I$46&gt;=AK$3)))</f>
        <v>0</v>
      </c>
      <c r="AL13" s="45" t="n">
        <f aca="false">IF($A13="","",SUMPRODUCT(--ISNUMBER(SEARCH(","&amp;SUBSTITUTE($A13," ","")&amp;",",'Year Plan'!$BM$7:$BM$46)),--('Year Plan'!$H$7:$H$46&lt;&gt;""),--('Year Plan'!$H$7:$H$46&lt;=AL$3+6),--('Year Plan'!$I$7:$I$46&gt;=AL$3)))</f>
        <v>0</v>
      </c>
      <c r="AM13" s="45" t="n">
        <f aca="false">IF($A13="","",SUMPRODUCT(--ISNUMBER(SEARCH(","&amp;SUBSTITUTE($A13," ","")&amp;",",'Year Plan'!$BM$7:$BM$46)),--('Year Plan'!$H$7:$H$46&lt;&gt;""),--('Year Plan'!$H$7:$H$46&lt;=AM$3+6),--('Year Plan'!$I$7:$I$46&gt;=AM$3)))</f>
        <v>0</v>
      </c>
      <c r="AN13" s="45" t="n">
        <f aca="false">IF($A13="","",SUMPRODUCT(--ISNUMBER(SEARCH(","&amp;SUBSTITUTE($A13," ","")&amp;",",'Year Plan'!$BM$7:$BM$46)),--('Year Plan'!$H$7:$H$46&lt;&gt;""),--('Year Plan'!$H$7:$H$46&lt;=AN$3+6),--('Year Plan'!$I$7:$I$46&gt;=AN$3)))</f>
        <v>0</v>
      </c>
      <c r="AO13" s="45" t="n">
        <f aca="false">IF($A13="","",SUMPRODUCT(--ISNUMBER(SEARCH(","&amp;SUBSTITUTE($A13," ","")&amp;",",'Year Plan'!$BM$7:$BM$46)),--('Year Plan'!$H$7:$H$46&lt;&gt;""),--('Year Plan'!$H$7:$H$46&lt;=AO$3+6),--('Year Plan'!$I$7:$I$46&gt;=AO$3)))</f>
        <v>0</v>
      </c>
      <c r="AP13" s="45" t="n">
        <f aca="false">IF($A13="","",SUMPRODUCT(--ISNUMBER(SEARCH(","&amp;SUBSTITUTE($A13," ","")&amp;",",'Year Plan'!$BM$7:$BM$46)),--('Year Plan'!$H$7:$H$46&lt;&gt;""),--('Year Plan'!$H$7:$H$46&lt;=AP$3+6),--('Year Plan'!$I$7:$I$46&gt;=AP$3)))</f>
        <v>0</v>
      </c>
      <c r="AQ13" s="45" t="n">
        <f aca="false">IF($A13="","",SUMPRODUCT(--ISNUMBER(SEARCH(","&amp;SUBSTITUTE($A13," ","")&amp;",",'Year Plan'!$BM$7:$BM$46)),--('Year Plan'!$H$7:$H$46&lt;&gt;""),--('Year Plan'!$H$7:$H$46&lt;=AQ$3+6),--('Year Plan'!$I$7:$I$46&gt;=AQ$3)))</f>
        <v>0</v>
      </c>
      <c r="AR13" s="45" t="n">
        <f aca="false">IF($A13="","",SUMPRODUCT(--ISNUMBER(SEARCH(","&amp;SUBSTITUTE($A13," ","")&amp;",",'Year Plan'!$BM$7:$BM$46)),--('Year Plan'!$H$7:$H$46&lt;&gt;""),--('Year Plan'!$H$7:$H$46&lt;=AR$3+6),--('Year Plan'!$I$7:$I$46&gt;=AR$3)))</f>
        <v>0</v>
      </c>
      <c r="AS13" s="45" t="n">
        <f aca="false">IF($A13="","",SUMPRODUCT(--ISNUMBER(SEARCH(","&amp;SUBSTITUTE($A13," ","")&amp;",",'Year Plan'!$BM$7:$BM$46)),--('Year Plan'!$H$7:$H$46&lt;&gt;""),--('Year Plan'!$H$7:$H$46&lt;=AS$3+6),--('Year Plan'!$I$7:$I$46&gt;=AS$3)))</f>
        <v>0</v>
      </c>
      <c r="AT13" s="45" t="n">
        <f aca="false">IF($A13="","",SUMPRODUCT(--ISNUMBER(SEARCH(","&amp;SUBSTITUTE($A13," ","")&amp;",",'Year Plan'!$BM$7:$BM$46)),--('Year Plan'!$H$7:$H$46&lt;&gt;""),--('Year Plan'!$H$7:$H$46&lt;=AT$3+6),--('Year Plan'!$I$7:$I$46&gt;=AT$3)))</f>
        <v>0</v>
      </c>
      <c r="AU13" s="45" t="n">
        <f aca="false">IF($A13="","",SUMPRODUCT(--ISNUMBER(SEARCH(","&amp;SUBSTITUTE($A13," ","")&amp;",",'Year Plan'!$BM$7:$BM$46)),--('Year Plan'!$H$7:$H$46&lt;&gt;""),--('Year Plan'!$H$7:$H$46&lt;=AU$3+6),--('Year Plan'!$I$7:$I$46&gt;=AU$3)))</f>
        <v>0</v>
      </c>
      <c r="AV13" s="45" t="n">
        <f aca="false">IF($A13="","",SUMPRODUCT(--ISNUMBER(SEARCH(","&amp;SUBSTITUTE($A13," ","")&amp;",",'Year Plan'!$BM$7:$BM$46)),--('Year Plan'!$H$7:$H$46&lt;&gt;""),--('Year Plan'!$H$7:$H$46&lt;=AV$3+6),--('Year Plan'!$I$7:$I$46&gt;=AV$3)))</f>
        <v>0</v>
      </c>
      <c r="AW13" s="45" t="n">
        <f aca="false">IF($A13="","",SUMPRODUCT(--ISNUMBER(SEARCH(","&amp;SUBSTITUTE($A13," ","")&amp;",",'Year Plan'!$BM$7:$BM$46)),--('Year Plan'!$H$7:$H$46&lt;&gt;""),--('Year Plan'!$H$7:$H$46&lt;=AW$3+6),--('Year Plan'!$I$7:$I$46&gt;=AW$3)))</f>
        <v>0</v>
      </c>
      <c r="AX13" s="45" t="n">
        <f aca="false">IF($A13="","",SUMPRODUCT(--ISNUMBER(SEARCH(","&amp;SUBSTITUTE($A13," ","")&amp;",",'Year Plan'!$BM$7:$BM$46)),--('Year Plan'!$H$7:$H$46&lt;&gt;""),--('Year Plan'!$H$7:$H$46&lt;=AX$3+6),--('Year Plan'!$I$7:$I$46&gt;=AX$3)))</f>
        <v>0</v>
      </c>
      <c r="AY13" s="45" t="n">
        <f aca="false">IF($A13="","",SUMPRODUCT(--ISNUMBER(SEARCH(","&amp;SUBSTITUTE($A13," ","")&amp;",",'Year Plan'!$BM$7:$BM$46)),--('Year Plan'!$H$7:$H$46&lt;&gt;""),--('Year Plan'!$H$7:$H$46&lt;=AY$3+6),--('Year Plan'!$I$7:$I$46&gt;=AY$3)))</f>
        <v>0</v>
      </c>
      <c r="AZ13" s="45" t="n">
        <f aca="false">IF($A13="","",SUMPRODUCT(--ISNUMBER(SEARCH(","&amp;SUBSTITUTE($A13," ","")&amp;",",'Year Plan'!$BM$7:$BM$46)),--('Year Plan'!$H$7:$H$46&lt;&gt;""),--('Year Plan'!$H$7:$H$46&lt;=AZ$3+6),--('Year Plan'!$I$7:$I$46&gt;=AZ$3)))</f>
        <v>0</v>
      </c>
      <c r="BA13" s="45" t="n">
        <f aca="false">IF($A13="","",SUMPRODUCT(--ISNUMBER(SEARCH(","&amp;SUBSTITUTE($A13," ","")&amp;",",'Year Plan'!$BM$7:$BM$46)),--('Year Plan'!$H$7:$H$46&lt;&gt;""),--('Year Plan'!$H$7:$H$46&lt;=BA$3+6),--('Year Plan'!$I$7:$I$46&gt;=BA$3)))</f>
        <v>0</v>
      </c>
      <c r="BB13" s="45" t="n">
        <f aca="false">IF($A13="","",SUMPRODUCT(--ISNUMBER(SEARCH(","&amp;SUBSTITUTE($A13," ","")&amp;",",'Year Plan'!$BM$7:$BM$46)),--('Year Plan'!$H$7:$H$46&lt;&gt;""),--('Year Plan'!$H$7:$H$46&lt;=BB$3+6),--('Year Plan'!$I$7:$I$46&gt;=BB$3)))</f>
        <v>0</v>
      </c>
      <c r="BC13" s="45" t="n">
        <f aca="false">IF($A13="","",SUMPRODUCT(--ISNUMBER(SEARCH(","&amp;SUBSTITUTE($A13," ","")&amp;",",'Year Plan'!$BM$7:$BM$46)),--('Year Plan'!$H$7:$H$46&lt;&gt;""),--('Year Plan'!$H$7:$H$46&lt;=BC$3+6),--('Year Plan'!$I$7:$I$46&gt;=BC$3)))</f>
        <v>0</v>
      </c>
    </row>
    <row r="14" customFormat="false" ht="19.5" hidden="false" customHeight="true" outlineLevel="0" collapsed="false">
      <c r="A14" s="39" t="str">
        <f aca="false">IF(Setup!$B$18="","",Setup!$B$18)</f>
        <v>Omar Haddad</v>
      </c>
      <c r="B14" s="39" t="str">
        <f aca="false">IF(Setup!$B$18="","",Setup!$C$18)</f>
        <v>Engineer</v>
      </c>
      <c r="C14" s="44" t="n">
        <f aca="false">IF($A14="","",SUMPRODUCT(--ISNUMBER(SEARCH(","&amp;SUBSTITUTE($A14," ","")&amp;",",'Year Plan'!$BM$7:$BM$46))))</f>
        <v>2</v>
      </c>
      <c r="D14" s="45" t="n">
        <f aca="false">IF($A14="","",SUMPRODUCT(--ISNUMBER(SEARCH(","&amp;SUBSTITUTE($A14," ","")&amp;",",'Year Plan'!$BM$7:$BM$46)),--('Year Plan'!$H$7:$H$46&lt;&gt;""),--('Year Plan'!$H$7:$H$46&lt;=D$3+6),--('Year Plan'!$I$7:$I$46&gt;=D$3)))</f>
        <v>1</v>
      </c>
      <c r="E14" s="45" t="n">
        <f aca="false">IF($A14="","",SUMPRODUCT(--ISNUMBER(SEARCH(","&amp;SUBSTITUTE($A14," ","")&amp;",",'Year Plan'!$BM$7:$BM$46)),--('Year Plan'!$H$7:$H$46&lt;&gt;""),--('Year Plan'!$H$7:$H$46&lt;=E$3+6),--('Year Plan'!$I$7:$I$46&gt;=E$3)))</f>
        <v>1</v>
      </c>
      <c r="F14" s="45" t="n">
        <f aca="false">IF($A14="","",SUMPRODUCT(--ISNUMBER(SEARCH(","&amp;SUBSTITUTE($A14," ","")&amp;",",'Year Plan'!$BM$7:$BM$46)),--('Year Plan'!$H$7:$H$46&lt;&gt;""),--('Year Plan'!$H$7:$H$46&lt;=F$3+6),--('Year Plan'!$I$7:$I$46&gt;=F$3)))</f>
        <v>1</v>
      </c>
      <c r="G14" s="45" t="n">
        <f aca="false">IF($A14="","",SUMPRODUCT(--ISNUMBER(SEARCH(","&amp;SUBSTITUTE($A14," ","")&amp;",",'Year Plan'!$BM$7:$BM$46)),--('Year Plan'!$H$7:$H$46&lt;&gt;""),--('Year Plan'!$H$7:$H$46&lt;=G$3+6),--('Year Plan'!$I$7:$I$46&gt;=G$3)))</f>
        <v>1</v>
      </c>
      <c r="H14" s="45" t="n">
        <f aca="false">IF($A14="","",SUMPRODUCT(--ISNUMBER(SEARCH(","&amp;SUBSTITUTE($A14," ","")&amp;",",'Year Plan'!$BM$7:$BM$46)),--('Year Plan'!$H$7:$H$46&lt;&gt;""),--('Year Plan'!$H$7:$H$46&lt;=H$3+6),--('Year Plan'!$I$7:$I$46&gt;=H$3)))</f>
        <v>1</v>
      </c>
      <c r="I14" s="45" t="n">
        <f aca="false">IF($A14="","",SUMPRODUCT(--ISNUMBER(SEARCH(","&amp;SUBSTITUTE($A14," ","")&amp;",",'Year Plan'!$BM$7:$BM$46)),--('Year Plan'!$H$7:$H$46&lt;&gt;""),--('Year Plan'!$H$7:$H$46&lt;=I$3+6),--('Year Plan'!$I$7:$I$46&gt;=I$3)))</f>
        <v>1</v>
      </c>
      <c r="J14" s="45" t="n">
        <f aca="false">IF($A14="","",SUMPRODUCT(--ISNUMBER(SEARCH(","&amp;SUBSTITUTE($A14," ","")&amp;",",'Year Plan'!$BM$7:$BM$46)),--('Year Plan'!$H$7:$H$46&lt;&gt;""),--('Year Plan'!$H$7:$H$46&lt;=J$3+6),--('Year Plan'!$I$7:$I$46&gt;=J$3)))</f>
        <v>1</v>
      </c>
      <c r="K14" s="45" t="n">
        <f aca="false">IF($A14="","",SUMPRODUCT(--ISNUMBER(SEARCH(","&amp;SUBSTITUTE($A14," ","")&amp;",",'Year Plan'!$BM$7:$BM$46)),--('Year Plan'!$H$7:$H$46&lt;&gt;""),--('Year Plan'!$H$7:$H$46&lt;=K$3+6),--('Year Plan'!$I$7:$I$46&gt;=K$3)))</f>
        <v>0</v>
      </c>
      <c r="L14" s="45" t="n">
        <f aca="false">IF($A14="","",SUMPRODUCT(--ISNUMBER(SEARCH(","&amp;SUBSTITUTE($A14," ","")&amp;",",'Year Plan'!$BM$7:$BM$46)),--('Year Plan'!$H$7:$H$46&lt;&gt;""),--('Year Plan'!$H$7:$H$46&lt;=L$3+6),--('Year Plan'!$I$7:$I$46&gt;=L$3)))</f>
        <v>0</v>
      </c>
      <c r="M14" s="45" t="n">
        <f aca="false">IF($A14="","",SUMPRODUCT(--ISNUMBER(SEARCH(","&amp;SUBSTITUTE($A14," ","")&amp;",",'Year Plan'!$BM$7:$BM$46)),--('Year Plan'!$H$7:$H$46&lt;&gt;""),--('Year Plan'!$H$7:$H$46&lt;=M$3+6),--('Year Plan'!$I$7:$I$46&gt;=M$3)))</f>
        <v>0</v>
      </c>
      <c r="N14" s="45" t="n">
        <f aca="false">IF($A14="","",SUMPRODUCT(--ISNUMBER(SEARCH(","&amp;SUBSTITUTE($A14," ","")&amp;",",'Year Plan'!$BM$7:$BM$46)),--('Year Plan'!$H$7:$H$46&lt;&gt;""),--('Year Plan'!$H$7:$H$46&lt;=N$3+6),--('Year Plan'!$I$7:$I$46&gt;=N$3)))</f>
        <v>0</v>
      </c>
      <c r="O14" s="45" t="n">
        <f aca="false">IF($A14="","",SUMPRODUCT(--ISNUMBER(SEARCH(","&amp;SUBSTITUTE($A14," ","")&amp;",",'Year Plan'!$BM$7:$BM$46)),--('Year Plan'!$H$7:$H$46&lt;&gt;""),--('Year Plan'!$H$7:$H$46&lt;=O$3+6),--('Year Plan'!$I$7:$I$46&gt;=O$3)))</f>
        <v>0</v>
      </c>
      <c r="P14" s="45" t="n">
        <f aca="false">IF($A14="","",SUMPRODUCT(--ISNUMBER(SEARCH(","&amp;SUBSTITUTE($A14," ","")&amp;",",'Year Plan'!$BM$7:$BM$46)),--('Year Plan'!$H$7:$H$46&lt;&gt;""),--('Year Plan'!$H$7:$H$46&lt;=P$3+6),--('Year Plan'!$I$7:$I$46&gt;=P$3)))</f>
        <v>0</v>
      </c>
      <c r="Q14" s="45" t="n">
        <f aca="false">IF($A14="","",SUMPRODUCT(--ISNUMBER(SEARCH(","&amp;SUBSTITUTE($A14," ","")&amp;",",'Year Plan'!$BM$7:$BM$46)),--('Year Plan'!$H$7:$H$46&lt;&gt;""),--('Year Plan'!$H$7:$H$46&lt;=Q$3+6),--('Year Plan'!$I$7:$I$46&gt;=Q$3)))</f>
        <v>0</v>
      </c>
      <c r="R14" s="45" t="n">
        <f aca="false">IF($A14="","",SUMPRODUCT(--ISNUMBER(SEARCH(","&amp;SUBSTITUTE($A14," ","")&amp;",",'Year Plan'!$BM$7:$BM$46)),--('Year Plan'!$H$7:$H$46&lt;&gt;""),--('Year Plan'!$H$7:$H$46&lt;=R$3+6),--('Year Plan'!$I$7:$I$46&gt;=R$3)))</f>
        <v>1</v>
      </c>
      <c r="S14" s="45" t="n">
        <f aca="false">IF($A14="","",SUMPRODUCT(--ISNUMBER(SEARCH(","&amp;SUBSTITUTE($A14," ","")&amp;",",'Year Plan'!$BM$7:$BM$46)),--('Year Plan'!$H$7:$H$46&lt;&gt;""),--('Year Plan'!$H$7:$H$46&lt;=S$3+6),--('Year Plan'!$I$7:$I$46&gt;=S$3)))</f>
        <v>1</v>
      </c>
      <c r="T14" s="45" t="n">
        <f aca="false">IF($A14="","",SUMPRODUCT(--ISNUMBER(SEARCH(","&amp;SUBSTITUTE($A14," ","")&amp;",",'Year Plan'!$BM$7:$BM$46)),--('Year Plan'!$H$7:$H$46&lt;&gt;""),--('Year Plan'!$H$7:$H$46&lt;=T$3+6),--('Year Plan'!$I$7:$I$46&gt;=T$3)))</f>
        <v>1</v>
      </c>
      <c r="U14" s="45" t="n">
        <f aca="false">IF($A14="","",SUMPRODUCT(--ISNUMBER(SEARCH(","&amp;SUBSTITUTE($A14," ","")&amp;",",'Year Plan'!$BM$7:$BM$46)),--('Year Plan'!$H$7:$H$46&lt;&gt;""),--('Year Plan'!$H$7:$H$46&lt;=U$3+6),--('Year Plan'!$I$7:$I$46&gt;=U$3)))</f>
        <v>1</v>
      </c>
      <c r="V14" s="45" t="n">
        <f aca="false">IF($A14="","",SUMPRODUCT(--ISNUMBER(SEARCH(","&amp;SUBSTITUTE($A14," ","")&amp;",",'Year Plan'!$BM$7:$BM$46)),--('Year Plan'!$H$7:$H$46&lt;&gt;""),--('Year Plan'!$H$7:$H$46&lt;=V$3+6),--('Year Plan'!$I$7:$I$46&gt;=V$3)))</f>
        <v>1</v>
      </c>
      <c r="W14" s="45" t="n">
        <f aca="false">IF($A14="","",SUMPRODUCT(--ISNUMBER(SEARCH(","&amp;SUBSTITUTE($A14," ","")&amp;",",'Year Plan'!$BM$7:$BM$46)),--('Year Plan'!$H$7:$H$46&lt;&gt;""),--('Year Plan'!$H$7:$H$46&lt;=W$3+6),--('Year Plan'!$I$7:$I$46&gt;=W$3)))</f>
        <v>1</v>
      </c>
      <c r="X14" s="45" t="n">
        <f aca="false">IF($A14="","",SUMPRODUCT(--ISNUMBER(SEARCH(","&amp;SUBSTITUTE($A14," ","")&amp;",",'Year Plan'!$BM$7:$BM$46)),--('Year Plan'!$H$7:$H$46&lt;&gt;""),--('Year Plan'!$H$7:$H$46&lt;=X$3+6),--('Year Plan'!$I$7:$I$46&gt;=X$3)))</f>
        <v>1</v>
      </c>
      <c r="Y14" s="45" t="n">
        <f aca="false">IF($A14="","",SUMPRODUCT(--ISNUMBER(SEARCH(","&amp;SUBSTITUTE($A14," ","")&amp;",",'Year Plan'!$BM$7:$BM$46)),--('Year Plan'!$H$7:$H$46&lt;&gt;""),--('Year Plan'!$H$7:$H$46&lt;=Y$3+6),--('Year Plan'!$I$7:$I$46&gt;=Y$3)))</f>
        <v>1</v>
      </c>
      <c r="Z14" s="45" t="n">
        <f aca="false">IF($A14="","",SUMPRODUCT(--ISNUMBER(SEARCH(","&amp;SUBSTITUTE($A14," ","")&amp;",",'Year Plan'!$BM$7:$BM$46)),--('Year Plan'!$H$7:$H$46&lt;&gt;""),--('Year Plan'!$H$7:$H$46&lt;=Z$3+6),--('Year Plan'!$I$7:$I$46&gt;=Z$3)))</f>
        <v>1</v>
      </c>
      <c r="AA14" s="45" t="n">
        <f aca="false">IF($A14="","",SUMPRODUCT(--ISNUMBER(SEARCH(","&amp;SUBSTITUTE($A14," ","")&amp;",",'Year Plan'!$BM$7:$BM$46)),--('Year Plan'!$H$7:$H$46&lt;&gt;""),--('Year Plan'!$H$7:$H$46&lt;=AA$3+6),--('Year Plan'!$I$7:$I$46&gt;=AA$3)))</f>
        <v>1</v>
      </c>
      <c r="AB14" s="45" t="n">
        <f aca="false">IF($A14="","",SUMPRODUCT(--ISNUMBER(SEARCH(","&amp;SUBSTITUTE($A14," ","")&amp;",",'Year Plan'!$BM$7:$BM$46)),--('Year Plan'!$H$7:$H$46&lt;&gt;""),--('Year Plan'!$H$7:$H$46&lt;=AB$3+6),--('Year Plan'!$I$7:$I$46&gt;=AB$3)))</f>
        <v>1</v>
      </c>
      <c r="AC14" s="45" t="n">
        <f aca="false">IF($A14="","",SUMPRODUCT(--ISNUMBER(SEARCH(","&amp;SUBSTITUTE($A14," ","")&amp;",",'Year Plan'!$BM$7:$BM$46)),--('Year Plan'!$H$7:$H$46&lt;&gt;""),--('Year Plan'!$H$7:$H$46&lt;=AC$3+6),--('Year Plan'!$I$7:$I$46&gt;=AC$3)))</f>
        <v>1</v>
      </c>
      <c r="AD14" s="45" t="n">
        <f aca="false">IF($A14="","",SUMPRODUCT(--ISNUMBER(SEARCH(","&amp;SUBSTITUTE($A14," ","")&amp;",",'Year Plan'!$BM$7:$BM$46)),--('Year Plan'!$H$7:$H$46&lt;&gt;""),--('Year Plan'!$H$7:$H$46&lt;=AD$3+6),--('Year Plan'!$I$7:$I$46&gt;=AD$3)))</f>
        <v>1</v>
      </c>
      <c r="AE14" s="45" t="n">
        <f aca="false">IF($A14="","",SUMPRODUCT(--ISNUMBER(SEARCH(","&amp;SUBSTITUTE($A14," ","")&amp;",",'Year Plan'!$BM$7:$BM$46)),--('Year Plan'!$H$7:$H$46&lt;&gt;""),--('Year Plan'!$H$7:$H$46&lt;=AE$3+6),--('Year Plan'!$I$7:$I$46&gt;=AE$3)))</f>
        <v>1</v>
      </c>
      <c r="AF14" s="45" t="n">
        <f aca="false">IF($A14="","",SUMPRODUCT(--ISNUMBER(SEARCH(","&amp;SUBSTITUTE($A14," ","")&amp;",",'Year Plan'!$BM$7:$BM$46)),--('Year Plan'!$H$7:$H$46&lt;&gt;""),--('Year Plan'!$H$7:$H$46&lt;=AF$3+6),--('Year Plan'!$I$7:$I$46&gt;=AF$3)))</f>
        <v>1</v>
      </c>
      <c r="AG14" s="45" t="n">
        <f aca="false">IF($A14="","",SUMPRODUCT(--ISNUMBER(SEARCH(","&amp;SUBSTITUTE($A14," ","")&amp;",",'Year Plan'!$BM$7:$BM$46)),--('Year Plan'!$H$7:$H$46&lt;&gt;""),--('Year Plan'!$H$7:$H$46&lt;=AG$3+6),--('Year Plan'!$I$7:$I$46&gt;=AG$3)))</f>
        <v>1</v>
      </c>
      <c r="AH14" s="45" t="n">
        <f aca="false">IF($A14="","",SUMPRODUCT(--ISNUMBER(SEARCH(","&amp;SUBSTITUTE($A14," ","")&amp;",",'Year Plan'!$BM$7:$BM$46)),--('Year Plan'!$H$7:$H$46&lt;&gt;""),--('Year Plan'!$H$7:$H$46&lt;=AH$3+6),--('Year Plan'!$I$7:$I$46&gt;=AH$3)))</f>
        <v>1</v>
      </c>
      <c r="AI14" s="45" t="n">
        <f aca="false">IF($A14="","",SUMPRODUCT(--ISNUMBER(SEARCH(","&amp;SUBSTITUTE($A14," ","")&amp;",",'Year Plan'!$BM$7:$BM$46)),--('Year Plan'!$H$7:$H$46&lt;&gt;""),--('Year Plan'!$H$7:$H$46&lt;=AI$3+6),--('Year Plan'!$I$7:$I$46&gt;=AI$3)))</f>
        <v>0</v>
      </c>
      <c r="AJ14" s="45" t="n">
        <f aca="false">IF($A14="","",SUMPRODUCT(--ISNUMBER(SEARCH(","&amp;SUBSTITUTE($A14," ","")&amp;",",'Year Plan'!$BM$7:$BM$46)),--('Year Plan'!$H$7:$H$46&lt;&gt;""),--('Year Plan'!$H$7:$H$46&lt;=AJ$3+6),--('Year Plan'!$I$7:$I$46&gt;=AJ$3)))</f>
        <v>0</v>
      </c>
      <c r="AK14" s="45" t="n">
        <f aca="false">IF($A14="","",SUMPRODUCT(--ISNUMBER(SEARCH(","&amp;SUBSTITUTE($A14," ","")&amp;",",'Year Plan'!$BM$7:$BM$46)),--('Year Plan'!$H$7:$H$46&lt;&gt;""),--('Year Plan'!$H$7:$H$46&lt;=AK$3+6),--('Year Plan'!$I$7:$I$46&gt;=AK$3)))</f>
        <v>0</v>
      </c>
      <c r="AL14" s="45" t="n">
        <f aca="false">IF($A14="","",SUMPRODUCT(--ISNUMBER(SEARCH(","&amp;SUBSTITUTE($A14," ","")&amp;",",'Year Plan'!$BM$7:$BM$46)),--('Year Plan'!$H$7:$H$46&lt;&gt;""),--('Year Plan'!$H$7:$H$46&lt;=AL$3+6),--('Year Plan'!$I$7:$I$46&gt;=AL$3)))</f>
        <v>0</v>
      </c>
      <c r="AM14" s="45" t="n">
        <f aca="false">IF($A14="","",SUMPRODUCT(--ISNUMBER(SEARCH(","&amp;SUBSTITUTE($A14," ","")&amp;",",'Year Plan'!$BM$7:$BM$46)),--('Year Plan'!$H$7:$H$46&lt;&gt;""),--('Year Plan'!$H$7:$H$46&lt;=AM$3+6),--('Year Plan'!$I$7:$I$46&gt;=AM$3)))</f>
        <v>0</v>
      </c>
      <c r="AN14" s="45" t="n">
        <f aca="false">IF($A14="","",SUMPRODUCT(--ISNUMBER(SEARCH(","&amp;SUBSTITUTE($A14," ","")&amp;",",'Year Plan'!$BM$7:$BM$46)),--('Year Plan'!$H$7:$H$46&lt;&gt;""),--('Year Plan'!$H$7:$H$46&lt;=AN$3+6),--('Year Plan'!$I$7:$I$46&gt;=AN$3)))</f>
        <v>0</v>
      </c>
      <c r="AO14" s="45" t="n">
        <f aca="false">IF($A14="","",SUMPRODUCT(--ISNUMBER(SEARCH(","&amp;SUBSTITUTE($A14," ","")&amp;",",'Year Plan'!$BM$7:$BM$46)),--('Year Plan'!$H$7:$H$46&lt;&gt;""),--('Year Plan'!$H$7:$H$46&lt;=AO$3+6),--('Year Plan'!$I$7:$I$46&gt;=AO$3)))</f>
        <v>0</v>
      </c>
      <c r="AP14" s="45" t="n">
        <f aca="false">IF($A14="","",SUMPRODUCT(--ISNUMBER(SEARCH(","&amp;SUBSTITUTE($A14," ","")&amp;",",'Year Plan'!$BM$7:$BM$46)),--('Year Plan'!$H$7:$H$46&lt;&gt;""),--('Year Plan'!$H$7:$H$46&lt;=AP$3+6),--('Year Plan'!$I$7:$I$46&gt;=AP$3)))</f>
        <v>0</v>
      </c>
      <c r="AQ14" s="45" t="n">
        <f aca="false">IF($A14="","",SUMPRODUCT(--ISNUMBER(SEARCH(","&amp;SUBSTITUTE($A14," ","")&amp;",",'Year Plan'!$BM$7:$BM$46)),--('Year Plan'!$H$7:$H$46&lt;&gt;""),--('Year Plan'!$H$7:$H$46&lt;=AQ$3+6),--('Year Plan'!$I$7:$I$46&gt;=AQ$3)))</f>
        <v>0</v>
      </c>
      <c r="AR14" s="45" t="n">
        <f aca="false">IF($A14="","",SUMPRODUCT(--ISNUMBER(SEARCH(","&amp;SUBSTITUTE($A14," ","")&amp;",",'Year Plan'!$BM$7:$BM$46)),--('Year Plan'!$H$7:$H$46&lt;&gt;""),--('Year Plan'!$H$7:$H$46&lt;=AR$3+6),--('Year Plan'!$I$7:$I$46&gt;=AR$3)))</f>
        <v>0</v>
      </c>
      <c r="AS14" s="45" t="n">
        <f aca="false">IF($A14="","",SUMPRODUCT(--ISNUMBER(SEARCH(","&amp;SUBSTITUTE($A14," ","")&amp;",",'Year Plan'!$BM$7:$BM$46)),--('Year Plan'!$H$7:$H$46&lt;&gt;""),--('Year Plan'!$H$7:$H$46&lt;=AS$3+6),--('Year Plan'!$I$7:$I$46&gt;=AS$3)))</f>
        <v>0</v>
      </c>
      <c r="AT14" s="45" t="n">
        <f aca="false">IF($A14="","",SUMPRODUCT(--ISNUMBER(SEARCH(","&amp;SUBSTITUTE($A14," ","")&amp;",",'Year Plan'!$BM$7:$BM$46)),--('Year Plan'!$H$7:$H$46&lt;&gt;""),--('Year Plan'!$H$7:$H$46&lt;=AT$3+6),--('Year Plan'!$I$7:$I$46&gt;=AT$3)))</f>
        <v>0</v>
      </c>
      <c r="AU14" s="45" t="n">
        <f aca="false">IF($A14="","",SUMPRODUCT(--ISNUMBER(SEARCH(","&amp;SUBSTITUTE($A14," ","")&amp;",",'Year Plan'!$BM$7:$BM$46)),--('Year Plan'!$H$7:$H$46&lt;&gt;""),--('Year Plan'!$H$7:$H$46&lt;=AU$3+6),--('Year Plan'!$I$7:$I$46&gt;=AU$3)))</f>
        <v>0</v>
      </c>
      <c r="AV14" s="45" t="n">
        <f aca="false">IF($A14="","",SUMPRODUCT(--ISNUMBER(SEARCH(","&amp;SUBSTITUTE($A14," ","")&amp;",",'Year Plan'!$BM$7:$BM$46)),--('Year Plan'!$H$7:$H$46&lt;&gt;""),--('Year Plan'!$H$7:$H$46&lt;=AV$3+6),--('Year Plan'!$I$7:$I$46&gt;=AV$3)))</f>
        <v>0</v>
      </c>
      <c r="AW14" s="45" t="n">
        <f aca="false">IF($A14="","",SUMPRODUCT(--ISNUMBER(SEARCH(","&amp;SUBSTITUTE($A14," ","")&amp;",",'Year Plan'!$BM$7:$BM$46)),--('Year Plan'!$H$7:$H$46&lt;&gt;""),--('Year Plan'!$H$7:$H$46&lt;=AW$3+6),--('Year Plan'!$I$7:$I$46&gt;=AW$3)))</f>
        <v>0</v>
      </c>
      <c r="AX14" s="45" t="n">
        <f aca="false">IF($A14="","",SUMPRODUCT(--ISNUMBER(SEARCH(","&amp;SUBSTITUTE($A14," ","")&amp;",",'Year Plan'!$BM$7:$BM$46)),--('Year Plan'!$H$7:$H$46&lt;&gt;""),--('Year Plan'!$H$7:$H$46&lt;=AX$3+6),--('Year Plan'!$I$7:$I$46&gt;=AX$3)))</f>
        <v>0</v>
      </c>
      <c r="AY14" s="45" t="n">
        <f aca="false">IF($A14="","",SUMPRODUCT(--ISNUMBER(SEARCH(","&amp;SUBSTITUTE($A14," ","")&amp;",",'Year Plan'!$BM$7:$BM$46)),--('Year Plan'!$H$7:$H$46&lt;&gt;""),--('Year Plan'!$H$7:$H$46&lt;=AY$3+6),--('Year Plan'!$I$7:$I$46&gt;=AY$3)))</f>
        <v>0</v>
      </c>
      <c r="AZ14" s="45" t="n">
        <f aca="false">IF($A14="","",SUMPRODUCT(--ISNUMBER(SEARCH(","&amp;SUBSTITUTE($A14," ","")&amp;",",'Year Plan'!$BM$7:$BM$46)),--('Year Plan'!$H$7:$H$46&lt;&gt;""),--('Year Plan'!$H$7:$H$46&lt;=AZ$3+6),--('Year Plan'!$I$7:$I$46&gt;=AZ$3)))</f>
        <v>0</v>
      </c>
      <c r="BA14" s="45" t="n">
        <f aca="false">IF($A14="","",SUMPRODUCT(--ISNUMBER(SEARCH(","&amp;SUBSTITUTE($A14," ","")&amp;",",'Year Plan'!$BM$7:$BM$46)),--('Year Plan'!$H$7:$H$46&lt;&gt;""),--('Year Plan'!$H$7:$H$46&lt;=BA$3+6),--('Year Plan'!$I$7:$I$46&gt;=BA$3)))</f>
        <v>0</v>
      </c>
      <c r="BB14" s="45" t="n">
        <f aca="false">IF($A14="","",SUMPRODUCT(--ISNUMBER(SEARCH(","&amp;SUBSTITUTE($A14," ","")&amp;",",'Year Plan'!$BM$7:$BM$46)),--('Year Plan'!$H$7:$H$46&lt;&gt;""),--('Year Plan'!$H$7:$H$46&lt;=BB$3+6),--('Year Plan'!$I$7:$I$46&gt;=BB$3)))</f>
        <v>0</v>
      </c>
      <c r="BC14" s="45" t="n">
        <f aca="false">IF($A14="","",SUMPRODUCT(--ISNUMBER(SEARCH(","&amp;SUBSTITUTE($A14," ","")&amp;",",'Year Plan'!$BM$7:$BM$46)),--('Year Plan'!$H$7:$H$46&lt;&gt;""),--('Year Plan'!$H$7:$H$46&lt;=BC$3+6),--('Year Plan'!$I$7:$I$46&gt;=BC$3)))</f>
        <v>0</v>
      </c>
    </row>
    <row r="15" customFormat="false" ht="19.5" hidden="false" customHeight="true" outlineLevel="0" collapsed="false">
      <c r="A15" s="39" t="str">
        <f aca="false">IF(Setup!$B$19="","",Setup!$B$19)</f>
        <v/>
      </c>
      <c r="B15" s="39" t="str">
        <f aca="false">IF(Setup!$B$19="","",Setup!$C$19)</f>
        <v/>
      </c>
      <c r="C15" s="44" t="str">
        <f aca="false">IF($A15="","",SUMPRODUCT(--ISNUMBER(SEARCH(","&amp;SUBSTITUTE($A15," ","")&amp;",",'Year Plan'!$BM$7:$BM$46))))</f>
        <v/>
      </c>
      <c r="D15" s="45" t="str">
        <f aca="false">IF($A15="","",SUMPRODUCT(--ISNUMBER(SEARCH(","&amp;SUBSTITUTE($A15," ","")&amp;",",'Year Plan'!$BM$7:$BM$46)),--('Year Plan'!$H$7:$H$46&lt;&gt;""),--('Year Plan'!$H$7:$H$46&lt;=D$3+6),--('Year Plan'!$I$7:$I$46&gt;=D$3)))</f>
        <v/>
      </c>
      <c r="E15" s="45" t="str">
        <f aca="false">IF($A15="","",SUMPRODUCT(--ISNUMBER(SEARCH(","&amp;SUBSTITUTE($A15," ","")&amp;",",'Year Plan'!$BM$7:$BM$46)),--('Year Plan'!$H$7:$H$46&lt;&gt;""),--('Year Plan'!$H$7:$H$46&lt;=E$3+6),--('Year Plan'!$I$7:$I$46&gt;=E$3)))</f>
        <v/>
      </c>
      <c r="F15" s="45" t="str">
        <f aca="false">IF($A15="","",SUMPRODUCT(--ISNUMBER(SEARCH(","&amp;SUBSTITUTE($A15," ","")&amp;",",'Year Plan'!$BM$7:$BM$46)),--('Year Plan'!$H$7:$H$46&lt;&gt;""),--('Year Plan'!$H$7:$H$46&lt;=F$3+6),--('Year Plan'!$I$7:$I$46&gt;=F$3)))</f>
        <v/>
      </c>
      <c r="G15" s="45" t="str">
        <f aca="false">IF($A15="","",SUMPRODUCT(--ISNUMBER(SEARCH(","&amp;SUBSTITUTE($A15," ","")&amp;",",'Year Plan'!$BM$7:$BM$46)),--('Year Plan'!$H$7:$H$46&lt;&gt;""),--('Year Plan'!$H$7:$H$46&lt;=G$3+6),--('Year Plan'!$I$7:$I$46&gt;=G$3)))</f>
        <v/>
      </c>
      <c r="H15" s="45" t="str">
        <f aca="false">IF($A15="","",SUMPRODUCT(--ISNUMBER(SEARCH(","&amp;SUBSTITUTE($A15," ","")&amp;",",'Year Plan'!$BM$7:$BM$46)),--('Year Plan'!$H$7:$H$46&lt;&gt;""),--('Year Plan'!$H$7:$H$46&lt;=H$3+6),--('Year Plan'!$I$7:$I$46&gt;=H$3)))</f>
        <v/>
      </c>
      <c r="I15" s="45" t="str">
        <f aca="false">IF($A15="","",SUMPRODUCT(--ISNUMBER(SEARCH(","&amp;SUBSTITUTE($A15," ","")&amp;",",'Year Plan'!$BM$7:$BM$46)),--('Year Plan'!$H$7:$H$46&lt;&gt;""),--('Year Plan'!$H$7:$H$46&lt;=I$3+6),--('Year Plan'!$I$7:$I$46&gt;=I$3)))</f>
        <v/>
      </c>
      <c r="J15" s="45" t="str">
        <f aca="false">IF($A15="","",SUMPRODUCT(--ISNUMBER(SEARCH(","&amp;SUBSTITUTE($A15," ","")&amp;",",'Year Plan'!$BM$7:$BM$46)),--('Year Plan'!$H$7:$H$46&lt;&gt;""),--('Year Plan'!$H$7:$H$46&lt;=J$3+6),--('Year Plan'!$I$7:$I$46&gt;=J$3)))</f>
        <v/>
      </c>
      <c r="K15" s="45" t="str">
        <f aca="false">IF($A15="","",SUMPRODUCT(--ISNUMBER(SEARCH(","&amp;SUBSTITUTE($A15," ","")&amp;",",'Year Plan'!$BM$7:$BM$46)),--('Year Plan'!$H$7:$H$46&lt;&gt;""),--('Year Plan'!$H$7:$H$46&lt;=K$3+6),--('Year Plan'!$I$7:$I$46&gt;=K$3)))</f>
        <v/>
      </c>
      <c r="L15" s="45" t="str">
        <f aca="false">IF($A15="","",SUMPRODUCT(--ISNUMBER(SEARCH(","&amp;SUBSTITUTE($A15," ","")&amp;",",'Year Plan'!$BM$7:$BM$46)),--('Year Plan'!$H$7:$H$46&lt;&gt;""),--('Year Plan'!$H$7:$H$46&lt;=L$3+6),--('Year Plan'!$I$7:$I$46&gt;=L$3)))</f>
        <v/>
      </c>
      <c r="M15" s="45" t="str">
        <f aca="false">IF($A15="","",SUMPRODUCT(--ISNUMBER(SEARCH(","&amp;SUBSTITUTE($A15," ","")&amp;",",'Year Plan'!$BM$7:$BM$46)),--('Year Plan'!$H$7:$H$46&lt;&gt;""),--('Year Plan'!$H$7:$H$46&lt;=M$3+6),--('Year Plan'!$I$7:$I$46&gt;=M$3)))</f>
        <v/>
      </c>
      <c r="N15" s="45" t="str">
        <f aca="false">IF($A15="","",SUMPRODUCT(--ISNUMBER(SEARCH(","&amp;SUBSTITUTE($A15," ","")&amp;",",'Year Plan'!$BM$7:$BM$46)),--('Year Plan'!$H$7:$H$46&lt;&gt;""),--('Year Plan'!$H$7:$H$46&lt;=N$3+6),--('Year Plan'!$I$7:$I$46&gt;=N$3)))</f>
        <v/>
      </c>
      <c r="O15" s="45" t="str">
        <f aca="false">IF($A15="","",SUMPRODUCT(--ISNUMBER(SEARCH(","&amp;SUBSTITUTE($A15," ","")&amp;",",'Year Plan'!$BM$7:$BM$46)),--('Year Plan'!$H$7:$H$46&lt;&gt;""),--('Year Plan'!$H$7:$H$46&lt;=O$3+6),--('Year Plan'!$I$7:$I$46&gt;=O$3)))</f>
        <v/>
      </c>
      <c r="P15" s="45" t="str">
        <f aca="false">IF($A15="","",SUMPRODUCT(--ISNUMBER(SEARCH(","&amp;SUBSTITUTE($A15," ","")&amp;",",'Year Plan'!$BM$7:$BM$46)),--('Year Plan'!$H$7:$H$46&lt;&gt;""),--('Year Plan'!$H$7:$H$46&lt;=P$3+6),--('Year Plan'!$I$7:$I$46&gt;=P$3)))</f>
        <v/>
      </c>
      <c r="Q15" s="45" t="str">
        <f aca="false">IF($A15="","",SUMPRODUCT(--ISNUMBER(SEARCH(","&amp;SUBSTITUTE($A15," ","")&amp;",",'Year Plan'!$BM$7:$BM$46)),--('Year Plan'!$H$7:$H$46&lt;&gt;""),--('Year Plan'!$H$7:$H$46&lt;=Q$3+6),--('Year Plan'!$I$7:$I$46&gt;=Q$3)))</f>
        <v/>
      </c>
      <c r="R15" s="45" t="str">
        <f aca="false">IF($A15="","",SUMPRODUCT(--ISNUMBER(SEARCH(","&amp;SUBSTITUTE($A15," ","")&amp;",",'Year Plan'!$BM$7:$BM$46)),--('Year Plan'!$H$7:$H$46&lt;&gt;""),--('Year Plan'!$H$7:$H$46&lt;=R$3+6),--('Year Plan'!$I$7:$I$46&gt;=R$3)))</f>
        <v/>
      </c>
      <c r="S15" s="45" t="str">
        <f aca="false">IF($A15="","",SUMPRODUCT(--ISNUMBER(SEARCH(","&amp;SUBSTITUTE($A15," ","")&amp;",",'Year Plan'!$BM$7:$BM$46)),--('Year Plan'!$H$7:$H$46&lt;&gt;""),--('Year Plan'!$H$7:$H$46&lt;=S$3+6),--('Year Plan'!$I$7:$I$46&gt;=S$3)))</f>
        <v/>
      </c>
      <c r="T15" s="45" t="str">
        <f aca="false">IF($A15="","",SUMPRODUCT(--ISNUMBER(SEARCH(","&amp;SUBSTITUTE($A15," ","")&amp;",",'Year Plan'!$BM$7:$BM$46)),--('Year Plan'!$H$7:$H$46&lt;&gt;""),--('Year Plan'!$H$7:$H$46&lt;=T$3+6),--('Year Plan'!$I$7:$I$46&gt;=T$3)))</f>
        <v/>
      </c>
      <c r="U15" s="45" t="str">
        <f aca="false">IF($A15="","",SUMPRODUCT(--ISNUMBER(SEARCH(","&amp;SUBSTITUTE($A15," ","")&amp;",",'Year Plan'!$BM$7:$BM$46)),--('Year Plan'!$H$7:$H$46&lt;&gt;""),--('Year Plan'!$H$7:$H$46&lt;=U$3+6),--('Year Plan'!$I$7:$I$46&gt;=U$3)))</f>
        <v/>
      </c>
      <c r="V15" s="45" t="str">
        <f aca="false">IF($A15="","",SUMPRODUCT(--ISNUMBER(SEARCH(","&amp;SUBSTITUTE($A15," ","")&amp;",",'Year Plan'!$BM$7:$BM$46)),--('Year Plan'!$H$7:$H$46&lt;&gt;""),--('Year Plan'!$H$7:$H$46&lt;=V$3+6),--('Year Plan'!$I$7:$I$46&gt;=V$3)))</f>
        <v/>
      </c>
      <c r="W15" s="45" t="str">
        <f aca="false">IF($A15="","",SUMPRODUCT(--ISNUMBER(SEARCH(","&amp;SUBSTITUTE($A15," ","")&amp;",",'Year Plan'!$BM$7:$BM$46)),--('Year Plan'!$H$7:$H$46&lt;&gt;""),--('Year Plan'!$H$7:$H$46&lt;=W$3+6),--('Year Plan'!$I$7:$I$46&gt;=W$3)))</f>
        <v/>
      </c>
      <c r="X15" s="45" t="str">
        <f aca="false">IF($A15="","",SUMPRODUCT(--ISNUMBER(SEARCH(","&amp;SUBSTITUTE($A15," ","")&amp;",",'Year Plan'!$BM$7:$BM$46)),--('Year Plan'!$H$7:$H$46&lt;&gt;""),--('Year Plan'!$H$7:$H$46&lt;=X$3+6),--('Year Plan'!$I$7:$I$46&gt;=X$3)))</f>
        <v/>
      </c>
      <c r="Y15" s="45" t="str">
        <f aca="false">IF($A15="","",SUMPRODUCT(--ISNUMBER(SEARCH(","&amp;SUBSTITUTE($A15," ","")&amp;",",'Year Plan'!$BM$7:$BM$46)),--('Year Plan'!$H$7:$H$46&lt;&gt;""),--('Year Plan'!$H$7:$H$46&lt;=Y$3+6),--('Year Plan'!$I$7:$I$46&gt;=Y$3)))</f>
        <v/>
      </c>
      <c r="Z15" s="45" t="str">
        <f aca="false">IF($A15="","",SUMPRODUCT(--ISNUMBER(SEARCH(","&amp;SUBSTITUTE($A15," ","")&amp;",",'Year Plan'!$BM$7:$BM$46)),--('Year Plan'!$H$7:$H$46&lt;&gt;""),--('Year Plan'!$H$7:$H$46&lt;=Z$3+6),--('Year Plan'!$I$7:$I$46&gt;=Z$3)))</f>
        <v/>
      </c>
      <c r="AA15" s="45" t="str">
        <f aca="false">IF($A15="","",SUMPRODUCT(--ISNUMBER(SEARCH(","&amp;SUBSTITUTE($A15," ","")&amp;",",'Year Plan'!$BM$7:$BM$46)),--('Year Plan'!$H$7:$H$46&lt;&gt;""),--('Year Plan'!$H$7:$H$46&lt;=AA$3+6),--('Year Plan'!$I$7:$I$46&gt;=AA$3)))</f>
        <v/>
      </c>
      <c r="AB15" s="45" t="str">
        <f aca="false">IF($A15="","",SUMPRODUCT(--ISNUMBER(SEARCH(","&amp;SUBSTITUTE($A15," ","")&amp;",",'Year Plan'!$BM$7:$BM$46)),--('Year Plan'!$H$7:$H$46&lt;&gt;""),--('Year Plan'!$H$7:$H$46&lt;=AB$3+6),--('Year Plan'!$I$7:$I$46&gt;=AB$3)))</f>
        <v/>
      </c>
      <c r="AC15" s="45" t="str">
        <f aca="false">IF($A15="","",SUMPRODUCT(--ISNUMBER(SEARCH(","&amp;SUBSTITUTE($A15," ","")&amp;",",'Year Plan'!$BM$7:$BM$46)),--('Year Plan'!$H$7:$H$46&lt;&gt;""),--('Year Plan'!$H$7:$H$46&lt;=AC$3+6),--('Year Plan'!$I$7:$I$46&gt;=AC$3)))</f>
        <v/>
      </c>
      <c r="AD15" s="45" t="str">
        <f aca="false">IF($A15="","",SUMPRODUCT(--ISNUMBER(SEARCH(","&amp;SUBSTITUTE($A15," ","")&amp;",",'Year Plan'!$BM$7:$BM$46)),--('Year Plan'!$H$7:$H$46&lt;&gt;""),--('Year Plan'!$H$7:$H$46&lt;=AD$3+6),--('Year Plan'!$I$7:$I$46&gt;=AD$3)))</f>
        <v/>
      </c>
      <c r="AE15" s="45" t="str">
        <f aca="false">IF($A15="","",SUMPRODUCT(--ISNUMBER(SEARCH(","&amp;SUBSTITUTE($A15," ","")&amp;",",'Year Plan'!$BM$7:$BM$46)),--('Year Plan'!$H$7:$H$46&lt;&gt;""),--('Year Plan'!$H$7:$H$46&lt;=AE$3+6),--('Year Plan'!$I$7:$I$46&gt;=AE$3)))</f>
        <v/>
      </c>
      <c r="AF15" s="45" t="str">
        <f aca="false">IF($A15="","",SUMPRODUCT(--ISNUMBER(SEARCH(","&amp;SUBSTITUTE($A15," ","")&amp;",",'Year Plan'!$BM$7:$BM$46)),--('Year Plan'!$H$7:$H$46&lt;&gt;""),--('Year Plan'!$H$7:$H$46&lt;=AF$3+6),--('Year Plan'!$I$7:$I$46&gt;=AF$3)))</f>
        <v/>
      </c>
      <c r="AG15" s="45" t="str">
        <f aca="false">IF($A15="","",SUMPRODUCT(--ISNUMBER(SEARCH(","&amp;SUBSTITUTE($A15," ","")&amp;",",'Year Plan'!$BM$7:$BM$46)),--('Year Plan'!$H$7:$H$46&lt;&gt;""),--('Year Plan'!$H$7:$H$46&lt;=AG$3+6),--('Year Plan'!$I$7:$I$46&gt;=AG$3)))</f>
        <v/>
      </c>
      <c r="AH15" s="45" t="str">
        <f aca="false">IF($A15="","",SUMPRODUCT(--ISNUMBER(SEARCH(","&amp;SUBSTITUTE($A15," ","")&amp;",",'Year Plan'!$BM$7:$BM$46)),--('Year Plan'!$H$7:$H$46&lt;&gt;""),--('Year Plan'!$H$7:$H$46&lt;=AH$3+6),--('Year Plan'!$I$7:$I$46&gt;=AH$3)))</f>
        <v/>
      </c>
      <c r="AI15" s="45" t="str">
        <f aca="false">IF($A15="","",SUMPRODUCT(--ISNUMBER(SEARCH(","&amp;SUBSTITUTE($A15," ","")&amp;",",'Year Plan'!$BM$7:$BM$46)),--('Year Plan'!$H$7:$H$46&lt;&gt;""),--('Year Plan'!$H$7:$H$46&lt;=AI$3+6),--('Year Plan'!$I$7:$I$46&gt;=AI$3)))</f>
        <v/>
      </c>
      <c r="AJ15" s="45" t="str">
        <f aca="false">IF($A15="","",SUMPRODUCT(--ISNUMBER(SEARCH(","&amp;SUBSTITUTE($A15," ","")&amp;",",'Year Plan'!$BM$7:$BM$46)),--('Year Plan'!$H$7:$H$46&lt;&gt;""),--('Year Plan'!$H$7:$H$46&lt;=AJ$3+6),--('Year Plan'!$I$7:$I$46&gt;=AJ$3)))</f>
        <v/>
      </c>
      <c r="AK15" s="45" t="str">
        <f aca="false">IF($A15="","",SUMPRODUCT(--ISNUMBER(SEARCH(","&amp;SUBSTITUTE($A15," ","")&amp;",",'Year Plan'!$BM$7:$BM$46)),--('Year Plan'!$H$7:$H$46&lt;&gt;""),--('Year Plan'!$H$7:$H$46&lt;=AK$3+6),--('Year Plan'!$I$7:$I$46&gt;=AK$3)))</f>
        <v/>
      </c>
      <c r="AL15" s="45" t="str">
        <f aca="false">IF($A15="","",SUMPRODUCT(--ISNUMBER(SEARCH(","&amp;SUBSTITUTE($A15," ","")&amp;",",'Year Plan'!$BM$7:$BM$46)),--('Year Plan'!$H$7:$H$46&lt;&gt;""),--('Year Plan'!$H$7:$H$46&lt;=AL$3+6),--('Year Plan'!$I$7:$I$46&gt;=AL$3)))</f>
        <v/>
      </c>
      <c r="AM15" s="45" t="str">
        <f aca="false">IF($A15="","",SUMPRODUCT(--ISNUMBER(SEARCH(","&amp;SUBSTITUTE($A15," ","")&amp;",",'Year Plan'!$BM$7:$BM$46)),--('Year Plan'!$H$7:$H$46&lt;&gt;""),--('Year Plan'!$H$7:$H$46&lt;=AM$3+6),--('Year Plan'!$I$7:$I$46&gt;=AM$3)))</f>
        <v/>
      </c>
      <c r="AN15" s="45" t="str">
        <f aca="false">IF($A15="","",SUMPRODUCT(--ISNUMBER(SEARCH(","&amp;SUBSTITUTE($A15," ","")&amp;",",'Year Plan'!$BM$7:$BM$46)),--('Year Plan'!$H$7:$H$46&lt;&gt;""),--('Year Plan'!$H$7:$H$46&lt;=AN$3+6),--('Year Plan'!$I$7:$I$46&gt;=AN$3)))</f>
        <v/>
      </c>
      <c r="AO15" s="45" t="str">
        <f aca="false">IF($A15="","",SUMPRODUCT(--ISNUMBER(SEARCH(","&amp;SUBSTITUTE($A15," ","")&amp;",",'Year Plan'!$BM$7:$BM$46)),--('Year Plan'!$H$7:$H$46&lt;&gt;""),--('Year Plan'!$H$7:$H$46&lt;=AO$3+6),--('Year Plan'!$I$7:$I$46&gt;=AO$3)))</f>
        <v/>
      </c>
      <c r="AP15" s="45" t="str">
        <f aca="false">IF($A15="","",SUMPRODUCT(--ISNUMBER(SEARCH(","&amp;SUBSTITUTE($A15," ","")&amp;",",'Year Plan'!$BM$7:$BM$46)),--('Year Plan'!$H$7:$H$46&lt;&gt;""),--('Year Plan'!$H$7:$H$46&lt;=AP$3+6),--('Year Plan'!$I$7:$I$46&gt;=AP$3)))</f>
        <v/>
      </c>
      <c r="AQ15" s="45" t="str">
        <f aca="false">IF($A15="","",SUMPRODUCT(--ISNUMBER(SEARCH(","&amp;SUBSTITUTE($A15," ","")&amp;",",'Year Plan'!$BM$7:$BM$46)),--('Year Plan'!$H$7:$H$46&lt;&gt;""),--('Year Plan'!$H$7:$H$46&lt;=AQ$3+6),--('Year Plan'!$I$7:$I$46&gt;=AQ$3)))</f>
        <v/>
      </c>
      <c r="AR15" s="45" t="str">
        <f aca="false">IF($A15="","",SUMPRODUCT(--ISNUMBER(SEARCH(","&amp;SUBSTITUTE($A15," ","")&amp;",",'Year Plan'!$BM$7:$BM$46)),--('Year Plan'!$H$7:$H$46&lt;&gt;""),--('Year Plan'!$H$7:$H$46&lt;=AR$3+6),--('Year Plan'!$I$7:$I$46&gt;=AR$3)))</f>
        <v/>
      </c>
      <c r="AS15" s="45" t="str">
        <f aca="false">IF($A15="","",SUMPRODUCT(--ISNUMBER(SEARCH(","&amp;SUBSTITUTE($A15," ","")&amp;",",'Year Plan'!$BM$7:$BM$46)),--('Year Plan'!$H$7:$H$46&lt;&gt;""),--('Year Plan'!$H$7:$H$46&lt;=AS$3+6),--('Year Plan'!$I$7:$I$46&gt;=AS$3)))</f>
        <v/>
      </c>
      <c r="AT15" s="45" t="str">
        <f aca="false">IF($A15="","",SUMPRODUCT(--ISNUMBER(SEARCH(","&amp;SUBSTITUTE($A15," ","")&amp;",",'Year Plan'!$BM$7:$BM$46)),--('Year Plan'!$H$7:$H$46&lt;&gt;""),--('Year Plan'!$H$7:$H$46&lt;=AT$3+6),--('Year Plan'!$I$7:$I$46&gt;=AT$3)))</f>
        <v/>
      </c>
      <c r="AU15" s="45" t="str">
        <f aca="false">IF($A15="","",SUMPRODUCT(--ISNUMBER(SEARCH(","&amp;SUBSTITUTE($A15," ","")&amp;",",'Year Plan'!$BM$7:$BM$46)),--('Year Plan'!$H$7:$H$46&lt;&gt;""),--('Year Plan'!$H$7:$H$46&lt;=AU$3+6),--('Year Plan'!$I$7:$I$46&gt;=AU$3)))</f>
        <v/>
      </c>
      <c r="AV15" s="45" t="str">
        <f aca="false">IF($A15="","",SUMPRODUCT(--ISNUMBER(SEARCH(","&amp;SUBSTITUTE($A15," ","")&amp;",",'Year Plan'!$BM$7:$BM$46)),--('Year Plan'!$H$7:$H$46&lt;&gt;""),--('Year Plan'!$H$7:$H$46&lt;=AV$3+6),--('Year Plan'!$I$7:$I$46&gt;=AV$3)))</f>
        <v/>
      </c>
      <c r="AW15" s="45" t="str">
        <f aca="false">IF($A15="","",SUMPRODUCT(--ISNUMBER(SEARCH(","&amp;SUBSTITUTE($A15," ","")&amp;",",'Year Plan'!$BM$7:$BM$46)),--('Year Plan'!$H$7:$H$46&lt;&gt;""),--('Year Plan'!$H$7:$H$46&lt;=AW$3+6),--('Year Plan'!$I$7:$I$46&gt;=AW$3)))</f>
        <v/>
      </c>
      <c r="AX15" s="45" t="str">
        <f aca="false">IF($A15="","",SUMPRODUCT(--ISNUMBER(SEARCH(","&amp;SUBSTITUTE($A15," ","")&amp;",",'Year Plan'!$BM$7:$BM$46)),--('Year Plan'!$H$7:$H$46&lt;&gt;""),--('Year Plan'!$H$7:$H$46&lt;=AX$3+6),--('Year Plan'!$I$7:$I$46&gt;=AX$3)))</f>
        <v/>
      </c>
      <c r="AY15" s="45" t="str">
        <f aca="false">IF($A15="","",SUMPRODUCT(--ISNUMBER(SEARCH(","&amp;SUBSTITUTE($A15," ","")&amp;",",'Year Plan'!$BM$7:$BM$46)),--('Year Plan'!$H$7:$H$46&lt;&gt;""),--('Year Plan'!$H$7:$H$46&lt;=AY$3+6),--('Year Plan'!$I$7:$I$46&gt;=AY$3)))</f>
        <v/>
      </c>
      <c r="AZ15" s="45" t="str">
        <f aca="false">IF($A15="","",SUMPRODUCT(--ISNUMBER(SEARCH(","&amp;SUBSTITUTE($A15," ","")&amp;",",'Year Plan'!$BM$7:$BM$46)),--('Year Plan'!$H$7:$H$46&lt;&gt;""),--('Year Plan'!$H$7:$H$46&lt;=AZ$3+6),--('Year Plan'!$I$7:$I$46&gt;=AZ$3)))</f>
        <v/>
      </c>
      <c r="BA15" s="45" t="str">
        <f aca="false">IF($A15="","",SUMPRODUCT(--ISNUMBER(SEARCH(","&amp;SUBSTITUTE($A15," ","")&amp;",",'Year Plan'!$BM$7:$BM$46)),--('Year Plan'!$H$7:$H$46&lt;&gt;""),--('Year Plan'!$H$7:$H$46&lt;=BA$3+6),--('Year Plan'!$I$7:$I$46&gt;=BA$3)))</f>
        <v/>
      </c>
      <c r="BB15" s="45" t="str">
        <f aca="false">IF($A15="","",SUMPRODUCT(--ISNUMBER(SEARCH(","&amp;SUBSTITUTE($A15," ","")&amp;",",'Year Plan'!$BM$7:$BM$46)),--('Year Plan'!$H$7:$H$46&lt;&gt;""),--('Year Plan'!$H$7:$H$46&lt;=BB$3+6),--('Year Plan'!$I$7:$I$46&gt;=BB$3)))</f>
        <v/>
      </c>
      <c r="BC15" s="45" t="str">
        <f aca="false">IF($A15="","",SUMPRODUCT(--ISNUMBER(SEARCH(","&amp;SUBSTITUTE($A15," ","")&amp;",",'Year Plan'!$BM$7:$BM$46)),--('Year Plan'!$H$7:$H$46&lt;&gt;""),--('Year Plan'!$H$7:$H$46&lt;=BC$3+6),--('Year Plan'!$I$7:$I$46&gt;=BC$3)))</f>
        <v/>
      </c>
    </row>
    <row r="16" customFormat="false" ht="19.5" hidden="false" customHeight="true" outlineLevel="0" collapsed="false">
      <c r="A16" s="39" t="str">
        <f aca="false">IF(Setup!$B$20="","",Setup!$B$20)</f>
        <v/>
      </c>
      <c r="B16" s="39" t="str">
        <f aca="false">IF(Setup!$B$20="","",Setup!$C$20)</f>
        <v/>
      </c>
      <c r="C16" s="44" t="str">
        <f aca="false">IF($A16="","",SUMPRODUCT(--ISNUMBER(SEARCH(","&amp;SUBSTITUTE($A16," ","")&amp;",",'Year Plan'!$BM$7:$BM$46))))</f>
        <v/>
      </c>
      <c r="D16" s="45" t="str">
        <f aca="false">IF($A16="","",SUMPRODUCT(--ISNUMBER(SEARCH(","&amp;SUBSTITUTE($A16," ","")&amp;",",'Year Plan'!$BM$7:$BM$46)),--('Year Plan'!$H$7:$H$46&lt;&gt;""),--('Year Plan'!$H$7:$H$46&lt;=D$3+6),--('Year Plan'!$I$7:$I$46&gt;=D$3)))</f>
        <v/>
      </c>
      <c r="E16" s="45" t="str">
        <f aca="false">IF($A16="","",SUMPRODUCT(--ISNUMBER(SEARCH(","&amp;SUBSTITUTE($A16," ","")&amp;",",'Year Plan'!$BM$7:$BM$46)),--('Year Plan'!$H$7:$H$46&lt;&gt;""),--('Year Plan'!$H$7:$H$46&lt;=E$3+6),--('Year Plan'!$I$7:$I$46&gt;=E$3)))</f>
        <v/>
      </c>
      <c r="F16" s="45" t="str">
        <f aca="false">IF($A16="","",SUMPRODUCT(--ISNUMBER(SEARCH(","&amp;SUBSTITUTE($A16," ","")&amp;",",'Year Plan'!$BM$7:$BM$46)),--('Year Plan'!$H$7:$H$46&lt;&gt;""),--('Year Plan'!$H$7:$H$46&lt;=F$3+6),--('Year Plan'!$I$7:$I$46&gt;=F$3)))</f>
        <v/>
      </c>
      <c r="G16" s="45" t="str">
        <f aca="false">IF($A16="","",SUMPRODUCT(--ISNUMBER(SEARCH(","&amp;SUBSTITUTE($A16," ","")&amp;",",'Year Plan'!$BM$7:$BM$46)),--('Year Plan'!$H$7:$H$46&lt;&gt;""),--('Year Plan'!$H$7:$H$46&lt;=G$3+6),--('Year Plan'!$I$7:$I$46&gt;=G$3)))</f>
        <v/>
      </c>
      <c r="H16" s="45" t="str">
        <f aca="false">IF($A16="","",SUMPRODUCT(--ISNUMBER(SEARCH(","&amp;SUBSTITUTE($A16," ","")&amp;",",'Year Plan'!$BM$7:$BM$46)),--('Year Plan'!$H$7:$H$46&lt;&gt;""),--('Year Plan'!$H$7:$H$46&lt;=H$3+6),--('Year Plan'!$I$7:$I$46&gt;=H$3)))</f>
        <v/>
      </c>
      <c r="I16" s="45" t="str">
        <f aca="false">IF($A16="","",SUMPRODUCT(--ISNUMBER(SEARCH(","&amp;SUBSTITUTE($A16," ","")&amp;",",'Year Plan'!$BM$7:$BM$46)),--('Year Plan'!$H$7:$H$46&lt;&gt;""),--('Year Plan'!$H$7:$H$46&lt;=I$3+6),--('Year Plan'!$I$7:$I$46&gt;=I$3)))</f>
        <v/>
      </c>
      <c r="J16" s="45" t="str">
        <f aca="false">IF($A16="","",SUMPRODUCT(--ISNUMBER(SEARCH(","&amp;SUBSTITUTE($A16," ","")&amp;",",'Year Plan'!$BM$7:$BM$46)),--('Year Plan'!$H$7:$H$46&lt;&gt;""),--('Year Plan'!$H$7:$H$46&lt;=J$3+6),--('Year Plan'!$I$7:$I$46&gt;=J$3)))</f>
        <v/>
      </c>
      <c r="K16" s="45" t="str">
        <f aca="false">IF($A16="","",SUMPRODUCT(--ISNUMBER(SEARCH(","&amp;SUBSTITUTE($A16," ","")&amp;",",'Year Plan'!$BM$7:$BM$46)),--('Year Plan'!$H$7:$H$46&lt;&gt;""),--('Year Plan'!$H$7:$H$46&lt;=K$3+6),--('Year Plan'!$I$7:$I$46&gt;=K$3)))</f>
        <v/>
      </c>
      <c r="L16" s="45" t="str">
        <f aca="false">IF($A16="","",SUMPRODUCT(--ISNUMBER(SEARCH(","&amp;SUBSTITUTE($A16," ","")&amp;",",'Year Plan'!$BM$7:$BM$46)),--('Year Plan'!$H$7:$H$46&lt;&gt;""),--('Year Plan'!$H$7:$H$46&lt;=L$3+6),--('Year Plan'!$I$7:$I$46&gt;=L$3)))</f>
        <v/>
      </c>
      <c r="M16" s="45" t="str">
        <f aca="false">IF($A16="","",SUMPRODUCT(--ISNUMBER(SEARCH(","&amp;SUBSTITUTE($A16," ","")&amp;",",'Year Plan'!$BM$7:$BM$46)),--('Year Plan'!$H$7:$H$46&lt;&gt;""),--('Year Plan'!$H$7:$H$46&lt;=M$3+6),--('Year Plan'!$I$7:$I$46&gt;=M$3)))</f>
        <v/>
      </c>
      <c r="N16" s="45" t="str">
        <f aca="false">IF($A16="","",SUMPRODUCT(--ISNUMBER(SEARCH(","&amp;SUBSTITUTE($A16," ","")&amp;",",'Year Plan'!$BM$7:$BM$46)),--('Year Plan'!$H$7:$H$46&lt;&gt;""),--('Year Plan'!$H$7:$H$46&lt;=N$3+6),--('Year Plan'!$I$7:$I$46&gt;=N$3)))</f>
        <v/>
      </c>
      <c r="O16" s="45" t="str">
        <f aca="false">IF($A16="","",SUMPRODUCT(--ISNUMBER(SEARCH(","&amp;SUBSTITUTE($A16," ","")&amp;",",'Year Plan'!$BM$7:$BM$46)),--('Year Plan'!$H$7:$H$46&lt;&gt;""),--('Year Plan'!$H$7:$H$46&lt;=O$3+6),--('Year Plan'!$I$7:$I$46&gt;=O$3)))</f>
        <v/>
      </c>
      <c r="P16" s="45" t="str">
        <f aca="false">IF($A16="","",SUMPRODUCT(--ISNUMBER(SEARCH(","&amp;SUBSTITUTE($A16," ","")&amp;",",'Year Plan'!$BM$7:$BM$46)),--('Year Plan'!$H$7:$H$46&lt;&gt;""),--('Year Plan'!$H$7:$H$46&lt;=P$3+6),--('Year Plan'!$I$7:$I$46&gt;=P$3)))</f>
        <v/>
      </c>
      <c r="Q16" s="45" t="str">
        <f aca="false">IF($A16="","",SUMPRODUCT(--ISNUMBER(SEARCH(","&amp;SUBSTITUTE($A16," ","")&amp;",",'Year Plan'!$BM$7:$BM$46)),--('Year Plan'!$H$7:$H$46&lt;&gt;""),--('Year Plan'!$H$7:$H$46&lt;=Q$3+6),--('Year Plan'!$I$7:$I$46&gt;=Q$3)))</f>
        <v/>
      </c>
      <c r="R16" s="45" t="str">
        <f aca="false">IF($A16="","",SUMPRODUCT(--ISNUMBER(SEARCH(","&amp;SUBSTITUTE($A16," ","")&amp;",",'Year Plan'!$BM$7:$BM$46)),--('Year Plan'!$H$7:$H$46&lt;&gt;""),--('Year Plan'!$H$7:$H$46&lt;=R$3+6),--('Year Plan'!$I$7:$I$46&gt;=R$3)))</f>
        <v/>
      </c>
      <c r="S16" s="45" t="str">
        <f aca="false">IF($A16="","",SUMPRODUCT(--ISNUMBER(SEARCH(","&amp;SUBSTITUTE($A16," ","")&amp;",",'Year Plan'!$BM$7:$BM$46)),--('Year Plan'!$H$7:$H$46&lt;&gt;""),--('Year Plan'!$H$7:$H$46&lt;=S$3+6),--('Year Plan'!$I$7:$I$46&gt;=S$3)))</f>
        <v/>
      </c>
      <c r="T16" s="45" t="str">
        <f aca="false">IF($A16="","",SUMPRODUCT(--ISNUMBER(SEARCH(","&amp;SUBSTITUTE($A16," ","")&amp;",",'Year Plan'!$BM$7:$BM$46)),--('Year Plan'!$H$7:$H$46&lt;&gt;""),--('Year Plan'!$H$7:$H$46&lt;=T$3+6),--('Year Plan'!$I$7:$I$46&gt;=T$3)))</f>
        <v/>
      </c>
      <c r="U16" s="45" t="str">
        <f aca="false">IF($A16="","",SUMPRODUCT(--ISNUMBER(SEARCH(","&amp;SUBSTITUTE($A16," ","")&amp;",",'Year Plan'!$BM$7:$BM$46)),--('Year Plan'!$H$7:$H$46&lt;&gt;""),--('Year Plan'!$H$7:$H$46&lt;=U$3+6),--('Year Plan'!$I$7:$I$46&gt;=U$3)))</f>
        <v/>
      </c>
      <c r="V16" s="45" t="str">
        <f aca="false">IF($A16="","",SUMPRODUCT(--ISNUMBER(SEARCH(","&amp;SUBSTITUTE($A16," ","")&amp;",",'Year Plan'!$BM$7:$BM$46)),--('Year Plan'!$H$7:$H$46&lt;&gt;""),--('Year Plan'!$H$7:$H$46&lt;=V$3+6),--('Year Plan'!$I$7:$I$46&gt;=V$3)))</f>
        <v/>
      </c>
      <c r="W16" s="45" t="str">
        <f aca="false">IF($A16="","",SUMPRODUCT(--ISNUMBER(SEARCH(","&amp;SUBSTITUTE($A16," ","")&amp;",",'Year Plan'!$BM$7:$BM$46)),--('Year Plan'!$H$7:$H$46&lt;&gt;""),--('Year Plan'!$H$7:$H$46&lt;=W$3+6),--('Year Plan'!$I$7:$I$46&gt;=W$3)))</f>
        <v/>
      </c>
      <c r="X16" s="45" t="str">
        <f aca="false">IF($A16="","",SUMPRODUCT(--ISNUMBER(SEARCH(","&amp;SUBSTITUTE($A16," ","")&amp;",",'Year Plan'!$BM$7:$BM$46)),--('Year Plan'!$H$7:$H$46&lt;&gt;""),--('Year Plan'!$H$7:$H$46&lt;=X$3+6),--('Year Plan'!$I$7:$I$46&gt;=X$3)))</f>
        <v/>
      </c>
      <c r="Y16" s="45" t="str">
        <f aca="false">IF($A16="","",SUMPRODUCT(--ISNUMBER(SEARCH(","&amp;SUBSTITUTE($A16," ","")&amp;",",'Year Plan'!$BM$7:$BM$46)),--('Year Plan'!$H$7:$H$46&lt;&gt;""),--('Year Plan'!$H$7:$H$46&lt;=Y$3+6),--('Year Plan'!$I$7:$I$46&gt;=Y$3)))</f>
        <v/>
      </c>
      <c r="Z16" s="45" t="str">
        <f aca="false">IF($A16="","",SUMPRODUCT(--ISNUMBER(SEARCH(","&amp;SUBSTITUTE($A16," ","")&amp;",",'Year Plan'!$BM$7:$BM$46)),--('Year Plan'!$H$7:$H$46&lt;&gt;""),--('Year Plan'!$H$7:$H$46&lt;=Z$3+6),--('Year Plan'!$I$7:$I$46&gt;=Z$3)))</f>
        <v/>
      </c>
      <c r="AA16" s="45" t="str">
        <f aca="false">IF($A16="","",SUMPRODUCT(--ISNUMBER(SEARCH(","&amp;SUBSTITUTE($A16," ","")&amp;",",'Year Plan'!$BM$7:$BM$46)),--('Year Plan'!$H$7:$H$46&lt;&gt;""),--('Year Plan'!$H$7:$H$46&lt;=AA$3+6),--('Year Plan'!$I$7:$I$46&gt;=AA$3)))</f>
        <v/>
      </c>
      <c r="AB16" s="45" t="str">
        <f aca="false">IF($A16="","",SUMPRODUCT(--ISNUMBER(SEARCH(","&amp;SUBSTITUTE($A16," ","")&amp;",",'Year Plan'!$BM$7:$BM$46)),--('Year Plan'!$H$7:$H$46&lt;&gt;""),--('Year Plan'!$H$7:$H$46&lt;=AB$3+6),--('Year Plan'!$I$7:$I$46&gt;=AB$3)))</f>
        <v/>
      </c>
      <c r="AC16" s="45" t="str">
        <f aca="false">IF($A16="","",SUMPRODUCT(--ISNUMBER(SEARCH(","&amp;SUBSTITUTE($A16," ","")&amp;",",'Year Plan'!$BM$7:$BM$46)),--('Year Plan'!$H$7:$H$46&lt;&gt;""),--('Year Plan'!$H$7:$H$46&lt;=AC$3+6),--('Year Plan'!$I$7:$I$46&gt;=AC$3)))</f>
        <v/>
      </c>
      <c r="AD16" s="45" t="str">
        <f aca="false">IF($A16="","",SUMPRODUCT(--ISNUMBER(SEARCH(","&amp;SUBSTITUTE($A16," ","")&amp;",",'Year Plan'!$BM$7:$BM$46)),--('Year Plan'!$H$7:$H$46&lt;&gt;""),--('Year Plan'!$H$7:$H$46&lt;=AD$3+6),--('Year Plan'!$I$7:$I$46&gt;=AD$3)))</f>
        <v/>
      </c>
      <c r="AE16" s="45" t="str">
        <f aca="false">IF($A16="","",SUMPRODUCT(--ISNUMBER(SEARCH(","&amp;SUBSTITUTE($A16," ","")&amp;",",'Year Plan'!$BM$7:$BM$46)),--('Year Plan'!$H$7:$H$46&lt;&gt;""),--('Year Plan'!$H$7:$H$46&lt;=AE$3+6),--('Year Plan'!$I$7:$I$46&gt;=AE$3)))</f>
        <v/>
      </c>
      <c r="AF16" s="45" t="str">
        <f aca="false">IF($A16="","",SUMPRODUCT(--ISNUMBER(SEARCH(","&amp;SUBSTITUTE($A16," ","")&amp;",",'Year Plan'!$BM$7:$BM$46)),--('Year Plan'!$H$7:$H$46&lt;&gt;""),--('Year Plan'!$H$7:$H$46&lt;=AF$3+6),--('Year Plan'!$I$7:$I$46&gt;=AF$3)))</f>
        <v/>
      </c>
      <c r="AG16" s="45" t="str">
        <f aca="false">IF($A16="","",SUMPRODUCT(--ISNUMBER(SEARCH(","&amp;SUBSTITUTE($A16," ","")&amp;",",'Year Plan'!$BM$7:$BM$46)),--('Year Plan'!$H$7:$H$46&lt;&gt;""),--('Year Plan'!$H$7:$H$46&lt;=AG$3+6),--('Year Plan'!$I$7:$I$46&gt;=AG$3)))</f>
        <v/>
      </c>
      <c r="AH16" s="45" t="str">
        <f aca="false">IF($A16="","",SUMPRODUCT(--ISNUMBER(SEARCH(","&amp;SUBSTITUTE($A16," ","")&amp;",",'Year Plan'!$BM$7:$BM$46)),--('Year Plan'!$H$7:$H$46&lt;&gt;""),--('Year Plan'!$H$7:$H$46&lt;=AH$3+6),--('Year Plan'!$I$7:$I$46&gt;=AH$3)))</f>
        <v/>
      </c>
      <c r="AI16" s="45" t="str">
        <f aca="false">IF($A16="","",SUMPRODUCT(--ISNUMBER(SEARCH(","&amp;SUBSTITUTE($A16," ","")&amp;",",'Year Plan'!$BM$7:$BM$46)),--('Year Plan'!$H$7:$H$46&lt;&gt;""),--('Year Plan'!$H$7:$H$46&lt;=AI$3+6),--('Year Plan'!$I$7:$I$46&gt;=AI$3)))</f>
        <v/>
      </c>
      <c r="AJ16" s="45" t="str">
        <f aca="false">IF($A16="","",SUMPRODUCT(--ISNUMBER(SEARCH(","&amp;SUBSTITUTE($A16," ","")&amp;",",'Year Plan'!$BM$7:$BM$46)),--('Year Plan'!$H$7:$H$46&lt;&gt;""),--('Year Plan'!$H$7:$H$46&lt;=AJ$3+6),--('Year Plan'!$I$7:$I$46&gt;=AJ$3)))</f>
        <v/>
      </c>
      <c r="AK16" s="45" t="str">
        <f aca="false">IF($A16="","",SUMPRODUCT(--ISNUMBER(SEARCH(","&amp;SUBSTITUTE($A16," ","")&amp;",",'Year Plan'!$BM$7:$BM$46)),--('Year Plan'!$H$7:$H$46&lt;&gt;""),--('Year Plan'!$H$7:$H$46&lt;=AK$3+6),--('Year Plan'!$I$7:$I$46&gt;=AK$3)))</f>
        <v/>
      </c>
      <c r="AL16" s="45" t="str">
        <f aca="false">IF($A16="","",SUMPRODUCT(--ISNUMBER(SEARCH(","&amp;SUBSTITUTE($A16," ","")&amp;",",'Year Plan'!$BM$7:$BM$46)),--('Year Plan'!$H$7:$H$46&lt;&gt;""),--('Year Plan'!$H$7:$H$46&lt;=AL$3+6),--('Year Plan'!$I$7:$I$46&gt;=AL$3)))</f>
        <v/>
      </c>
      <c r="AM16" s="45" t="str">
        <f aca="false">IF($A16="","",SUMPRODUCT(--ISNUMBER(SEARCH(","&amp;SUBSTITUTE($A16," ","")&amp;",",'Year Plan'!$BM$7:$BM$46)),--('Year Plan'!$H$7:$H$46&lt;&gt;""),--('Year Plan'!$H$7:$H$46&lt;=AM$3+6),--('Year Plan'!$I$7:$I$46&gt;=AM$3)))</f>
        <v/>
      </c>
      <c r="AN16" s="45" t="str">
        <f aca="false">IF($A16="","",SUMPRODUCT(--ISNUMBER(SEARCH(","&amp;SUBSTITUTE($A16," ","")&amp;",",'Year Plan'!$BM$7:$BM$46)),--('Year Plan'!$H$7:$H$46&lt;&gt;""),--('Year Plan'!$H$7:$H$46&lt;=AN$3+6),--('Year Plan'!$I$7:$I$46&gt;=AN$3)))</f>
        <v/>
      </c>
      <c r="AO16" s="45" t="str">
        <f aca="false">IF($A16="","",SUMPRODUCT(--ISNUMBER(SEARCH(","&amp;SUBSTITUTE($A16," ","")&amp;",",'Year Plan'!$BM$7:$BM$46)),--('Year Plan'!$H$7:$H$46&lt;&gt;""),--('Year Plan'!$H$7:$H$46&lt;=AO$3+6),--('Year Plan'!$I$7:$I$46&gt;=AO$3)))</f>
        <v/>
      </c>
      <c r="AP16" s="45" t="str">
        <f aca="false">IF($A16="","",SUMPRODUCT(--ISNUMBER(SEARCH(","&amp;SUBSTITUTE($A16," ","")&amp;",",'Year Plan'!$BM$7:$BM$46)),--('Year Plan'!$H$7:$H$46&lt;&gt;""),--('Year Plan'!$H$7:$H$46&lt;=AP$3+6),--('Year Plan'!$I$7:$I$46&gt;=AP$3)))</f>
        <v/>
      </c>
      <c r="AQ16" s="45" t="str">
        <f aca="false">IF($A16="","",SUMPRODUCT(--ISNUMBER(SEARCH(","&amp;SUBSTITUTE($A16," ","")&amp;",",'Year Plan'!$BM$7:$BM$46)),--('Year Plan'!$H$7:$H$46&lt;&gt;""),--('Year Plan'!$H$7:$H$46&lt;=AQ$3+6),--('Year Plan'!$I$7:$I$46&gt;=AQ$3)))</f>
        <v/>
      </c>
      <c r="AR16" s="45" t="str">
        <f aca="false">IF($A16="","",SUMPRODUCT(--ISNUMBER(SEARCH(","&amp;SUBSTITUTE($A16," ","")&amp;",",'Year Plan'!$BM$7:$BM$46)),--('Year Plan'!$H$7:$H$46&lt;&gt;""),--('Year Plan'!$H$7:$H$46&lt;=AR$3+6),--('Year Plan'!$I$7:$I$46&gt;=AR$3)))</f>
        <v/>
      </c>
      <c r="AS16" s="45" t="str">
        <f aca="false">IF($A16="","",SUMPRODUCT(--ISNUMBER(SEARCH(","&amp;SUBSTITUTE($A16," ","")&amp;",",'Year Plan'!$BM$7:$BM$46)),--('Year Plan'!$H$7:$H$46&lt;&gt;""),--('Year Plan'!$H$7:$H$46&lt;=AS$3+6),--('Year Plan'!$I$7:$I$46&gt;=AS$3)))</f>
        <v/>
      </c>
      <c r="AT16" s="45" t="str">
        <f aca="false">IF($A16="","",SUMPRODUCT(--ISNUMBER(SEARCH(","&amp;SUBSTITUTE($A16," ","")&amp;",",'Year Plan'!$BM$7:$BM$46)),--('Year Plan'!$H$7:$H$46&lt;&gt;""),--('Year Plan'!$H$7:$H$46&lt;=AT$3+6),--('Year Plan'!$I$7:$I$46&gt;=AT$3)))</f>
        <v/>
      </c>
      <c r="AU16" s="45" t="str">
        <f aca="false">IF($A16="","",SUMPRODUCT(--ISNUMBER(SEARCH(","&amp;SUBSTITUTE($A16," ","")&amp;",",'Year Plan'!$BM$7:$BM$46)),--('Year Plan'!$H$7:$H$46&lt;&gt;""),--('Year Plan'!$H$7:$H$46&lt;=AU$3+6),--('Year Plan'!$I$7:$I$46&gt;=AU$3)))</f>
        <v/>
      </c>
      <c r="AV16" s="45" t="str">
        <f aca="false">IF($A16="","",SUMPRODUCT(--ISNUMBER(SEARCH(","&amp;SUBSTITUTE($A16," ","")&amp;",",'Year Plan'!$BM$7:$BM$46)),--('Year Plan'!$H$7:$H$46&lt;&gt;""),--('Year Plan'!$H$7:$H$46&lt;=AV$3+6),--('Year Plan'!$I$7:$I$46&gt;=AV$3)))</f>
        <v/>
      </c>
      <c r="AW16" s="45" t="str">
        <f aca="false">IF($A16="","",SUMPRODUCT(--ISNUMBER(SEARCH(","&amp;SUBSTITUTE($A16," ","")&amp;",",'Year Plan'!$BM$7:$BM$46)),--('Year Plan'!$H$7:$H$46&lt;&gt;""),--('Year Plan'!$H$7:$H$46&lt;=AW$3+6),--('Year Plan'!$I$7:$I$46&gt;=AW$3)))</f>
        <v/>
      </c>
      <c r="AX16" s="45" t="str">
        <f aca="false">IF($A16="","",SUMPRODUCT(--ISNUMBER(SEARCH(","&amp;SUBSTITUTE($A16," ","")&amp;",",'Year Plan'!$BM$7:$BM$46)),--('Year Plan'!$H$7:$H$46&lt;&gt;""),--('Year Plan'!$H$7:$H$46&lt;=AX$3+6),--('Year Plan'!$I$7:$I$46&gt;=AX$3)))</f>
        <v/>
      </c>
      <c r="AY16" s="45" t="str">
        <f aca="false">IF($A16="","",SUMPRODUCT(--ISNUMBER(SEARCH(","&amp;SUBSTITUTE($A16," ","")&amp;",",'Year Plan'!$BM$7:$BM$46)),--('Year Plan'!$H$7:$H$46&lt;&gt;""),--('Year Plan'!$H$7:$H$46&lt;=AY$3+6),--('Year Plan'!$I$7:$I$46&gt;=AY$3)))</f>
        <v/>
      </c>
      <c r="AZ16" s="45" t="str">
        <f aca="false">IF($A16="","",SUMPRODUCT(--ISNUMBER(SEARCH(","&amp;SUBSTITUTE($A16," ","")&amp;",",'Year Plan'!$BM$7:$BM$46)),--('Year Plan'!$H$7:$H$46&lt;&gt;""),--('Year Plan'!$H$7:$H$46&lt;=AZ$3+6),--('Year Plan'!$I$7:$I$46&gt;=AZ$3)))</f>
        <v/>
      </c>
      <c r="BA16" s="45" t="str">
        <f aca="false">IF($A16="","",SUMPRODUCT(--ISNUMBER(SEARCH(","&amp;SUBSTITUTE($A16," ","")&amp;",",'Year Plan'!$BM$7:$BM$46)),--('Year Plan'!$H$7:$H$46&lt;&gt;""),--('Year Plan'!$H$7:$H$46&lt;=BA$3+6),--('Year Plan'!$I$7:$I$46&gt;=BA$3)))</f>
        <v/>
      </c>
      <c r="BB16" s="45" t="str">
        <f aca="false">IF($A16="","",SUMPRODUCT(--ISNUMBER(SEARCH(","&amp;SUBSTITUTE($A16," ","")&amp;",",'Year Plan'!$BM$7:$BM$46)),--('Year Plan'!$H$7:$H$46&lt;&gt;""),--('Year Plan'!$H$7:$H$46&lt;=BB$3+6),--('Year Plan'!$I$7:$I$46&gt;=BB$3)))</f>
        <v/>
      </c>
      <c r="BC16" s="45" t="str">
        <f aca="false">IF($A16="","",SUMPRODUCT(--ISNUMBER(SEARCH(","&amp;SUBSTITUTE($A16," ","")&amp;",",'Year Plan'!$BM$7:$BM$46)),--('Year Plan'!$H$7:$H$46&lt;&gt;""),--('Year Plan'!$H$7:$H$46&lt;=BC$3+6),--('Year Plan'!$I$7:$I$46&gt;=BC$3)))</f>
        <v/>
      </c>
    </row>
    <row r="17" customFormat="false" ht="19.5" hidden="false" customHeight="true" outlineLevel="0" collapsed="false">
      <c r="A17" s="39" t="str">
        <f aca="false">IF(Setup!$B$21="","",Setup!$B$21)</f>
        <v/>
      </c>
      <c r="B17" s="39" t="str">
        <f aca="false">IF(Setup!$B$21="","",Setup!$C$21)</f>
        <v/>
      </c>
      <c r="C17" s="44" t="str">
        <f aca="false">IF($A17="","",SUMPRODUCT(--ISNUMBER(SEARCH(","&amp;SUBSTITUTE($A17," ","")&amp;",",'Year Plan'!$BM$7:$BM$46))))</f>
        <v/>
      </c>
      <c r="D17" s="45" t="str">
        <f aca="false">IF($A17="","",SUMPRODUCT(--ISNUMBER(SEARCH(","&amp;SUBSTITUTE($A17," ","")&amp;",",'Year Plan'!$BM$7:$BM$46)),--('Year Plan'!$H$7:$H$46&lt;&gt;""),--('Year Plan'!$H$7:$H$46&lt;=D$3+6),--('Year Plan'!$I$7:$I$46&gt;=D$3)))</f>
        <v/>
      </c>
      <c r="E17" s="45" t="str">
        <f aca="false">IF($A17="","",SUMPRODUCT(--ISNUMBER(SEARCH(","&amp;SUBSTITUTE($A17," ","")&amp;",",'Year Plan'!$BM$7:$BM$46)),--('Year Plan'!$H$7:$H$46&lt;&gt;""),--('Year Plan'!$H$7:$H$46&lt;=E$3+6),--('Year Plan'!$I$7:$I$46&gt;=E$3)))</f>
        <v/>
      </c>
      <c r="F17" s="45" t="str">
        <f aca="false">IF($A17="","",SUMPRODUCT(--ISNUMBER(SEARCH(","&amp;SUBSTITUTE($A17," ","")&amp;",",'Year Plan'!$BM$7:$BM$46)),--('Year Plan'!$H$7:$H$46&lt;&gt;""),--('Year Plan'!$H$7:$H$46&lt;=F$3+6),--('Year Plan'!$I$7:$I$46&gt;=F$3)))</f>
        <v/>
      </c>
      <c r="G17" s="45" t="str">
        <f aca="false">IF($A17="","",SUMPRODUCT(--ISNUMBER(SEARCH(","&amp;SUBSTITUTE($A17," ","")&amp;",",'Year Plan'!$BM$7:$BM$46)),--('Year Plan'!$H$7:$H$46&lt;&gt;""),--('Year Plan'!$H$7:$H$46&lt;=G$3+6),--('Year Plan'!$I$7:$I$46&gt;=G$3)))</f>
        <v/>
      </c>
      <c r="H17" s="45" t="str">
        <f aca="false">IF($A17="","",SUMPRODUCT(--ISNUMBER(SEARCH(","&amp;SUBSTITUTE($A17," ","")&amp;",",'Year Plan'!$BM$7:$BM$46)),--('Year Plan'!$H$7:$H$46&lt;&gt;""),--('Year Plan'!$H$7:$H$46&lt;=H$3+6),--('Year Plan'!$I$7:$I$46&gt;=H$3)))</f>
        <v/>
      </c>
      <c r="I17" s="45" t="str">
        <f aca="false">IF($A17="","",SUMPRODUCT(--ISNUMBER(SEARCH(","&amp;SUBSTITUTE($A17," ","")&amp;",",'Year Plan'!$BM$7:$BM$46)),--('Year Plan'!$H$7:$H$46&lt;&gt;""),--('Year Plan'!$H$7:$H$46&lt;=I$3+6),--('Year Plan'!$I$7:$I$46&gt;=I$3)))</f>
        <v/>
      </c>
      <c r="J17" s="45" t="str">
        <f aca="false">IF($A17="","",SUMPRODUCT(--ISNUMBER(SEARCH(","&amp;SUBSTITUTE($A17," ","")&amp;",",'Year Plan'!$BM$7:$BM$46)),--('Year Plan'!$H$7:$H$46&lt;&gt;""),--('Year Plan'!$H$7:$H$46&lt;=J$3+6),--('Year Plan'!$I$7:$I$46&gt;=J$3)))</f>
        <v/>
      </c>
      <c r="K17" s="45" t="str">
        <f aca="false">IF($A17="","",SUMPRODUCT(--ISNUMBER(SEARCH(","&amp;SUBSTITUTE($A17," ","")&amp;",",'Year Plan'!$BM$7:$BM$46)),--('Year Plan'!$H$7:$H$46&lt;&gt;""),--('Year Plan'!$H$7:$H$46&lt;=K$3+6),--('Year Plan'!$I$7:$I$46&gt;=K$3)))</f>
        <v/>
      </c>
      <c r="L17" s="45" t="str">
        <f aca="false">IF($A17="","",SUMPRODUCT(--ISNUMBER(SEARCH(","&amp;SUBSTITUTE($A17," ","")&amp;",",'Year Plan'!$BM$7:$BM$46)),--('Year Plan'!$H$7:$H$46&lt;&gt;""),--('Year Plan'!$H$7:$H$46&lt;=L$3+6),--('Year Plan'!$I$7:$I$46&gt;=L$3)))</f>
        <v/>
      </c>
      <c r="M17" s="45" t="str">
        <f aca="false">IF($A17="","",SUMPRODUCT(--ISNUMBER(SEARCH(","&amp;SUBSTITUTE($A17," ","")&amp;",",'Year Plan'!$BM$7:$BM$46)),--('Year Plan'!$H$7:$H$46&lt;&gt;""),--('Year Plan'!$H$7:$H$46&lt;=M$3+6),--('Year Plan'!$I$7:$I$46&gt;=M$3)))</f>
        <v/>
      </c>
      <c r="N17" s="45" t="str">
        <f aca="false">IF($A17="","",SUMPRODUCT(--ISNUMBER(SEARCH(","&amp;SUBSTITUTE($A17," ","")&amp;",",'Year Plan'!$BM$7:$BM$46)),--('Year Plan'!$H$7:$H$46&lt;&gt;""),--('Year Plan'!$H$7:$H$46&lt;=N$3+6),--('Year Plan'!$I$7:$I$46&gt;=N$3)))</f>
        <v/>
      </c>
      <c r="O17" s="45" t="str">
        <f aca="false">IF($A17="","",SUMPRODUCT(--ISNUMBER(SEARCH(","&amp;SUBSTITUTE($A17," ","")&amp;",",'Year Plan'!$BM$7:$BM$46)),--('Year Plan'!$H$7:$H$46&lt;&gt;""),--('Year Plan'!$H$7:$H$46&lt;=O$3+6),--('Year Plan'!$I$7:$I$46&gt;=O$3)))</f>
        <v/>
      </c>
      <c r="P17" s="45" t="str">
        <f aca="false">IF($A17="","",SUMPRODUCT(--ISNUMBER(SEARCH(","&amp;SUBSTITUTE($A17," ","")&amp;",",'Year Plan'!$BM$7:$BM$46)),--('Year Plan'!$H$7:$H$46&lt;&gt;""),--('Year Plan'!$H$7:$H$46&lt;=P$3+6),--('Year Plan'!$I$7:$I$46&gt;=P$3)))</f>
        <v/>
      </c>
      <c r="Q17" s="45" t="str">
        <f aca="false">IF($A17="","",SUMPRODUCT(--ISNUMBER(SEARCH(","&amp;SUBSTITUTE($A17," ","")&amp;",",'Year Plan'!$BM$7:$BM$46)),--('Year Plan'!$H$7:$H$46&lt;&gt;""),--('Year Plan'!$H$7:$H$46&lt;=Q$3+6),--('Year Plan'!$I$7:$I$46&gt;=Q$3)))</f>
        <v/>
      </c>
      <c r="R17" s="45" t="str">
        <f aca="false">IF($A17="","",SUMPRODUCT(--ISNUMBER(SEARCH(","&amp;SUBSTITUTE($A17," ","")&amp;",",'Year Plan'!$BM$7:$BM$46)),--('Year Plan'!$H$7:$H$46&lt;&gt;""),--('Year Plan'!$H$7:$H$46&lt;=R$3+6),--('Year Plan'!$I$7:$I$46&gt;=R$3)))</f>
        <v/>
      </c>
      <c r="S17" s="45" t="str">
        <f aca="false">IF($A17="","",SUMPRODUCT(--ISNUMBER(SEARCH(","&amp;SUBSTITUTE($A17," ","")&amp;",",'Year Plan'!$BM$7:$BM$46)),--('Year Plan'!$H$7:$H$46&lt;&gt;""),--('Year Plan'!$H$7:$H$46&lt;=S$3+6),--('Year Plan'!$I$7:$I$46&gt;=S$3)))</f>
        <v/>
      </c>
      <c r="T17" s="45" t="str">
        <f aca="false">IF($A17="","",SUMPRODUCT(--ISNUMBER(SEARCH(","&amp;SUBSTITUTE($A17," ","")&amp;",",'Year Plan'!$BM$7:$BM$46)),--('Year Plan'!$H$7:$H$46&lt;&gt;""),--('Year Plan'!$H$7:$H$46&lt;=T$3+6),--('Year Plan'!$I$7:$I$46&gt;=T$3)))</f>
        <v/>
      </c>
      <c r="U17" s="45" t="str">
        <f aca="false">IF($A17="","",SUMPRODUCT(--ISNUMBER(SEARCH(","&amp;SUBSTITUTE($A17," ","")&amp;",",'Year Plan'!$BM$7:$BM$46)),--('Year Plan'!$H$7:$H$46&lt;&gt;""),--('Year Plan'!$H$7:$H$46&lt;=U$3+6),--('Year Plan'!$I$7:$I$46&gt;=U$3)))</f>
        <v/>
      </c>
      <c r="V17" s="45" t="str">
        <f aca="false">IF($A17="","",SUMPRODUCT(--ISNUMBER(SEARCH(","&amp;SUBSTITUTE($A17," ","")&amp;",",'Year Plan'!$BM$7:$BM$46)),--('Year Plan'!$H$7:$H$46&lt;&gt;""),--('Year Plan'!$H$7:$H$46&lt;=V$3+6),--('Year Plan'!$I$7:$I$46&gt;=V$3)))</f>
        <v/>
      </c>
      <c r="W17" s="45" t="str">
        <f aca="false">IF($A17="","",SUMPRODUCT(--ISNUMBER(SEARCH(","&amp;SUBSTITUTE($A17," ","")&amp;",",'Year Plan'!$BM$7:$BM$46)),--('Year Plan'!$H$7:$H$46&lt;&gt;""),--('Year Plan'!$H$7:$H$46&lt;=W$3+6),--('Year Plan'!$I$7:$I$46&gt;=W$3)))</f>
        <v/>
      </c>
      <c r="X17" s="45" t="str">
        <f aca="false">IF($A17="","",SUMPRODUCT(--ISNUMBER(SEARCH(","&amp;SUBSTITUTE($A17," ","")&amp;",",'Year Plan'!$BM$7:$BM$46)),--('Year Plan'!$H$7:$H$46&lt;&gt;""),--('Year Plan'!$H$7:$H$46&lt;=X$3+6),--('Year Plan'!$I$7:$I$46&gt;=X$3)))</f>
        <v/>
      </c>
      <c r="Y17" s="45" t="str">
        <f aca="false">IF($A17="","",SUMPRODUCT(--ISNUMBER(SEARCH(","&amp;SUBSTITUTE($A17," ","")&amp;",",'Year Plan'!$BM$7:$BM$46)),--('Year Plan'!$H$7:$H$46&lt;&gt;""),--('Year Plan'!$H$7:$H$46&lt;=Y$3+6),--('Year Plan'!$I$7:$I$46&gt;=Y$3)))</f>
        <v/>
      </c>
      <c r="Z17" s="45" t="str">
        <f aca="false">IF($A17="","",SUMPRODUCT(--ISNUMBER(SEARCH(","&amp;SUBSTITUTE($A17," ","")&amp;",",'Year Plan'!$BM$7:$BM$46)),--('Year Plan'!$H$7:$H$46&lt;&gt;""),--('Year Plan'!$H$7:$H$46&lt;=Z$3+6),--('Year Plan'!$I$7:$I$46&gt;=Z$3)))</f>
        <v/>
      </c>
      <c r="AA17" s="45" t="str">
        <f aca="false">IF($A17="","",SUMPRODUCT(--ISNUMBER(SEARCH(","&amp;SUBSTITUTE($A17," ","")&amp;",",'Year Plan'!$BM$7:$BM$46)),--('Year Plan'!$H$7:$H$46&lt;&gt;""),--('Year Plan'!$H$7:$H$46&lt;=AA$3+6),--('Year Plan'!$I$7:$I$46&gt;=AA$3)))</f>
        <v/>
      </c>
      <c r="AB17" s="45" t="str">
        <f aca="false">IF($A17="","",SUMPRODUCT(--ISNUMBER(SEARCH(","&amp;SUBSTITUTE($A17," ","")&amp;",",'Year Plan'!$BM$7:$BM$46)),--('Year Plan'!$H$7:$H$46&lt;&gt;""),--('Year Plan'!$H$7:$H$46&lt;=AB$3+6),--('Year Plan'!$I$7:$I$46&gt;=AB$3)))</f>
        <v/>
      </c>
      <c r="AC17" s="45" t="str">
        <f aca="false">IF($A17="","",SUMPRODUCT(--ISNUMBER(SEARCH(","&amp;SUBSTITUTE($A17," ","")&amp;",",'Year Plan'!$BM$7:$BM$46)),--('Year Plan'!$H$7:$H$46&lt;&gt;""),--('Year Plan'!$H$7:$H$46&lt;=AC$3+6),--('Year Plan'!$I$7:$I$46&gt;=AC$3)))</f>
        <v/>
      </c>
      <c r="AD17" s="45" t="str">
        <f aca="false">IF($A17="","",SUMPRODUCT(--ISNUMBER(SEARCH(","&amp;SUBSTITUTE($A17," ","")&amp;",",'Year Plan'!$BM$7:$BM$46)),--('Year Plan'!$H$7:$H$46&lt;&gt;""),--('Year Plan'!$H$7:$H$46&lt;=AD$3+6),--('Year Plan'!$I$7:$I$46&gt;=AD$3)))</f>
        <v/>
      </c>
      <c r="AE17" s="45" t="str">
        <f aca="false">IF($A17="","",SUMPRODUCT(--ISNUMBER(SEARCH(","&amp;SUBSTITUTE($A17," ","")&amp;",",'Year Plan'!$BM$7:$BM$46)),--('Year Plan'!$H$7:$H$46&lt;&gt;""),--('Year Plan'!$H$7:$H$46&lt;=AE$3+6),--('Year Plan'!$I$7:$I$46&gt;=AE$3)))</f>
        <v/>
      </c>
      <c r="AF17" s="45" t="str">
        <f aca="false">IF($A17="","",SUMPRODUCT(--ISNUMBER(SEARCH(","&amp;SUBSTITUTE($A17," ","")&amp;",",'Year Plan'!$BM$7:$BM$46)),--('Year Plan'!$H$7:$H$46&lt;&gt;""),--('Year Plan'!$H$7:$H$46&lt;=AF$3+6),--('Year Plan'!$I$7:$I$46&gt;=AF$3)))</f>
        <v/>
      </c>
      <c r="AG17" s="45" t="str">
        <f aca="false">IF($A17="","",SUMPRODUCT(--ISNUMBER(SEARCH(","&amp;SUBSTITUTE($A17," ","")&amp;",",'Year Plan'!$BM$7:$BM$46)),--('Year Plan'!$H$7:$H$46&lt;&gt;""),--('Year Plan'!$H$7:$H$46&lt;=AG$3+6),--('Year Plan'!$I$7:$I$46&gt;=AG$3)))</f>
        <v/>
      </c>
      <c r="AH17" s="45" t="str">
        <f aca="false">IF($A17="","",SUMPRODUCT(--ISNUMBER(SEARCH(","&amp;SUBSTITUTE($A17," ","")&amp;",",'Year Plan'!$BM$7:$BM$46)),--('Year Plan'!$H$7:$H$46&lt;&gt;""),--('Year Plan'!$H$7:$H$46&lt;=AH$3+6),--('Year Plan'!$I$7:$I$46&gt;=AH$3)))</f>
        <v/>
      </c>
      <c r="AI17" s="45" t="str">
        <f aca="false">IF($A17="","",SUMPRODUCT(--ISNUMBER(SEARCH(","&amp;SUBSTITUTE($A17," ","")&amp;",",'Year Plan'!$BM$7:$BM$46)),--('Year Plan'!$H$7:$H$46&lt;&gt;""),--('Year Plan'!$H$7:$H$46&lt;=AI$3+6),--('Year Plan'!$I$7:$I$46&gt;=AI$3)))</f>
        <v/>
      </c>
      <c r="AJ17" s="45" t="str">
        <f aca="false">IF($A17="","",SUMPRODUCT(--ISNUMBER(SEARCH(","&amp;SUBSTITUTE($A17," ","")&amp;",",'Year Plan'!$BM$7:$BM$46)),--('Year Plan'!$H$7:$H$46&lt;&gt;""),--('Year Plan'!$H$7:$H$46&lt;=AJ$3+6),--('Year Plan'!$I$7:$I$46&gt;=AJ$3)))</f>
        <v/>
      </c>
      <c r="AK17" s="45" t="str">
        <f aca="false">IF($A17="","",SUMPRODUCT(--ISNUMBER(SEARCH(","&amp;SUBSTITUTE($A17," ","")&amp;",",'Year Plan'!$BM$7:$BM$46)),--('Year Plan'!$H$7:$H$46&lt;&gt;""),--('Year Plan'!$H$7:$H$46&lt;=AK$3+6),--('Year Plan'!$I$7:$I$46&gt;=AK$3)))</f>
        <v/>
      </c>
      <c r="AL17" s="45" t="str">
        <f aca="false">IF($A17="","",SUMPRODUCT(--ISNUMBER(SEARCH(","&amp;SUBSTITUTE($A17," ","")&amp;",",'Year Plan'!$BM$7:$BM$46)),--('Year Plan'!$H$7:$H$46&lt;&gt;""),--('Year Plan'!$H$7:$H$46&lt;=AL$3+6),--('Year Plan'!$I$7:$I$46&gt;=AL$3)))</f>
        <v/>
      </c>
      <c r="AM17" s="45" t="str">
        <f aca="false">IF($A17="","",SUMPRODUCT(--ISNUMBER(SEARCH(","&amp;SUBSTITUTE($A17," ","")&amp;",",'Year Plan'!$BM$7:$BM$46)),--('Year Plan'!$H$7:$H$46&lt;&gt;""),--('Year Plan'!$H$7:$H$46&lt;=AM$3+6),--('Year Plan'!$I$7:$I$46&gt;=AM$3)))</f>
        <v/>
      </c>
      <c r="AN17" s="45" t="str">
        <f aca="false">IF($A17="","",SUMPRODUCT(--ISNUMBER(SEARCH(","&amp;SUBSTITUTE($A17," ","")&amp;",",'Year Plan'!$BM$7:$BM$46)),--('Year Plan'!$H$7:$H$46&lt;&gt;""),--('Year Plan'!$H$7:$H$46&lt;=AN$3+6),--('Year Plan'!$I$7:$I$46&gt;=AN$3)))</f>
        <v/>
      </c>
      <c r="AO17" s="45" t="str">
        <f aca="false">IF($A17="","",SUMPRODUCT(--ISNUMBER(SEARCH(","&amp;SUBSTITUTE($A17," ","")&amp;",",'Year Plan'!$BM$7:$BM$46)),--('Year Plan'!$H$7:$H$46&lt;&gt;""),--('Year Plan'!$H$7:$H$46&lt;=AO$3+6),--('Year Plan'!$I$7:$I$46&gt;=AO$3)))</f>
        <v/>
      </c>
      <c r="AP17" s="45" t="str">
        <f aca="false">IF($A17="","",SUMPRODUCT(--ISNUMBER(SEARCH(","&amp;SUBSTITUTE($A17," ","")&amp;",",'Year Plan'!$BM$7:$BM$46)),--('Year Plan'!$H$7:$H$46&lt;&gt;""),--('Year Plan'!$H$7:$H$46&lt;=AP$3+6),--('Year Plan'!$I$7:$I$46&gt;=AP$3)))</f>
        <v/>
      </c>
      <c r="AQ17" s="45" t="str">
        <f aca="false">IF($A17="","",SUMPRODUCT(--ISNUMBER(SEARCH(","&amp;SUBSTITUTE($A17," ","")&amp;",",'Year Plan'!$BM$7:$BM$46)),--('Year Plan'!$H$7:$H$46&lt;&gt;""),--('Year Plan'!$H$7:$H$46&lt;=AQ$3+6),--('Year Plan'!$I$7:$I$46&gt;=AQ$3)))</f>
        <v/>
      </c>
      <c r="AR17" s="45" t="str">
        <f aca="false">IF($A17="","",SUMPRODUCT(--ISNUMBER(SEARCH(","&amp;SUBSTITUTE($A17," ","")&amp;",",'Year Plan'!$BM$7:$BM$46)),--('Year Plan'!$H$7:$H$46&lt;&gt;""),--('Year Plan'!$H$7:$H$46&lt;=AR$3+6),--('Year Plan'!$I$7:$I$46&gt;=AR$3)))</f>
        <v/>
      </c>
      <c r="AS17" s="45" t="str">
        <f aca="false">IF($A17="","",SUMPRODUCT(--ISNUMBER(SEARCH(","&amp;SUBSTITUTE($A17," ","")&amp;",",'Year Plan'!$BM$7:$BM$46)),--('Year Plan'!$H$7:$H$46&lt;&gt;""),--('Year Plan'!$H$7:$H$46&lt;=AS$3+6),--('Year Plan'!$I$7:$I$46&gt;=AS$3)))</f>
        <v/>
      </c>
      <c r="AT17" s="45" t="str">
        <f aca="false">IF($A17="","",SUMPRODUCT(--ISNUMBER(SEARCH(","&amp;SUBSTITUTE($A17," ","")&amp;",",'Year Plan'!$BM$7:$BM$46)),--('Year Plan'!$H$7:$H$46&lt;&gt;""),--('Year Plan'!$H$7:$H$46&lt;=AT$3+6),--('Year Plan'!$I$7:$I$46&gt;=AT$3)))</f>
        <v/>
      </c>
      <c r="AU17" s="45" t="str">
        <f aca="false">IF($A17="","",SUMPRODUCT(--ISNUMBER(SEARCH(","&amp;SUBSTITUTE($A17," ","")&amp;",",'Year Plan'!$BM$7:$BM$46)),--('Year Plan'!$H$7:$H$46&lt;&gt;""),--('Year Plan'!$H$7:$H$46&lt;=AU$3+6),--('Year Plan'!$I$7:$I$46&gt;=AU$3)))</f>
        <v/>
      </c>
      <c r="AV17" s="45" t="str">
        <f aca="false">IF($A17="","",SUMPRODUCT(--ISNUMBER(SEARCH(","&amp;SUBSTITUTE($A17," ","")&amp;",",'Year Plan'!$BM$7:$BM$46)),--('Year Plan'!$H$7:$H$46&lt;&gt;""),--('Year Plan'!$H$7:$H$46&lt;=AV$3+6),--('Year Plan'!$I$7:$I$46&gt;=AV$3)))</f>
        <v/>
      </c>
      <c r="AW17" s="45" t="str">
        <f aca="false">IF($A17="","",SUMPRODUCT(--ISNUMBER(SEARCH(","&amp;SUBSTITUTE($A17," ","")&amp;",",'Year Plan'!$BM$7:$BM$46)),--('Year Plan'!$H$7:$H$46&lt;&gt;""),--('Year Plan'!$H$7:$H$46&lt;=AW$3+6),--('Year Plan'!$I$7:$I$46&gt;=AW$3)))</f>
        <v/>
      </c>
      <c r="AX17" s="45" t="str">
        <f aca="false">IF($A17="","",SUMPRODUCT(--ISNUMBER(SEARCH(","&amp;SUBSTITUTE($A17," ","")&amp;",",'Year Plan'!$BM$7:$BM$46)),--('Year Plan'!$H$7:$H$46&lt;&gt;""),--('Year Plan'!$H$7:$H$46&lt;=AX$3+6),--('Year Plan'!$I$7:$I$46&gt;=AX$3)))</f>
        <v/>
      </c>
      <c r="AY17" s="45" t="str">
        <f aca="false">IF($A17="","",SUMPRODUCT(--ISNUMBER(SEARCH(","&amp;SUBSTITUTE($A17," ","")&amp;",",'Year Plan'!$BM$7:$BM$46)),--('Year Plan'!$H$7:$H$46&lt;&gt;""),--('Year Plan'!$H$7:$H$46&lt;=AY$3+6),--('Year Plan'!$I$7:$I$46&gt;=AY$3)))</f>
        <v/>
      </c>
      <c r="AZ17" s="45" t="str">
        <f aca="false">IF($A17="","",SUMPRODUCT(--ISNUMBER(SEARCH(","&amp;SUBSTITUTE($A17," ","")&amp;",",'Year Plan'!$BM$7:$BM$46)),--('Year Plan'!$H$7:$H$46&lt;&gt;""),--('Year Plan'!$H$7:$H$46&lt;=AZ$3+6),--('Year Plan'!$I$7:$I$46&gt;=AZ$3)))</f>
        <v/>
      </c>
      <c r="BA17" s="45" t="str">
        <f aca="false">IF($A17="","",SUMPRODUCT(--ISNUMBER(SEARCH(","&amp;SUBSTITUTE($A17," ","")&amp;",",'Year Plan'!$BM$7:$BM$46)),--('Year Plan'!$H$7:$H$46&lt;&gt;""),--('Year Plan'!$H$7:$H$46&lt;=BA$3+6),--('Year Plan'!$I$7:$I$46&gt;=BA$3)))</f>
        <v/>
      </c>
      <c r="BB17" s="45" t="str">
        <f aca="false">IF($A17="","",SUMPRODUCT(--ISNUMBER(SEARCH(","&amp;SUBSTITUTE($A17," ","")&amp;",",'Year Plan'!$BM$7:$BM$46)),--('Year Plan'!$H$7:$H$46&lt;&gt;""),--('Year Plan'!$H$7:$H$46&lt;=BB$3+6),--('Year Plan'!$I$7:$I$46&gt;=BB$3)))</f>
        <v/>
      </c>
      <c r="BC17" s="45" t="str">
        <f aca="false">IF($A17="","",SUMPRODUCT(--ISNUMBER(SEARCH(","&amp;SUBSTITUTE($A17," ","")&amp;",",'Year Plan'!$BM$7:$BM$46)),--('Year Plan'!$H$7:$H$46&lt;&gt;""),--('Year Plan'!$H$7:$H$46&lt;=BC$3+6),--('Year Plan'!$I$7:$I$46&gt;=BC$3)))</f>
        <v/>
      </c>
    </row>
    <row r="18" customFormat="false" ht="19.5" hidden="false" customHeight="true" outlineLevel="0" collapsed="false">
      <c r="A18" s="39" t="str">
        <f aca="false">IF(Setup!$B$22="","",Setup!$B$22)</f>
        <v/>
      </c>
      <c r="B18" s="39" t="str">
        <f aca="false">IF(Setup!$B$22="","",Setup!$C$22)</f>
        <v/>
      </c>
      <c r="C18" s="44" t="str">
        <f aca="false">IF($A18="","",SUMPRODUCT(--ISNUMBER(SEARCH(","&amp;SUBSTITUTE($A18," ","")&amp;",",'Year Plan'!$BM$7:$BM$46))))</f>
        <v/>
      </c>
      <c r="D18" s="45" t="str">
        <f aca="false">IF($A18="","",SUMPRODUCT(--ISNUMBER(SEARCH(","&amp;SUBSTITUTE($A18," ","")&amp;",",'Year Plan'!$BM$7:$BM$46)),--('Year Plan'!$H$7:$H$46&lt;&gt;""),--('Year Plan'!$H$7:$H$46&lt;=D$3+6),--('Year Plan'!$I$7:$I$46&gt;=D$3)))</f>
        <v/>
      </c>
      <c r="E18" s="45" t="str">
        <f aca="false">IF($A18="","",SUMPRODUCT(--ISNUMBER(SEARCH(","&amp;SUBSTITUTE($A18," ","")&amp;",",'Year Plan'!$BM$7:$BM$46)),--('Year Plan'!$H$7:$H$46&lt;&gt;""),--('Year Plan'!$H$7:$H$46&lt;=E$3+6),--('Year Plan'!$I$7:$I$46&gt;=E$3)))</f>
        <v/>
      </c>
      <c r="F18" s="45" t="str">
        <f aca="false">IF($A18="","",SUMPRODUCT(--ISNUMBER(SEARCH(","&amp;SUBSTITUTE($A18," ","")&amp;",",'Year Plan'!$BM$7:$BM$46)),--('Year Plan'!$H$7:$H$46&lt;&gt;""),--('Year Plan'!$H$7:$H$46&lt;=F$3+6),--('Year Plan'!$I$7:$I$46&gt;=F$3)))</f>
        <v/>
      </c>
      <c r="G18" s="45" t="str">
        <f aca="false">IF($A18="","",SUMPRODUCT(--ISNUMBER(SEARCH(","&amp;SUBSTITUTE($A18," ","")&amp;",",'Year Plan'!$BM$7:$BM$46)),--('Year Plan'!$H$7:$H$46&lt;&gt;""),--('Year Plan'!$H$7:$H$46&lt;=G$3+6),--('Year Plan'!$I$7:$I$46&gt;=G$3)))</f>
        <v/>
      </c>
      <c r="H18" s="45" t="str">
        <f aca="false">IF($A18="","",SUMPRODUCT(--ISNUMBER(SEARCH(","&amp;SUBSTITUTE($A18," ","")&amp;",",'Year Plan'!$BM$7:$BM$46)),--('Year Plan'!$H$7:$H$46&lt;&gt;""),--('Year Plan'!$H$7:$H$46&lt;=H$3+6),--('Year Plan'!$I$7:$I$46&gt;=H$3)))</f>
        <v/>
      </c>
      <c r="I18" s="45" t="str">
        <f aca="false">IF($A18="","",SUMPRODUCT(--ISNUMBER(SEARCH(","&amp;SUBSTITUTE($A18," ","")&amp;",",'Year Plan'!$BM$7:$BM$46)),--('Year Plan'!$H$7:$H$46&lt;&gt;""),--('Year Plan'!$H$7:$H$46&lt;=I$3+6),--('Year Plan'!$I$7:$I$46&gt;=I$3)))</f>
        <v/>
      </c>
      <c r="J18" s="45" t="str">
        <f aca="false">IF($A18="","",SUMPRODUCT(--ISNUMBER(SEARCH(","&amp;SUBSTITUTE($A18," ","")&amp;",",'Year Plan'!$BM$7:$BM$46)),--('Year Plan'!$H$7:$H$46&lt;&gt;""),--('Year Plan'!$H$7:$H$46&lt;=J$3+6),--('Year Plan'!$I$7:$I$46&gt;=J$3)))</f>
        <v/>
      </c>
      <c r="K18" s="45" t="str">
        <f aca="false">IF($A18="","",SUMPRODUCT(--ISNUMBER(SEARCH(","&amp;SUBSTITUTE($A18," ","")&amp;",",'Year Plan'!$BM$7:$BM$46)),--('Year Plan'!$H$7:$H$46&lt;&gt;""),--('Year Plan'!$H$7:$H$46&lt;=K$3+6),--('Year Plan'!$I$7:$I$46&gt;=K$3)))</f>
        <v/>
      </c>
      <c r="L18" s="45" t="str">
        <f aca="false">IF($A18="","",SUMPRODUCT(--ISNUMBER(SEARCH(","&amp;SUBSTITUTE($A18," ","")&amp;",",'Year Plan'!$BM$7:$BM$46)),--('Year Plan'!$H$7:$H$46&lt;&gt;""),--('Year Plan'!$H$7:$H$46&lt;=L$3+6),--('Year Plan'!$I$7:$I$46&gt;=L$3)))</f>
        <v/>
      </c>
      <c r="M18" s="45" t="str">
        <f aca="false">IF($A18="","",SUMPRODUCT(--ISNUMBER(SEARCH(","&amp;SUBSTITUTE($A18," ","")&amp;",",'Year Plan'!$BM$7:$BM$46)),--('Year Plan'!$H$7:$H$46&lt;&gt;""),--('Year Plan'!$H$7:$H$46&lt;=M$3+6),--('Year Plan'!$I$7:$I$46&gt;=M$3)))</f>
        <v/>
      </c>
      <c r="N18" s="45" t="str">
        <f aca="false">IF($A18="","",SUMPRODUCT(--ISNUMBER(SEARCH(","&amp;SUBSTITUTE($A18," ","")&amp;",",'Year Plan'!$BM$7:$BM$46)),--('Year Plan'!$H$7:$H$46&lt;&gt;""),--('Year Plan'!$H$7:$H$46&lt;=N$3+6),--('Year Plan'!$I$7:$I$46&gt;=N$3)))</f>
        <v/>
      </c>
      <c r="O18" s="45" t="str">
        <f aca="false">IF($A18="","",SUMPRODUCT(--ISNUMBER(SEARCH(","&amp;SUBSTITUTE($A18," ","")&amp;",",'Year Plan'!$BM$7:$BM$46)),--('Year Plan'!$H$7:$H$46&lt;&gt;""),--('Year Plan'!$H$7:$H$46&lt;=O$3+6),--('Year Plan'!$I$7:$I$46&gt;=O$3)))</f>
        <v/>
      </c>
      <c r="P18" s="45" t="str">
        <f aca="false">IF($A18="","",SUMPRODUCT(--ISNUMBER(SEARCH(","&amp;SUBSTITUTE($A18," ","")&amp;",",'Year Plan'!$BM$7:$BM$46)),--('Year Plan'!$H$7:$H$46&lt;&gt;""),--('Year Plan'!$H$7:$H$46&lt;=P$3+6),--('Year Plan'!$I$7:$I$46&gt;=P$3)))</f>
        <v/>
      </c>
      <c r="Q18" s="45" t="str">
        <f aca="false">IF($A18="","",SUMPRODUCT(--ISNUMBER(SEARCH(","&amp;SUBSTITUTE($A18," ","")&amp;",",'Year Plan'!$BM$7:$BM$46)),--('Year Plan'!$H$7:$H$46&lt;&gt;""),--('Year Plan'!$H$7:$H$46&lt;=Q$3+6),--('Year Plan'!$I$7:$I$46&gt;=Q$3)))</f>
        <v/>
      </c>
      <c r="R18" s="45" t="str">
        <f aca="false">IF($A18="","",SUMPRODUCT(--ISNUMBER(SEARCH(","&amp;SUBSTITUTE($A18," ","")&amp;",",'Year Plan'!$BM$7:$BM$46)),--('Year Plan'!$H$7:$H$46&lt;&gt;""),--('Year Plan'!$H$7:$H$46&lt;=R$3+6),--('Year Plan'!$I$7:$I$46&gt;=R$3)))</f>
        <v/>
      </c>
      <c r="S18" s="45" t="str">
        <f aca="false">IF($A18="","",SUMPRODUCT(--ISNUMBER(SEARCH(","&amp;SUBSTITUTE($A18," ","")&amp;",",'Year Plan'!$BM$7:$BM$46)),--('Year Plan'!$H$7:$H$46&lt;&gt;""),--('Year Plan'!$H$7:$H$46&lt;=S$3+6),--('Year Plan'!$I$7:$I$46&gt;=S$3)))</f>
        <v/>
      </c>
      <c r="T18" s="45" t="str">
        <f aca="false">IF($A18="","",SUMPRODUCT(--ISNUMBER(SEARCH(","&amp;SUBSTITUTE($A18," ","")&amp;",",'Year Plan'!$BM$7:$BM$46)),--('Year Plan'!$H$7:$H$46&lt;&gt;""),--('Year Plan'!$H$7:$H$46&lt;=T$3+6),--('Year Plan'!$I$7:$I$46&gt;=T$3)))</f>
        <v/>
      </c>
      <c r="U18" s="45" t="str">
        <f aca="false">IF($A18="","",SUMPRODUCT(--ISNUMBER(SEARCH(","&amp;SUBSTITUTE($A18," ","")&amp;",",'Year Plan'!$BM$7:$BM$46)),--('Year Plan'!$H$7:$H$46&lt;&gt;""),--('Year Plan'!$H$7:$H$46&lt;=U$3+6),--('Year Plan'!$I$7:$I$46&gt;=U$3)))</f>
        <v/>
      </c>
      <c r="V18" s="45" t="str">
        <f aca="false">IF($A18="","",SUMPRODUCT(--ISNUMBER(SEARCH(","&amp;SUBSTITUTE($A18," ","")&amp;",",'Year Plan'!$BM$7:$BM$46)),--('Year Plan'!$H$7:$H$46&lt;&gt;""),--('Year Plan'!$H$7:$H$46&lt;=V$3+6),--('Year Plan'!$I$7:$I$46&gt;=V$3)))</f>
        <v/>
      </c>
      <c r="W18" s="45" t="str">
        <f aca="false">IF($A18="","",SUMPRODUCT(--ISNUMBER(SEARCH(","&amp;SUBSTITUTE($A18," ","")&amp;",",'Year Plan'!$BM$7:$BM$46)),--('Year Plan'!$H$7:$H$46&lt;&gt;""),--('Year Plan'!$H$7:$H$46&lt;=W$3+6),--('Year Plan'!$I$7:$I$46&gt;=W$3)))</f>
        <v/>
      </c>
      <c r="X18" s="45" t="str">
        <f aca="false">IF($A18="","",SUMPRODUCT(--ISNUMBER(SEARCH(","&amp;SUBSTITUTE($A18," ","")&amp;",",'Year Plan'!$BM$7:$BM$46)),--('Year Plan'!$H$7:$H$46&lt;&gt;""),--('Year Plan'!$H$7:$H$46&lt;=X$3+6),--('Year Plan'!$I$7:$I$46&gt;=X$3)))</f>
        <v/>
      </c>
      <c r="Y18" s="45" t="str">
        <f aca="false">IF($A18="","",SUMPRODUCT(--ISNUMBER(SEARCH(","&amp;SUBSTITUTE($A18," ","")&amp;",",'Year Plan'!$BM$7:$BM$46)),--('Year Plan'!$H$7:$H$46&lt;&gt;""),--('Year Plan'!$H$7:$H$46&lt;=Y$3+6),--('Year Plan'!$I$7:$I$46&gt;=Y$3)))</f>
        <v/>
      </c>
      <c r="Z18" s="45" t="str">
        <f aca="false">IF($A18="","",SUMPRODUCT(--ISNUMBER(SEARCH(","&amp;SUBSTITUTE($A18," ","")&amp;",",'Year Plan'!$BM$7:$BM$46)),--('Year Plan'!$H$7:$H$46&lt;&gt;""),--('Year Plan'!$H$7:$H$46&lt;=Z$3+6),--('Year Plan'!$I$7:$I$46&gt;=Z$3)))</f>
        <v/>
      </c>
      <c r="AA18" s="45" t="str">
        <f aca="false">IF($A18="","",SUMPRODUCT(--ISNUMBER(SEARCH(","&amp;SUBSTITUTE($A18," ","")&amp;",",'Year Plan'!$BM$7:$BM$46)),--('Year Plan'!$H$7:$H$46&lt;&gt;""),--('Year Plan'!$H$7:$H$46&lt;=AA$3+6),--('Year Plan'!$I$7:$I$46&gt;=AA$3)))</f>
        <v/>
      </c>
      <c r="AB18" s="45" t="str">
        <f aca="false">IF($A18="","",SUMPRODUCT(--ISNUMBER(SEARCH(","&amp;SUBSTITUTE($A18," ","")&amp;",",'Year Plan'!$BM$7:$BM$46)),--('Year Plan'!$H$7:$H$46&lt;&gt;""),--('Year Plan'!$H$7:$H$46&lt;=AB$3+6),--('Year Plan'!$I$7:$I$46&gt;=AB$3)))</f>
        <v/>
      </c>
      <c r="AC18" s="45" t="str">
        <f aca="false">IF($A18="","",SUMPRODUCT(--ISNUMBER(SEARCH(","&amp;SUBSTITUTE($A18," ","")&amp;",",'Year Plan'!$BM$7:$BM$46)),--('Year Plan'!$H$7:$H$46&lt;&gt;""),--('Year Plan'!$H$7:$H$46&lt;=AC$3+6),--('Year Plan'!$I$7:$I$46&gt;=AC$3)))</f>
        <v/>
      </c>
      <c r="AD18" s="45" t="str">
        <f aca="false">IF($A18="","",SUMPRODUCT(--ISNUMBER(SEARCH(","&amp;SUBSTITUTE($A18," ","")&amp;",",'Year Plan'!$BM$7:$BM$46)),--('Year Plan'!$H$7:$H$46&lt;&gt;""),--('Year Plan'!$H$7:$H$46&lt;=AD$3+6),--('Year Plan'!$I$7:$I$46&gt;=AD$3)))</f>
        <v/>
      </c>
      <c r="AE18" s="45" t="str">
        <f aca="false">IF($A18="","",SUMPRODUCT(--ISNUMBER(SEARCH(","&amp;SUBSTITUTE($A18," ","")&amp;",",'Year Plan'!$BM$7:$BM$46)),--('Year Plan'!$H$7:$H$46&lt;&gt;""),--('Year Plan'!$H$7:$H$46&lt;=AE$3+6),--('Year Plan'!$I$7:$I$46&gt;=AE$3)))</f>
        <v/>
      </c>
      <c r="AF18" s="45" t="str">
        <f aca="false">IF($A18="","",SUMPRODUCT(--ISNUMBER(SEARCH(","&amp;SUBSTITUTE($A18," ","")&amp;",",'Year Plan'!$BM$7:$BM$46)),--('Year Plan'!$H$7:$H$46&lt;&gt;""),--('Year Plan'!$H$7:$H$46&lt;=AF$3+6),--('Year Plan'!$I$7:$I$46&gt;=AF$3)))</f>
        <v/>
      </c>
      <c r="AG18" s="45" t="str">
        <f aca="false">IF($A18="","",SUMPRODUCT(--ISNUMBER(SEARCH(","&amp;SUBSTITUTE($A18," ","")&amp;",",'Year Plan'!$BM$7:$BM$46)),--('Year Plan'!$H$7:$H$46&lt;&gt;""),--('Year Plan'!$H$7:$H$46&lt;=AG$3+6),--('Year Plan'!$I$7:$I$46&gt;=AG$3)))</f>
        <v/>
      </c>
      <c r="AH18" s="45" t="str">
        <f aca="false">IF($A18="","",SUMPRODUCT(--ISNUMBER(SEARCH(","&amp;SUBSTITUTE($A18," ","")&amp;",",'Year Plan'!$BM$7:$BM$46)),--('Year Plan'!$H$7:$H$46&lt;&gt;""),--('Year Plan'!$H$7:$H$46&lt;=AH$3+6),--('Year Plan'!$I$7:$I$46&gt;=AH$3)))</f>
        <v/>
      </c>
      <c r="AI18" s="45" t="str">
        <f aca="false">IF($A18="","",SUMPRODUCT(--ISNUMBER(SEARCH(","&amp;SUBSTITUTE($A18," ","")&amp;",",'Year Plan'!$BM$7:$BM$46)),--('Year Plan'!$H$7:$H$46&lt;&gt;""),--('Year Plan'!$H$7:$H$46&lt;=AI$3+6),--('Year Plan'!$I$7:$I$46&gt;=AI$3)))</f>
        <v/>
      </c>
      <c r="AJ18" s="45" t="str">
        <f aca="false">IF($A18="","",SUMPRODUCT(--ISNUMBER(SEARCH(","&amp;SUBSTITUTE($A18," ","")&amp;",",'Year Plan'!$BM$7:$BM$46)),--('Year Plan'!$H$7:$H$46&lt;&gt;""),--('Year Plan'!$H$7:$H$46&lt;=AJ$3+6),--('Year Plan'!$I$7:$I$46&gt;=AJ$3)))</f>
        <v/>
      </c>
      <c r="AK18" s="45" t="str">
        <f aca="false">IF($A18="","",SUMPRODUCT(--ISNUMBER(SEARCH(","&amp;SUBSTITUTE($A18," ","")&amp;",",'Year Plan'!$BM$7:$BM$46)),--('Year Plan'!$H$7:$H$46&lt;&gt;""),--('Year Plan'!$H$7:$H$46&lt;=AK$3+6),--('Year Plan'!$I$7:$I$46&gt;=AK$3)))</f>
        <v/>
      </c>
      <c r="AL18" s="45" t="str">
        <f aca="false">IF($A18="","",SUMPRODUCT(--ISNUMBER(SEARCH(","&amp;SUBSTITUTE($A18," ","")&amp;",",'Year Plan'!$BM$7:$BM$46)),--('Year Plan'!$H$7:$H$46&lt;&gt;""),--('Year Plan'!$H$7:$H$46&lt;=AL$3+6),--('Year Plan'!$I$7:$I$46&gt;=AL$3)))</f>
        <v/>
      </c>
      <c r="AM18" s="45" t="str">
        <f aca="false">IF($A18="","",SUMPRODUCT(--ISNUMBER(SEARCH(","&amp;SUBSTITUTE($A18," ","")&amp;",",'Year Plan'!$BM$7:$BM$46)),--('Year Plan'!$H$7:$H$46&lt;&gt;""),--('Year Plan'!$H$7:$H$46&lt;=AM$3+6),--('Year Plan'!$I$7:$I$46&gt;=AM$3)))</f>
        <v/>
      </c>
      <c r="AN18" s="45" t="str">
        <f aca="false">IF($A18="","",SUMPRODUCT(--ISNUMBER(SEARCH(","&amp;SUBSTITUTE($A18," ","")&amp;",",'Year Plan'!$BM$7:$BM$46)),--('Year Plan'!$H$7:$H$46&lt;&gt;""),--('Year Plan'!$H$7:$H$46&lt;=AN$3+6),--('Year Plan'!$I$7:$I$46&gt;=AN$3)))</f>
        <v/>
      </c>
      <c r="AO18" s="45" t="str">
        <f aca="false">IF($A18="","",SUMPRODUCT(--ISNUMBER(SEARCH(","&amp;SUBSTITUTE($A18," ","")&amp;",",'Year Plan'!$BM$7:$BM$46)),--('Year Plan'!$H$7:$H$46&lt;&gt;""),--('Year Plan'!$H$7:$H$46&lt;=AO$3+6),--('Year Plan'!$I$7:$I$46&gt;=AO$3)))</f>
        <v/>
      </c>
      <c r="AP18" s="45" t="str">
        <f aca="false">IF($A18="","",SUMPRODUCT(--ISNUMBER(SEARCH(","&amp;SUBSTITUTE($A18," ","")&amp;",",'Year Plan'!$BM$7:$BM$46)),--('Year Plan'!$H$7:$H$46&lt;&gt;""),--('Year Plan'!$H$7:$H$46&lt;=AP$3+6),--('Year Plan'!$I$7:$I$46&gt;=AP$3)))</f>
        <v/>
      </c>
      <c r="AQ18" s="45" t="str">
        <f aca="false">IF($A18="","",SUMPRODUCT(--ISNUMBER(SEARCH(","&amp;SUBSTITUTE($A18," ","")&amp;",",'Year Plan'!$BM$7:$BM$46)),--('Year Plan'!$H$7:$H$46&lt;&gt;""),--('Year Plan'!$H$7:$H$46&lt;=AQ$3+6),--('Year Plan'!$I$7:$I$46&gt;=AQ$3)))</f>
        <v/>
      </c>
      <c r="AR18" s="45" t="str">
        <f aca="false">IF($A18="","",SUMPRODUCT(--ISNUMBER(SEARCH(","&amp;SUBSTITUTE($A18," ","")&amp;",",'Year Plan'!$BM$7:$BM$46)),--('Year Plan'!$H$7:$H$46&lt;&gt;""),--('Year Plan'!$H$7:$H$46&lt;=AR$3+6),--('Year Plan'!$I$7:$I$46&gt;=AR$3)))</f>
        <v/>
      </c>
      <c r="AS18" s="45" t="str">
        <f aca="false">IF($A18="","",SUMPRODUCT(--ISNUMBER(SEARCH(","&amp;SUBSTITUTE($A18," ","")&amp;",",'Year Plan'!$BM$7:$BM$46)),--('Year Plan'!$H$7:$H$46&lt;&gt;""),--('Year Plan'!$H$7:$H$46&lt;=AS$3+6),--('Year Plan'!$I$7:$I$46&gt;=AS$3)))</f>
        <v/>
      </c>
      <c r="AT18" s="45" t="str">
        <f aca="false">IF($A18="","",SUMPRODUCT(--ISNUMBER(SEARCH(","&amp;SUBSTITUTE($A18," ","")&amp;",",'Year Plan'!$BM$7:$BM$46)),--('Year Plan'!$H$7:$H$46&lt;&gt;""),--('Year Plan'!$H$7:$H$46&lt;=AT$3+6),--('Year Plan'!$I$7:$I$46&gt;=AT$3)))</f>
        <v/>
      </c>
      <c r="AU18" s="45" t="str">
        <f aca="false">IF($A18="","",SUMPRODUCT(--ISNUMBER(SEARCH(","&amp;SUBSTITUTE($A18," ","")&amp;",",'Year Plan'!$BM$7:$BM$46)),--('Year Plan'!$H$7:$H$46&lt;&gt;""),--('Year Plan'!$H$7:$H$46&lt;=AU$3+6),--('Year Plan'!$I$7:$I$46&gt;=AU$3)))</f>
        <v/>
      </c>
      <c r="AV18" s="45" t="str">
        <f aca="false">IF($A18="","",SUMPRODUCT(--ISNUMBER(SEARCH(","&amp;SUBSTITUTE($A18," ","")&amp;",",'Year Plan'!$BM$7:$BM$46)),--('Year Plan'!$H$7:$H$46&lt;&gt;""),--('Year Plan'!$H$7:$H$46&lt;=AV$3+6),--('Year Plan'!$I$7:$I$46&gt;=AV$3)))</f>
        <v/>
      </c>
      <c r="AW18" s="45" t="str">
        <f aca="false">IF($A18="","",SUMPRODUCT(--ISNUMBER(SEARCH(","&amp;SUBSTITUTE($A18," ","")&amp;",",'Year Plan'!$BM$7:$BM$46)),--('Year Plan'!$H$7:$H$46&lt;&gt;""),--('Year Plan'!$H$7:$H$46&lt;=AW$3+6),--('Year Plan'!$I$7:$I$46&gt;=AW$3)))</f>
        <v/>
      </c>
      <c r="AX18" s="45" t="str">
        <f aca="false">IF($A18="","",SUMPRODUCT(--ISNUMBER(SEARCH(","&amp;SUBSTITUTE($A18," ","")&amp;",",'Year Plan'!$BM$7:$BM$46)),--('Year Plan'!$H$7:$H$46&lt;&gt;""),--('Year Plan'!$H$7:$H$46&lt;=AX$3+6),--('Year Plan'!$I$7:$I$46&gt;=AX$3)))</f>
        <v/>
      </c>
      <c r="AY18" s="45" t="str">
        <f aca="false">IF($A18="","",SUMPRODUCT(--ISNUMBER(SEARCH(","&amp;SUBSTITUTE($A18," ","")&amp;",",'Year Plan'!$BM$7:$BM$46)),--('Year Plan'!$H$7:$H$46&lt;&gt;""),--('Year Plan'!$H$7:$H$46&lt;=AY$3+6),--('Year Plan'!$I$7:$I$46&gt;=AY$3)))</f>
        <v/>
      </c>
      <c r="AZ18" s="45" t="str">
        <f aca="false">IF($A18="","",SUMPRODUCT(--ISNUMBER(SEARCH(","&amp;SUBSTITUTE($A18," ","")&amp;",",'Year Plan'!$BM$7:$BM$46)),--('Year Plan'!$H$7:$H$46&lt;&gt;""),--('Year Plan'!$H$7:$H$46&lt;=AZ$3+6),--('Year Plan'!$I$7:$I$46&gt;=AZ$3)))</f>
        <v/>
      </c>
      <c r="BA18" s="45" t="str">
        <f aca="false">IF($A18="","",SUMPRODUCT(--ISNUMBER(SEARCH(","&amp;SUBSTITUTE($A18," ","")&amp;",",'Year Plan'!$BM$7:$BM$46)),--('Year Plan'!$H$7:$H$46&lt;&gt;""),--('Year Plan'!$H$7:$H$46&lt;=BA$3+6),--('Year Plan'!$I$7:$I$46&gt;=BA$3)))</f>
        <v/>
      </c>
      <c r="BB18" s="45" t="str">
        <f aca="false">IF($A18="","",SUMPRODUCT(--ISNUMBER(SEARCH(","&amp;SUBSTITUTE($A18," ","")&amp;",",'Year Plan'!$BM$7:$BM$46)),--('Year Plan'!$H$7:$H$46&lt;&gt;""),--('Year Plan'!$H$7:$H$46&lt;=BB$3+6),--('Year Plan'!$I$7:$I$46&gt;=BB$3)))</f>
        <v/>
      </c>
      <c r="BC18" s="45" t="str">
        <f aca="false">IF($A18="","",SUMPRODUCT(--ISNUMBER(SEARCH(","&amp;SUBSTITUTE($A18," ","")&amp;",",'Year Plan'!$BM$7:$BM$46)),--('Year Plan'!$H$7:$H$46&lt;&gt;""),--('Year Plan'!$H$7:$H$46&lt;=BC$3+6),--('Year Plan'!$I$7:$I$46&gt;=BC$3)))</f>
        <v/>
      </c>
    </row>
    <row r="19" customFormat="false" ht="19.5" hidden="false" customHeight="true" outlineLevel="0" collapsed="false">
      <c r="A19" s="39" t="str">
        <f aca="false">IF(Setup!$B$23="","",Setup!$B$23)</f>
        <v/>
      </c>
      <c r="B19" s="39" t="str">
        <f aca="false">IF(Setup!$B$23="","",Setup!$C$23)</f>
        <v/>
      </c>
      <c r="C19" s="44" t="str">
        <f aca="false">IF($A19="","",SUMPRODUCT(--ISNUMBER(SEARCH(","&amp;SUBSTITUTE($A19," ","")&amp;",",'Year Plan'!$BM$7:$BM$46))))</f>
        <v/>
      </c>
      <c r="D19" s="45" t="str">
        <f aca="false">IF($A19="","",SUMPRODUCT(--ISNUMBER(SEARCH(","&amp;SUBSTITUTE($A19," ","")&amp;",",'Year Plan'!$BM$7:$BM$46)),--('Year Plan'!$H$7:$H$46&lt;&gt;""),--('Year Plan'!$H$7:$H$46&lt;=D$3+6),--('Year Plan'!$I$7:$I$46&gt;=D$3)))</f>
        <v/>
      </c>
      <c r="E19" s="45" t="str">
        <f aca="false">IF($A19="","",SUMPRODUCT(--ISNUMBER(SEARCH(","&amp;SUBSTITUTE($A19," ","")&amp;",",'Year Plan'!$BM$7:$BM$46)),--('Year Plan'!$H$7:$H$46&lt;&gt;""),--('Year Plan'!$H$7:$H$46&lt;=E$3+6),--('Year Plan'!$I$7:$I$46&gt;=E$3)))</f>
        <v/>
      </c>
      <c r="F19" s="45" t="str">
        <f aca="false">IF($A19="","",SUMPRODUCT(--ISNUMBER(SEARCH(","&amp;SUBSTITUTE($A19," ","")&amp;",",'Year Plan'!$BM$7:$BM$46)),--('Year Plan'!$H$7:$H$46&lt;&gt;""),--('Year Plan'!$H$7:$H$46&lt;=F$3+6),--('Year Plan'!$I$7:$I$46&gt;=F$3)))</f>
        <v/>
      </c>
      <c r="G19" s="45" t="str">
        <f aca="false">IF($A19="","",SUMPRODUCT(--ISNUMBER(SEARCH(","&amp;SUBSTITUTE($A19," ","")&amp;",",'Year Plan'!$BM$7:$BM$46)),--('Year Plan'!$H$7:$H$46&lt;&gt;""),--('Year Plan'!$H$7:$H$46&lt;=G$3+6),--('Year Plan'!$I$7:$I$46&gt;=G$3)))</f>
        <v/>
      </c>
      <c r="H19" s="45" t="str">
        <f aca="false">IF($A19="","",SUMPRODUCT(--ISNUMBER(SEARCH(","&amp;SUBSTITUTE($A19," ","")&amp;",",'Year Plan'!$BM$7:$BM$46)),--('Year Plan'!$H$7:$H$46&lt;&gt;""),--('Year Plan'!$H$7:$H$46&lt;=H$3+6),--('Year Plan'!$I$7:$I$46&gt;=H$3)))</f>
        <v/>
      </c>
      <c r="I19" s="45" t="str">
        <f aca="false">IF($A19="","",SUMPRODUCT(--ISNUMBER(SEARCH(","&amp;SUBSTITUTE($A19," ","")&amp;",",'Year Plan'!$BM$7:$BM$46)),--('Year Plan'!$H$7:$H$46&lt;&gt;""),--('Year Plan'!$H$7:$H$46&lt;=I$3+6),--('Year Plan'!$I$7:$I$46&gt;=I$3)))</f>
        <v/>
      </c>
      <c r="J19" s="45" t="str">
        <f aca="false">IF($A19="","",SUMPRODUCT(--ISNUMBER(SEARCH(","&amp;SUBSTITUTE($A19," ","")&amp;",",'Year Plan'!$BM$7:$BM$46)),--('Year Plan'!$H$7:$H$46&lt;&gt;""),--('Year Plan'!$H$7:$H$46&lt;=J$3+6),--('Year Plan'!$I$7:$I$46&gt;=J$3)))</f>
        <v/>
      </c>
      <c r="K19" s="45" t="str">
        <f aca="false">IF($A19="","",SUMPRODUCT(--ISNUMBER(SEARCH(","&amp;SUBSTITUTE($A19," ","")&amp;",",'Year Plan'!$BM$7:$BM$46)),--('Year Plan'!$H$7:$H$46&lt;&gt;""),--('Year Plan'!$H$7:$H$46&lt;=K$3+6),--('Year Plan'!$I$7:$I$46&gt;=K$3)))</f>
        <v/>
      </c>
      <c r="L19" s="45" t="str">
        <f aca="false">IF($A19="","",SUMPRODUCT(--ISNUMBER(SEARCH(","&amp;SUBSTITUTE($A19," ","")&amp;",",'Year Plan'!$BM$7:$BM$46)),--('Year Plan'!$H$7:$H$46&lt;&gt;""),--('Year Plan'!$H$7:$H$46&lt;=L$3+6),--('Year Plan'!$I$7:$I$46&gt;=L$3)))</f>
        <v/>
      </c>
      <c r="M19" s="45" t="str">
        <f aca="false">IF($A19="","",SUMPRODUCT(--ISNUMBER(SEARCH(","&amp;SUBSTITUTE($A19," ","")&amp;",",'Year Plan'!$BM$7:$BM$46)),--('Year Plan'!$H$7:$H$46&lt;&gt;""),--('Year Plan'!$H$7:$H$46&lt;=M$3+6),--('Year Plan'!$I$7:$I$46&gt;=M$3)))</f>
        <v/>
      </c>
      <c r="N19" s="45" t="str">
        <f aca="false">IF($A19="","",SUMPRODUCT(--ISNUMBER(SEARCH(","&amp;SUBSTITUTE($A19," ","")&amp;",",'Year Plan'!$BM$7:$BM$46)),--('Year Plan'!$H$7:$H$46&lt;&gt;""),--('Year Plan'!$H$7:$H$46&lt;=N$3+6),--('Year Plan'!$I$7:$I$46&gt;=N$3)))</f>
        <v/>
      </c>
      <c r="O19" s="45" t="str">
        <f aca="false">IF($A19="","",SUMPRODUCT(--ISNUMBER(SEARCH(","&amp;SUBSTITUTE($A19," ","")&amp;",",'Year Plan'!$BM$7:$BM$46)),--('Year Plan'!$H$7:$H$46&lt;&gt;""),--('Year Plan'!$H$7:$H$46&lt;=O$3+6),--('Year Plan'!$I$7:$I$46&gt;=O$3)))</f>
        <v/>
      </c>
      <c r="P19" s="45" t="str">
        <f aca="false">IF($A19="","",SUMPRODUCT(--ISNUMBER(SEARCH(","&amp;SUBSTITUTE($A19," ","")&amp;",",'Year Plan'!$BM$7:$BM$46)),--('Year Plan'!$H$7:$H$46&lt;&gt;""),--('Year Plan'!$H$7:$H$46&lt;=P$3+6),--('Year Plan'!$I$7:$I$46&gt;=P$3)))</f>
        <v/>
      </c>
      <c r="Q19" s="45" t="str">
        <f aca="false">IF($A19="","",SUMPRODUCT(--ISNUMBER(SEARCH(","&amp;SUBSTITUTE($A19," ","")&amp;",",'Year Plan'!$BM$7:$BM$46)),--('Year Plan'!$H$7:$H$46&lt;&gt;""),--('Year Plan'!$H$7:$H$46&lt;=Q$3+6),--('Year Plan'!$I$7:$I$46&gt;=Q$3)))</f>
        <v/>
      </c>
      <c r="R19" s="45" t="str">
        <f aca="false">IF($A19="","",SUMPRODUCT(--ISNUMBER(SEARCH(","&amp;SUBSTITUTE($A19," ","")&amp;",",'Year Plan'!$BM$7:$BM$46)),--('Year Plan'!$H$7:$H$46&lt;&gt;""),--('Year Plan'!$H$7:$H$46&lt;=R$3+6),--('Year Plan'!$I$7:$I$46&gt;=R$3)))</f>
        <v/>
      </c>
      <c r="S19" s="45" t="str">
        <f aca="false">IF($A19="","",SUMPRODUCT(--ISNUMBER(SEARCH(","&amp;SUBSTITUTE($A19," ","")&amp;",",'Year Plan'!$BM$7:$BM$46)),--('Year Plan'!$H$7:$H$46&lt;&gt;""),--('Year Plan'!$H$7:$H$46&lt;=S$3+6),--('Year Plan'!$I$7:$I$46&gt;=S$3)))</f>
        <v/>
      </c>
      <c r="T19" s="45" t="str">
        <f aca="false">IF($A19="","",SUMPRODUCT(--ISNUMBER(SEARCH(","&amp;SUBSTITUTE($A19," ","")&amp;",",'Year Plan'!$BM$7:$BM$46)),--('Year Plan'!$H$7:$H$46&lt;&gt;""),--('Year Plan'!$H$7:$H$46&lt;=T$3+6),--('Year Plan'!$I$7:$I$46&gt;=T$3)))</f>
        <v/>
      </c>
      <c r="U19" s="45" t="str">
        <f aca="false">IF($A19="","",SUMPRODUCT(--ISNUMBER(SEARCH(","&amp;SUBSTITUTE($A19," ","")&amp;",",'Year Plan'!$BM$7:$BM$46)),--('Year Plan'!$H$7:$H$46&lt;&gt;""),--('Year Plan'!$H$7:$H$46&lt;=U$3+6),--('Year Plan'!$I$7:$I$46&gt;=U$3)))</f>
        <v/>
      </c>
      <c r="V19" s="45" t="str">
        <f aca="false">IF($A19="","",SUMPRODUCT(--ISNUMBER(SEARCH(","&amp;SUBSTITUTE($A19," ","")&amp;",",'Year Plan'!$BM$7:$BM$46)),--('Year Plan'!$H$7:$H$46&lt;&gt;""),--('Year Plan'!$H$7:$H$46&lt;=V$3+6),--('Year Plan'!$I$7:$I$46&gt;=V$3)))</f>
        <v/>
      </c>
      <c r="W19" s="45" t="str">
        <f aca="false">IF($A19="","",SUMPRODUCT(--ISNUMBER(SEARCH(","&amp;SUBSTITUTE($A19," ","")&amp;",",'Year Plan'!$BM$7:$BM$46)),--('Year Plan'!$H$7:$H$46&lt;&gt;""),--('Year Plan'!$H$7:$H$46&lt;=W$3+6),--('Year Plan'!$I$7:$I$46&gt;=W$3)))</f>
        <v/>
      </c>
      <c r="X19" s="45" t="str">
        <f aca="false">IF($A19="","",SUMPRODUCT(--ISNUMBER(SEARCH(","&amp;SUBSTITUTE($A19," ","")&amp;",",'Year Plan'!$BM$7:$BM$46)),--('Year Plan'!$H$7:$H$46&lt;&gt;""),--('Year Plan'!$H$7:$H$46&lt;=X$3+6),--('Year Plan'!$I$7:$I$46&gt;=X$3)))</f>
        <v/>
      </c>
      <c r="Y19" s="45" t="str">
        <f aca="false">IF($A19="","",SUMPRODUCT(--ISNUMBER(SEARCH(","&amp;SUBSTITUTE($A19," ","")&amp;",",'Year Plan'!$BM$7:$BM$46)),--('Year Plan'!$H$7:$H$46&lt;&gt;""),--('Year Plan'!$H$7:$H$46&lt;=Y$3+6),--('Year Plan'!$I$7:$I$46&gt;=Y$3)))</f>
        <v/>
      </c>
      <c r="Z19" s="45" t="str">
        <f aca="false">IF($A19="","",SUMPRODUCT(--ISNUMBER(SEARCH(","&amp;SUBSTITUTE($A19," ","")&amp;",",'Year Plan'!$BM$7:$BM$46)),--('Year Plan'!$H$7:$H$46&lt;&gt;""),--('Year Plan'!$H$7:$H$46&lt;=Z$3+6),--('Year Plan'!$I$7:$I$46&gt;=Z$3)))</f>
        <v/>
      </c>
      <c r="AA19" s="45" t="str">
        <f aca="false">IF($A19="","",SUMPRODUCT(--ISNUMBER(SEARCH(","&amp;SUBSTITUTE($A19," ","")&amp;",",'Year Plan'!$BM$7:$BM$46)),--('Year Plan'!$H$7:$H$46&lt;&gt;""),--('Year Plan'!$H$7:$H$46&lt;=AA$3+6),--('Year Plan'!$I$7:$I$46&gt;=AA$3)))</f>
        <v/>
      </c>
      <c r="AB19" s="45" t="str">
        <f aca="false">IF($A19="","",SUMPRODUCT(--ISNUMBER(SEARCH(","&amp;SUBSTITUTE($A19," ","")&amp;",",'Year Plan'!$BM$7:$BM$46)),--('Year Plan'!$H$7:$H$46&lt;&gt;""),--('Year Plan'!$H$7:$H$46&lt;=AB$3+6),--('Year Plan'!$I$7:$I$46&gt;=AB$3)))</f>
        <v/>
      </c>
      <c r="AC19" s="45" t="str">
        <f aca="false">IF($A19="","",SUMPRODUCT(--ISNUMBER(SEARCH(","&amp;SUBSTITUTE($A19," ","")&amp;",",'Year Plan'!$BM$7:$BM$46)),--('Year Plan'!$H$7:$H$46&lt;&gt;""),--('Year Plan'!$H$7:$H$46&lt;=AC$3+6),--('Year Plan'!$I$7:$I$46&gt;=AC$3)))</f>
        <v/>
      </c>
      <c r="AD19" s="45" t="str">
        <f aca="false">IF($A19="","",SUMPRODUCT(--ISNUMBER(SEARCH(","&amp;SUBSTITUTE($A19," ","")&amp;",",'Year Plan'!$BM$7:$BM$46)),--('Year Plan'!$H$7:$H$46&lt;&gt;""),--('Year Plan'!$H$7:$H$46&lt;=AD$3+6),--('Year Plan'!$I$7:$I$46&gt;=AD$3)))</f>
        <v/>
      </c>
      <c r="AE19" s="45" t="str">
        <f aca="false">IF($A19="","",SUMPRODUCT(--ISNUMBER(SEARCH(","&amp;SUBSTITUTE($A19," ","")&amp;",",'Year Plan'!$BM$7:$BM$46)),--('Year Plan'!$H$7:$H$46&lt;&gt;""),--('Year Plan'!$H$7:$H$46&lt;=AE$3+6),--('Year Plan'!$I$7:$I$46&gt;=AE$3)))</f>
        <v/>
      </c>
      <c r="AF19" s="45" t="str">
        <f aca="false">IF($A19="","",SUMPRODUCT(--ISNUMBER(SEARCH(","&amp;SUBSTITUTE($A19," ","")&amp;",",'Year Plan'!$BM$7:$BM$46)),--('Year Plan'!$H$7:$H$46&lt;&gt;""),--('Year Plan'!$H$7:$H$46&lt;=AF$3+6),--('Year Plan'!$I$7:$I$46&gt;=AF$3)))</f>
        <v/>
      </c>
      <c r="AG19" s="45" t="str">
        <f aca="false">IF($A19="","",SUMPRODUCT(--ISNUMBER(SEARCH(","&amp;SUBSTITUTE($A19," ","")&amp;",",'Year Plan'!$BM$7:$BM$46)),--('Year Plan'!$H$7:$H$46&lt;&gt;""),--('Year Plan'!$H$7:$H$46&lt;=AG$3+6),--('Year Plan'!$I$7:$I$46&gt;=AG$3)))</f>
        <v/>
      </c>
      <c r="AH19" s="45" t="str">
        <f aca="false">IF($A19="","",SUMPRODUCT(--ISNUMBER(SEARCH(","&amp;SUBSTITUTE($A19," ","")&amp;",",'Year Plan'!$BM$7:$BM$46)),--('Year Plan'!$H$7:$H$46&lt;&gt;""),--('Year Plan'!$H$7:$H$46&lt;=AH$3+6),--('Year Plan'!$I$7:$I$46&gt;=AH$3)))</f>
        <v/>
      </c>
      <c r="AI19" s="45" t="str">
        <f aca="false">IF($A19="","",SUMPRODUCT(--ISNUMBER(SEARCH(","&amp;SUBSTITUTE($A19," ","")&amp;",",'Year Plan'!$BM$7:$BM$46)),--('Year Plan'!$H$7:$H$46&lt;&gt;""),--('Year Plan'!$H$7:$H$46&lt;=AI$3+6),--('Year Plan'!$I$7:$I$46&gt;=AI$3)))</f>
        <v/>
      </c>
      <c r="AJ19" s="45" t="str">
        <f aca="false">IF($A19="","",SUMPRODUCT(--ISNUMBER(SEARCH(","&amp;SUBSTITUTE($A19," ","")&amp;",",'Year Plan'!$BM$7:$BM$46)),--('Year Plan'!$H$7:$H$46&lt;&gt;""),--('Year Plan'!$H$7:$H$46&lt;=AJ$3+6),--('Year Plan'!$I$7:$I$46&gt;=AJ$3)))</f>
        <v/>
      </c>
      <c r="AK19" s="45" t="str">
        <f aca="false">IF($A19="","",SUMPRODUCT(--ISNUMBER(SEARCH(","&amp;SUBSTITUTE($A19," ","")&amp;",",'Year Plan'!$BM$7:$BM$46)),--('Year Plan'!$H$7:$H$46&lt;&gt;""),--('Year Plan'!$H$7:$H$46&lt;=AK$3+6),--('Year Plan'!$I$7:$I$46&gt;=AK$3)))</f>
        <v/>
      </c>
      <c r="AL19" s="45" t="str">
        <f aca="false">IF($A19="","",SUMPRODUCT(--ISNUMBER(SEARCH(","&amp;SUBSTITUTE($A19," ","")&amp;",",'Year Plan'!$BM$7:$BM$46)),--('Year Plan'!$H$7:$H$46&lt;&gt;""),--('Year Plan'!$H$7:$H$46&lt;=AL$3+6),--('Year Plan'!$I$7:$I$46&gt;=AL$3)))</f>
        <v/>
      </c>
      <c r="AM19" s="45" t="str">
        <f aca="false">IF($A19="","",SUMPRODUCT(--ISNUMBER(SEARCH(","&amp;SUBSTITUTE($A19," ","")&amp;",",'Year Plan'!$BM$7:$BM$46)),--('Year Plan'!$H$7:$H$46&lt;&gt;""),--('Year Plan'!$H$7:$H$46&lt;=AM$3+6),--('Year Plan'!$I$7:$I$46&gt;=AM$3)))</f>
        <v/>
      </c>
      <c r="AN19" s="45" t="str">
        <f aca="false">IF($A19="","",SUMPRODUCT(--ISNUMBER(SEARCH(","&amp;SUBSTITUTE($A19," ","")&amp;",",'Year Plan'!$BM$7:$BM$46)),--('Year Plan'!$H$7:$H$46&lt;&gt;""),--('Year Plan'!$H$7:$H$46&lt;=AN$3+6),--('Year Plan'!$I$7:$I$46&gt;=AN$3)))</f>
        <v/>
      </c>
      <c r="AO19" s="45" t="str">
        <f aca="false">IF($A19="","",SUMPRODUCT(--ISNUMBER(SEARCH(","&amp;SUBSTITUTE($A19," ","")&amp;",",'Year Plan'!$BM$7:$BM$46)),--('Year Plan'!$H$7:$H$46&lt;&gt;""),--('Year Plan'!$H$7:$H$46&lt;=AO$3+6),--('Year Plan'!$I$7:$I$46&gt;=AO$3)))</f>
        <v/>
      </c>
      <c r="AP19" s="45" t="str">
        <f aca="false">IF($A19="","",SUMPRODUCT(--ISNUMBER(SEARCH(","&amp;SUBSTITUTE($A19," ","")&amp;",",'Year Plan'!$BM$7:$BM$46)),--('Year Plan'!$H$7:$H$46&lt;&gt;""),--('Year Plan'!$H$7:$H$46&lt;=AP$3+6),--('Year Plan'!$I$7:$I$46&gt;=AP$3)))</f>
        <v/>
      </c>
      <c r="AQ19" s="45" t="str">
        <f aca="false">IF($A19="","",SUMPRODUCT(--ISNUMBER(SEARCH(","&amp;SUBSTITUTE($A19," ","")&amp;",",'Year Plan'!$BM$7:$BM$46)),--('Year Plan'!$H$7:$H$46&lt;&gt;""),--('Year Plan'!$H$7:$H$46&lt;=AQ$3+6),--('Year Plan'!$I$7:$I$46&gt;=AQ$3)))</f>
        <v/>
      </c>
      <c r="AR19" s="45" t="str">
        <f aca="false">IF($A19="","",SUMPRODUCT(--ISNUMBER(SEARCH(","&amp;SUBSTITUTE($A19," ","")&amp;",",'Year Plan'!$BM$7:$BM$46)),--('Year Plan'!$H$7:$H$46&lt;&gt;""),--('Year Plan'!$H$7:$H$46&lt;=AR$3+6),--('Year Plan'!$I$7:$I$46&gt;=AR$3)))</f>
        <v/>
      </c>
      <c r="AS19" s="45" t="str">
        <f aca="false">IF($A19="","",SUMPRODUCT(--ISNUMBER(SEARCH(","&amp;SUBSTITUTE($A19," ","")&amp;",",'Year Plan'!$BM$7:$BM$46)),--('Year Plan'!$H$7:$H$46&lt;&gt;""),--('Year Plan'!$H$7:$H$46&lt;=AS$3+6),--('Year Plan'!$I$7:$I$46&gt;=AS$3)))</f>
        <v/>
      </c>
      <c r="AT19" s="45" t="str">
        <f aca="false">IF($A19="","",SUMPRODUCT(--ISNUMBER(SEARCH(","&amp;SUBSTITUTE($A19," ","")&amp;",",'Year Plan'!$BM$7:$BM$46)),--('Year Plan'!$H$7:$H$46&lt;&gt;""),--('Year Plan'!$H$7:$H$46&lt;=AT$3+6),--('Year Plan'!$I$7:$I$46&gt;=AT$3)))</f>
        <v/>
      </c>
      <c r="AU19" s="45" t="str">
        <f aca="false">IF($A19="","",SUMPRODUCT(--ISNUMBER(SEARCH(","&amp;SUBSTITUTE($A19," ","")&amp;",",'Year Plan'!$BM$7:$BM$46)),--('Year Plan'!$H$7:$H$46&lt;&gt;""),--('Year Plan'!$H$7:$H$46&lt;=AU$3+6),--('Year Plan'!$I$7:$I$46&gt;=AU$3)))</f>
        <v/>
      </c>
      <c r="AV19" s="45" t="str">
        <f aca="false">IF($A19="","",SUMPRODUCT(--ISNUMBER(SEARCH(","&amp;SUBSTITUTE($A19," ","")&amp;",",'Year Plan'!$BM$7:$BM$46)),--('Year Plan'!$H$7:$H$46&lt;&gt;""),--('Year Plan'!$H$7:$H$46&lt;=AV$3+6),--('Year Plan'!$I$7:$I$46&gt;=AV$3)))</f>
        <v/>
      </c>
      <c r="AW19" s="45" t="str">
        <f aca="false">IF($A19="","",SUMPRODUCT(--ISNUMBER(SEARCH(","&amp;SUBSTITUTE($A19," ","")&amp;",",'Year Plan'!$BM$7:$BM$46)),--('Year Plan'!$H$7:$H$46&lt;&gt;""),--('Year Plan'!$H$7:$H$46&lt;=AW$3+6),--('Year Plan'!$I$7:$I$46&gt;=AW$3)))</f>
        <v/>
      </c>
      <c r="AX19" s="45" t="str">
        <f aca="false">IF($A19="","",SUMPRODUCT(--ISNUMBER(SEARCH(","&amp;SUBSTITUTE($A19," ","")&amp;",",'Year Plan'!$BM$7:$BM$46)),--('Year Plan'!$H$7:$H$46&lt;&gt;""),--('Year Plan'!$H$7:$H$46&lt;=AX$3+6),--('Year Plan'!$I$7:$I$46&gt;=AX$3)))</f>
        <v/>
      </c>
      <c r="AY19" s="45" t="str">
        <f aca="false">IF($A19="","",SUMPRODUCT(--ISNUMBER(SEARCH(","&amp;SUBSTITUTE($A19," ","")&amp;",",'Year Plan'!$BM$7:$BM$46)),--('Year Plan'!$H$7:$H$46&lt;&gt;""),--('Year Plan'!$H$7:$H$46&lt;=AY$3+6),--('Year Plan'!$I$7:$I$46&gt;=AY$3)))</f>
        <v/>
      </c>
      <c r="AZ19" s="45" t="str">
        <f aca="false">IF($A19="","",SUMPRODUCT(--ISNUMBER(SEARCH(","&amp;SUBSTITUTE($A19," ","")&amp;",",'Year Plan'!$BM$7:$BM$46)),--('Year Plan'!$H$7:$H$46&lt;&gt;""),--('Year Plan'!$H$7:$H$46&lt;=AZ$3+6),--('Year Plan'!$I$7:$I$46&gt;=AZ$3)))</f>
        <v/>
      </c>
      <c r="BA19" s="45" t="str">
        <f aca="false">IF($A19="","",SUMPRODUCT(--ISNUMBER(SEARCH(","&amp;SUBSTITUTE($A19," ","")&amp;",",'Year Plan'!$BM$7:$BM$46)),--('Year Plan'!$H$7:$H$46&lt;&gt;""),--('Year Plan'!$H$7:$H$46&lt;=BA$3+6),--('Year Plan'!$I$7:$I$46&gt;=BA$3)))</f>
        <v/>
      </c>
      <c r="BB19" s="45" t="str">
        <f aca="false">IF($A19="","",SUMPRODUCT(--ISNUMBER(SEARCH(","&amp;SUBSTITUTE($A19," ","")&amp;",",'Year Plan'!$BM$7:$BM$46)),--('Year Plan'!$H$7:$H$46&lt;&gt;""),--('Year Plan'!$H$7:$H$46&lt;=BB$3+6),--('Year Plan'!$I$7:$I$46&gt;=BB$3)))</f>
        <v/>
      </c>
      <c r="BC19" s="45" t="str">
        <f aca="false">IF($A19="","",SUMPRODUCT(--ISNUMBER(SEARCH(","&amp;SUBSTITUTE($A19," ","")&amp;",",'Year Plan'!$BM$7:$BM$46)),--('Year Plan'!$H$7:$H$46&lt;&gt;""),--('Year Plan'!$H$7:$H$46&lt;=BC$3+6),--('Year Plan'!$I$7:$I$46&gt;=BC$3)))</f>
        <v/>
      </c>
    </row>
    <row r="20" customFormat="false" ht="19.5" hidden="false" customHeight="true" outlineLevel="0" collapsed="false">
      <c r="A20" s="39" t="str">
        <f aca="false">IF(Setup!$B$24="","",Setup!$B$24)</f>
        <v/>
      </c>
      <c r="B20" s="39" t="str">
        <f aca="false">IF(Setup!$B$24="","",Setup!$C$24)</f>
        <v/>
      </c>
      <c r="C20" s="44" t="str">
        <f aca="false">IF($A20="","",SUMPRODUCT(--ISNUMBER(SEARCH(","&amp;SUBSTITUTE($A20," ","")&amp;",",'Year Plan'!$BM$7:$BM$46))))</f>
        <v/>
      </c>
      <c r="D20" s="45" t="str">
        <f aca="false">IF($A20="","",SUMPRODUCT(--ISNUMBER(SEARCH(","&amp;SUBSTITUTE($A20," ","")&amp;",",'Year Plan'!$BM$7:$BM$46)),--('Year Plan'!$H$7:$H$46&lt;&gt;""),--('Year Plan'!$H$7:$H$46&lt;=D$3+6),--('Year Plan'!$I$7:$I$46&gt;=D$3)))</f>
        <v/>
      </c>
      <c r="E20" s="45" t="str">
        <f aca="false">IF($A20="","",SUMPRODUCT(--ISNUMBER(SEARCH(","&amp;SUBSTITUTE($A20," ","")&amp;",",'Year Plan'!$BM$7:$BM$46)),--('Year Plan'!$H$7:$H$46&lt;&gt;""),--('Year Plan'!$H$7:$H$46&lt;=E$3+6),--('Year Plan'!$I$7:$I$46&gt;=E$3)))</f>
        <v/>
      </c>
      <c r="F20" s="45" t="str">
        <f aca="false">IF($A20="","",SUMPRODUCT(--ISNUMBER(SEARCH(","&amp;SUBSTITUTE($A20," ","")&amp;",",'Year Plan'!$BM$7:$BM$46)),--('Year Plan'!$H$7:$H$46&lt;&gt;""),--('Year Plan'!$H$7:$H$46&lt;=F$3+6),--('Year Plan'!$I$7:$I$46&gt;=F$3)))</f>
        <v/>
      </c>
      <c r="G20" s="45" t="str">
        <f aca="false">IF($A20="","",SUMPRODUCT(--ISNUMBER(SEARCH(","&amp;SUBSTITUTE($A20," ","")&amp;",",'Year Plan'!$BM$7:$BM$46)),--('Year Plan'!$H$7:$H$46&lt;&gt;""),--('Year Plan'!$H$7:$H$46&lt;=G$3+6),--('Year Plan'!$I$7:$I$46&gt;=G$3)))</f>
        <v/>
      </c>
      <c r="H20" s="45" t="str">
        <f aca="false">IF($A20="","",SUMPRODUCT(--ISNUMBER(SEARCH(","&amp;SUBSTITUTE($A20," ","")&amp;",",'Year Plan'!$BM$7:$BM$46)),--('Year Plan'!$H$7:$H$46&lt;&gt;""),--('Year Plan'!$H$7:$H$46&lt;=H$3+6),--('Year Plan'!$I$7:$I$46&gt;=H$3)))</f>
        <v/>
      </c>
      <c r="I20" s="45" t="str">
        <f aca="false">IF($A20="","",SUMPRODUCT(--ISNUMBER(SEARCH(","&amp;SUBSTITUTE($A20," ","")&amp;",",'Year Plan'!$BM$7:$BM$46)),--('Year Plan'!$H$7:$H$46&lt;&gt;""),--('Year Plan'!$H$7:$H$46&lt;=I$3+6),--('Year Plan'!$I$7:$I$46&gt;=I$3)))</f>
        <v/>
      </c>
      <c r="J20" s="45" t="str">
        <f aca="false">IF($A20="","",SUMPRODUCT(--ISNUMBER(SEARCH(","&amp;SUBSTITUTE($A20," ","")&amp;",",'Year Plan'!$BM$7:$BM$46)),--('Year Plan'!$H$7:$H$46&lt;&gt;""),--('Year Plan'!$H$7:$H$46&lt;=J$3+6),--('Year Plan'!$I$7:$I$46&gt;=J$3)))</f>
        <v/>
      </c>
      <c r="K20" s="45" t="str">
        <f aca="false">IF($A20="","",SUMPRODUCT(--ISNUMBER(SEARCH(","&amp;SUBSTITUTE($A20," ","")&amp;",",'Year Plan'!$BM$7:$BM$46)),--('Year Plan'!$H$7:$H$46&lt;&gt;""),--('Year Plan'!$H$7:$H$46&lt;=K$3+6),--('Year Plan'!$I$7:$I$46&gt;=K$3)))</f>
        <v/>
      </c>
      <c r="L20" s="45" t="str">
        <f aca="false">IF($A20="","",SUMPRODUCT(--ISNUMBER(SEARCH(","&amp;SUBSTITUTE($A20," ","")&amp;",",'Year Plan'!$BM$7:$BM$46)),--('Year Plan'!$H$7:$H$46&lt;&gt;""),--('Year Plan'!$H$7:$H$46&lt;=L$3+6),--('Year Plan'!$I$7:$I$46&gt;=L$3)))</f>
        <v/>
      </c>
      <c r="M20" s="45" t="str">
        <f aca="false">IF($A20="","",SUMPRODUCT(--ISNUMBER(SEARCH(","&amp;SUBSTITUTE($A20," ","")&amp;",",'Year Plan'!$BM$7:$BM$46)),--('Year Plan'!$H$7:$H$46&lt;&gt;""),--('Year Plan'!$H$7:$H$46&lt;=M$3+6),--('Year Plan'!$I$7:$I$46&gt;=M$3)))</f>
        <v/>
      </c>
      <c r="N20" s="45" t="str">
        <f aca="false">IF($A20="","",SUMPRODUCT(--ISNUMBER(SEARCH(","&amp;SUBSTITUTE($A20," ","")&amp;",",'Year Plan'!$BM$7:$BM$46)),--('Year Plan'!$H$7:$H$46&lt;&gt;""),--('Year Plan'!$H$7:$H$46&lt;=N$3+6),--('Year Plan'!$I$7:$I$46&gt;=N$3)))</f>
        <v/>
      </c>
      <c r="O20" s="45" t="str">
        <f aca="false">IF($A20="","",SUMPRODUCT(--ISNUMBER(SEARCH(","&amp;SUBSTITUTE($A20," ","")&amp;",",'Year Plan'!$BM$7:$BM$46)),--('Year Plan'!$H$7:$H$46&lt;&gt;""),--('Year Plan'!$H$7:$H$46&lt;=O$3+6),--('Year Plan'!$I$7:$I$46&gt;=O$3)))</f>
        <v/>
      </c>
      <c r="P20" s="45" t="str">
        <f aca="false">IF($A20="","",SUMPRODUCT(--ISNUMBER(SEARCH(","&amp;SUBSTITUTE($A20," ","")&amp;",",'Year Plan'!$BM$7:$BM$46)),--('Year Plan'!$H$7:$H$46&lt;&gt;""),--('Year Plan'!$H$7:$H$46&lt;=P$3+6),--('Year Plan'!$I$7:$I$46&gt;=P$3)))</f>
        <v/>
      </c>
      <c r="Q20" s="45" t="str">
        <f aca="false">IF($A20="","",SUMPRODUCT(--ISNUMBER(SEARCH(","&amp;SUBSTITUTE($A20," ","")&amp;",",'Year Plan'!$BM$7:$BM$46)),--('Year Plan'!$H$7:$H$46&lt;&gt;""),--('Year Plan'!$H$7:$H$46&lt;=Q$3+6),--('Year Plan'!$I$7:$I$46&gt;=Q$3)))</f>
        <v/>
      </c>
      <c r="R20" s="45" t="str">
        <f aca="false">IF($A20="","",SUMPRODUCT(--ISNUMBER(SEARCH(","&amp;SUBSTITUTE($A20," ","")&amp;",",'Year Plan'!$BM$7:$BM$46)),--('Year Plan'!$H$7:$H$46&lt;&gt;""),--('Year Plan'!$H$7:$H$46&lt;=R$3+6),--('Year Plan'!$I$7:$I$46&gt;=R$3)))</f>
        <v/>
      </c>
      <c r="S20" s="45" t="str">
        <f aca="false">IF($A20="","",SUMPRODUCT(--ISNUMBER(SEARCH(","&amp;SUBSTITUTE($A20," ","")&amp;",",'Year Plan'!$BM$7:$BM$46)),--('Year Plan'!$H$7:$H$46&lt;&gt;""),--('Year Plan'!$H$7:$H$46&lt;=S$3+6),--('Year Plan'!$I$7:$I$46&gt;=S$3)))</f>
        <v/>
      </c>
      <c r="T20" s="45" t="str">
        <f aca="false">IF($A20="","",SUMPRODUCT(--ISNUMBER(SEARCH(","&amp;SUBSTITUTE($A20," ","")&amp;",",'Year Plan'!$BM$7:$BM$46)),--('Year Plan'!$H$7:$H$46&lt;&gt;""),--('Year Plan'!$H$7:$H$46&lt;=T$3+6),--('Year Plan'!$I$7:$I$46&gt;=T$3)))</f>
        <v/>
      </c>
      <c r="U20" s="45" t="str">
        <f aca="false">IF($A20="","",SUMPRODUCT(--ISNUMBER(SEARCH(","&amp;SUBSTITUTE($A20," ","")&amp;",",'Year Plan'!$BM$7:$BM$46)),--('Year Plan'!$H$7:$H$46&lt;&gt;""),--('Year Plan'!$H$7:$H$46&lt;=U$3+6),--('Year Plan'!$I$7:$I$46&gt;=U$3)))</f>
        <v/>
      </c>
      <c r="V20" s="45" t="str">
        <f aca="false">IF($A20="","",SUMPRODUCT(--ISNUMBER(SEARCH(","&amp;SUBSTITUTE($A20," ","")&amp;",",'Year Plan'!$BM$7:$BM$46)),--('Year Plan'!$H$7:$H$46&lt;&gt;""),--('Year Plan'!$H$7:$H$46&lt;=V$3+6),--('Year Plan'!$I$7:$I$46&gt;=V$3)))</f>
        <v/>
      </c>
      <c r="W20" s="45" t="str">
        <f aca="false">IF($A20="","",SUMPRODUCT(--ISNUMBER(SEARCH(","&amp;SUBSTITUTE($A20," ","")&amp;",",'Year Plan'!$BM$7:$BM$46)),--('Year Plan'!$H$7:$H$46&lt;&gt;""),--('Year Plan'!$H$7:$H$46&lt;=W$3+6),--('Year Plan'!$I$7:$I$46&gt;=W$3)))</f>
        <v/>
      </c>
      <c r="X20" s="45" t="str">
        <f aca="false">IF($A20="","",SUMPRODUCT(--ISNUMBER(SEARCH(","&amp;SUBSTITUTE($A20," ","")&amp;",",'Year Plan'!$BM$7:$BM$46)),--('Year Plan'!$H$7:$H$46&lt;&gt;""),--('Year Plan'!$H$7:$H$46&lt;=X$3+6),--('Year Plan'!$I$7:$I$46&gt;=X$3)))</f>
        <v/>
      </c>
      <c r="Y20" s="45" t="str">
        <f aca="false">IF($A20="","",SUMPRODUCT(--ISNUMBER(SEARCH(","&amp;SUBSTITUTE($A20," ","")&amp;",",'Year Plan'!$BM$7:$BM$46)),--('Year Plan'!$H$7:$H$46&lt;&gt;""),--('Year Plan'!$H$7:$H$46&lt;=Y$3+6),--('Year Plan'!$I$7:$I$46&gt;=Y$3)))</f>
        <v/>
      </c>
      <c r="Z20" s="45" t="str">
        <f aca="false">IF($A20="","",SUMPRODUCT(--ISNUMBER(SEARCH(","&amp;SUBSTITUTE($A20," ","")&amp;",",'Year Plan'!$BM$7:$BM$46)),--('Year Plan'!$H$7:$H$46&lt;&gt;""),--('Year Plan'!$H$7:$H$46&lt;=Z$3+6),--('Year Plan'!$I$7:$I$46&gt;=Z$3)))</f>
        <v/>
      </c>
      <c r="AA20" s="45" t="str">
        <f aca="false">IF($A20="","",SUMPRODUCT(--ISNUMBER(SEARCH(","&amp;SUBSTITUTE($A20," ","")&amp;",",'Year Plan'!$BM$7:$BM$46)),--('Year Plan'!$H$7:$H$46&lt;&gt;""),--('Year Plan'!$H$7:$H$46&lt;=AA$3+6),--('Year Plan'!$I$7:$I$46&gt;=AA$3)))</f>
        <v/>
      </c>
      <c r="AB20" s="45" t="str">
        <f aca="false">IF($A20="","",SUMPRODUCT(--ISNUMBER(SEARCH(","&amp;SUBSTITUTE($A20," ","")&amp;",",'Year Plan'!$BM$7:$BM$46)),--('Year Plan'!$H$7:$H$46&lt;&gt;""),--('Year Plan'!$H$7:$H$46&lt;=AB$3+6),--('Year Plan'!$I$7:$I$46&gt;=AB$3)))</f>
        <v/>
      </c>
      <c r="AC20" s="45" t="str">
        <f aca="false">IF($A20="","",SUMPRODUCT(--ISNUMBER(SEARCH(","&amp;SUBSTITUTE($A20," ","")&amp;",",'Year Plan'!$BM$7:$BM$46)),--('Year Plan'!$H$7:$H$46&lt;&gt;""),--('Year Plan'!$H$7:$H$46&lt;=AC$3+6),--('Year Plan'!$I$7:$I$46&gt;=AC$3)))</f>
        <v/>
      </c>
      <c r="AD20" s="45" t="str">
        <f aca="false">IF($A20="","",SUMPRODUCT(--ISNUMBER(SEARCH(","&amp;SUBSTITUTE($A20," ","")&amp;",",'Year Plan'!$BM$7:$BM$46)),--('Year Plan'!$H$7:$H$46&lt;&gt;""),--('Year Plan'!$H$7:$H$46&lt;=AD$3+6),--('Year Plan'!$I$7:$I$46&gt;=AD$3)))</f>
        <v/>
      </c>
      <c r="AE20" s="45" t="str">
        <f aca="false">IF($A20="","",SUMPRODUCT(--ISNUMBER(SEARCH(","&amp;SUBSTITUTE($A20," ","")&amp;",",'Year Plan'!$BM$7:$BM$46)),--('Year Plan'!$H$7:$H$46&lt;&gt;""),--('Year Plan'!$H$7:$H$46&lt;=AE$3+6),--('Year Plan'!$I$7:$I$46&gt;=AE$3)))</f>
        <v/>
      </c>
      <c r="AF20" s="45" t="str">
        <f aca="false">IF($A20="","",SUMPRODUCT(--ISNUMBER(SEARCH(","&amp;SUBSTITUTE($A20," ","")&amp;",",'Year Plan'!$BM$7:$BM$46)),--('Year Plan'!$H$7:$H$46&lt;&gt;""),--('Year Plan'!$H$7:$H$46&lt;=AF$3+6),--('Year Plan'!$I$7:$I$46&gt;=AF$3)))</f>
        <v/>
      </c>
      <c r="AG20" s="45" t="str">
        <f aca="false">IF($A20="","",SUMPRODUCT(--ISNUMBER(SEARCH(","&amp;SUBSTITUTE($A20," ","")&amp;",",'Year Plan'!$BM$7:$BM$46)),--('Year Plan'!$H$7:$H$46&lt;&gt;""),--('Year Plan'!$H$7:$H$46&lt;=AG$3+6),--('Year Plan'!$I$7:$I$46&gt;=AG$3)))</f>
        <v/>
      </c>
      <c r="AH20" s="45" t="str">
        <f aca="false">IF($A20="","",SUMPRODUCT(--ISNUMBER(SEARCH(","&amp;SUBSTITUTE($A20," ","")&amp;",",'Year Plan'!$BM$7:$BM$46)),--('Year Plan'!$H$7:$H$46&lt;&gt;""),--('Year Plan'!$H$7:$H$46&lt;=AH$3+6),--('Year Plan'!$I$7:$I$46&gt;=AH$3)))</f>
        <v/>
      </c>
      <c r="AI20" s="45" t="str">
        <f aca="false">IF($A20="","",SUMPRODUCT(--ISNUMBER(SEARCH(","&amp;SUBSTITUTE($A20," ","")&amp;",",'Year Plan'!$BM$7:$BM$46)),--('Year Plan'!$H$7:$H$46&lt;&gt;""),--('Year Plan'!$H$7:$H$46&lt;=AI$3+6),--('Year Plan'!$I$7:$I$46&gt;=AI$3)))</f>
        <v/>
      </c>
      <c r="AJ20" s="45" t="str">
        <f aca="false">IF($A20="","",SUMPRODUCT(--ISNUMBER(SEARCH(","&amp;SUBSTITUTE($A20," ","")&amp;",",'Year Plan'!$BM$7:$BM$46)),--('Year Plan'!$H$7:$H$46&lt;&gt;""),--('Year Plan'!$H$7:$H$46&lt;=AJ$3+6),--('Year Plan'!$I$7:$I$46&gt;=AJ$3)))</f>
        <v/>
      </c>
      <c r="AK20" s="45" t="str">
        <f aca="false">IF($A20="","",SUMPRODUCT(--ISNUMBER(SEARCH(","&amp;SUBSTITUTE($A20," ","")&amp;",",'Year Plan'!$BM$7:$BM$46)),--('Year Plan'!$H$7:$H$46&lt;&gt;""),--('Year Plan'!$H$7:$H$46&lt;=AK$3+6),--('Year Plan'!$I$7:$I$46&gt;=AK$3)))</f>
        <v/>
      </c>
      <c r="AL20" s="45" t="str">
        <f aca="false">IF($A20="","",SUMPRODUCT(--ISNUMBER(SEARCH(","&amp;SUBSTITUTE($A20," ","")&amp;",",'Year Plan'!$BM$7:$BM$46)),--('Year Plan'!$H$7:$H$46&lt;&gt;""),--('Year Plan'!$H$7:$H$46&lt;=AL$3+6),--('Year Plan'!$I$7:$I$46&gt;=AL$3)))</f>
        <v/>
      </c>
      <c r="AM20" s="45" t="str">
        <f aca="false">IF($A20="","",SUMPRODUCT(--ISNUMBER(SEARCH(","&amp;SUBSTITUTE($A20," ","")&amp;",",'Year Plan'!$BM$7:$BM$46)),--('Year Plan'!$H$7:$H$46&lt;&gt;""),--('Year Plan'!$H$7:$H$46&lt;=AM$3+6),--('Year Plan'!$I$7:$I$46&gt;=AM$3)))</f>
        <v/>
      </c>
      <c r="AN20" s="45" t="str">
        <f aca="false">IF($A20="","",SUMPRODUCT(--ISNUMBER(SEARCH(","&amp;SUBSTITUTE($A20," ","")&amp;",",'Year Plan'!$BM$7:$BM$46)),--('Year Plan'!$H$7:$H$46&lt;&gt;""),--('Year Plan'!$H$7:$H$46&lt;=AN$3+6),--('Year Plan'!$I$7:$I$46&gt;=AN$3)))</f>
        <v/>
      </c>
      <c r="AO20" s="45" t="str">
        <f aca="false">IF($A20="","",SUMPRODUCT(--ISNUMBER(SEARCH(","&amp;SUBSTITUTE($A20," ","")&amp;",",'Year Plan'!$BM$7:$BM$46)),--('Year Plan'!$H$7:$H$46&lt;&gt;""),--('Year Plan'!$H$7:$H$46&lt;=AO$3+6),--('Year Plan'!$I$7:$I$46&gt;=AO$3)))</f>
        <v/>
      </c>
      <c r="AP20" s="45" t="str">
        <f aca="false">IF($A20="","",SUMPRODUCT(--ISNUMBER(SEARCH(","&amp;SUBSTITUTE($A20," ","")&amp;",",'Year Plan'!$BM$7:$BM$46)),--('Year Plan'!$H$7:$H$46&lt;&gt;""),--('Year Plan'!$H$7:$H$46&lt;=AP$3+6),--('Year Plan'!$I$7:$I$46&gt;=AP$3)))</f>
        <v/>
      </c>
      <c r="AQ20" s="45" t="str">
        <f aca="false">IF($A20="","",SUMPRODUCT(--ISNUMBER(SEARCH(","&amp;SUBSTITUTE($A20," ","")&amp;",",'Year Plan'!$BM$7:$BM$46)),--('Year Plan'!$H$7:$H$46&lt;&gt;""),--('Year Plan'!$H$7:$H$46&lt;=AQ$3+6),--('Year Plan'!$I$7:$I$46&gt;=AQ$3)))</f>
        <v/>
      </c>
      <c r="AR20" s="45" t="str">
        <f aca="false">IF($A20="","",SUMPRODUCT(--ISNUMBER(SEARCH(","&amp;SUBSTITUTE($A20," ","")&amp;",",'Year Plan'!$BM$7:$BM$46)),--('Year Plan'!$H$7:$H$46&lt;&gt;""),--('Year Plan'!$H$7:$H$46&lt;=AR$3+6),--('Year Plan'!$I$7:$I$46&gt;=AR$3)))</f>
        <v/>
      </c>
      <c r="AS20" s="45" t="str">
        <f aca="false">IF($A20="","",SUMPRODUCT(--ISNUMBER(SEARCH(","&amp;SUBSTITUTE($A20," ","")&amp;",",'Year Plan'!$BM$7:$BM$46)),--('Year Plan'!$H$7:$H$46&lt;&gt;""),--('Year Plan'!$H$7:$H$46&lt;=AS$3+6),--('Year Plan'!$I$7:$I$46&gt;=AS$3)))</f>
        <v/>
      </c>
      <c r="AT20" s="45" t="str">
        <f aca="false">IF($A20="","",SUMPRODUCT(--ISNUMBER(SEARCH(","&amp;SUBSTITUTE($A20," ","")&amp;",",'Year Plan'!$BM$7:$BM$46)),--('Year Plan'!$H$7:$H$46&lt;&gt;""),--('Year Plan'!$H$7:$H$46&lt;=AT$3+6),--('Year Plan'!$I$7:$I$46&gt;=AT$3)))</f>
        <v/>
      </c>
      <c r="AU20" s="45" t="str">
        <f aca="false">IF($A20="","",SUMPRODUCT(--ISNUMBER(SEARCH(","&amp;SUBSTITUTE($A20," ","")&amp;",",'Year Plan'!$BM$7:$BM$46)),--('Year Plan'!$H$7:$H$46&lt;&gt;""),--('Year Plan'!$H$7:$H$46&lt;=AU$3+6),--('Year Plan'!$I$7:$I$46&gt;=AU$3)))</f>
        <v/>
      </c>
      <c r="AV20" s="45" t="str">
        <f aca="false">IF($A20="","",SUMPRODUCT(--ISNUMBER(SEARCH(","&amp;SUBSTITUTE($A20," ","")&amp;",",'Year Plan'!$BM$7:$BM$46)),--('Year Plan'!$H$7:$H$46&lt;&gt;""),--('Year Plan'!$H$7:$H$46&lt;=AV$3+6),--('Year Plan'!$I$7:$I$46&gt;=AV$3)))</f>
        <v/>
      </c>
      <c r="AW20" s="45" t="str">
        <f aca="false">IF($A20="","",SUMPRODUCT(--ISNUMBER(SEARCH(","&amp;SUBSTITUTE($A20," ","")&amp;",",'Year Plan'!$BM$7:$BM$46)),--('Year Plan'!$H$7:$H$46&lt;&gt;""),--('Year Plan'!$H$7:$H$46&lt;=AW$3+6),--('Year Plan'!$I$7:$I$46&gt;=AW$3)))</f>
        <v/>
      </c>
      <c r="AX20" s="45" t="str">
        <f aca="false">IF($A20="","",SUMPRODUCT(--ISNUMBER(SEARCH(","&amp;SUBSTITUTE($A20," ","")&amp;",",'Year Plan'!$BM$7:$BM$46)),--('Year Plan'!$H$7:$H$46&lt;&gt;""),--('Year Plan'!$H$7:$H$46&lt;=AX$3+6),--('Year Plan'!$I$7:$I$46&gt;=AX$3)))</f>
        <v/>
      </c>
      <c r="AY20" s="45" t="str">
        <f aca="false">IF($A20="","",SUMPRODUCT(--ISNUMBER(SEARCH(","&amp;SUBSTITUTE($A20," ","")&amp;",",'Year Plan'!$BM$7:$BM$46)),--('Year Plan'!$H$7:$H$46&lt;&gt;""),--('Year Plan'!$H$7:$H$46&lt;=AY$3+6),--('Year Plan'!$I$7:$I$46&gt;=AY$3)))</f>
        <v/>
      </c>
      <c r="AZ20" s="45" t="str">
        <f aca="false">IF($A20="","",SUMPRODUCT(--ISNUMBER(SEARCH(","&amp;SUBSTITUTE($A20," ","")&amp;",",'Year Plan'!$BM$7:$BM$46)),--('Year Plan'!$H$7:$H$46&lt;&gt;""),--('Year Plan'!$H$7:$H$46&lt;=AZ$3+6),--('Year Plan'!$I$7:$I$46&gt;=AZ$3)))</f>
        <v/>
      </c>
      <c r="BA20" s="45" t="str">
        <f aca="false">IF($A20="","",SUMPRODUCT(--ISNUMBER(SEARCH(","&amp;SUBSTITUTE($A20," ","")&amp;",",'Year Plan'!$BM$7:$BM$46)),--('Year Plan'!$H$7:$H$46&lt;&gt;""),--('Year Plan'!$H$7:$H$46&lt;=BA$3+6),--('Year Plan'!$I$7:$I$46&gt;=BA$3)))</f>
        <v/>
      </c>
      <c r="BB20" s="45" t="str">
        <f aca="false">IF($A20="","",SUMPRODUCT(--ISNUMBER(SEARCH(","&amp;SUBSTITUTE($A20," ","")&amp;",",'Year Plan'!$BM$7:$BM$46)),--('Year Plan'!$H$7:$H$46&lt;&gt;""),--('Year Plan'!$H$7:$H$46&lt;=BB$3+6),--('Year Plan'!$I$7:$I$46&gt;=BB$3)))</f>
        <v/>
      </c>
      <c r="BC20" s="45" t="str">
        <f aca="false">IF($A20="","",SUMPRODUCT(--ISNUMBER(SEARCH(","&amp;SUBSTITUTE($A20," ","")&amp;",",'Year Plan'!$BM$7:$BM$46)),--('Year Plan'!$H$7:$H$46&lt;&gt;""),--('Year Plan'!$H$7:$H$46&lt;=BC$3+6),--('Year Plan'!$I$7:$I$46&gt;=BC$3)))</f>
        <v/>
      </c>
    </row>
    <row r="21" customFormat="false" ht="19.5" hidden="false" customHeight="true" outlineLevel="0" collapsed="false">
      <c r="A21" s="39" t="str">
        <f aca="false">IF(Setup!$B$25="","",Setup!$B$25)</f>
        <v/>
      </c>
      <c r="B21" s="39" t="str">
        <f aca="false">IF(Setup!$B$25="","",Setup!$C$25)</f>
        <v/>
      </c>
      <c r="C21" s="44" t="str">
        <f aca="false">IF($A21="","",SUMPRODUCT(--ISNUMBER(SEARCH(","&amp;SUBSTITUTE($A21," ","")&amp;",",'Year Plan'!$BM$7:$BM$46))))</f>
        <v/>
      </c>
      <c r="D21" s="45" t="str">
        <f aca="false">IF($A21="","",SUMPRODUCT(--ISNUMBER(SEARCH(","&amp;SUBSTITUTE($A21," ","")&amp;",",'Year Plan'!$BM$7:$BM$46)),--('Year Plan'!$H$7:$H$46&lt;&gt;""),--('Year Plan'!$H$7:$H$46&lt;=D$3+6),--('Year Plan'!$I$7:$I$46&gt;=D$3)))</f>
        <v/>
      </c>
      <c r="E21" s="45" t="str">
        <f aca="false">IF($A21="","",SUMPRODUCT(--ISNUMBER(SEARCH(","&amp;SUBSTITUTE($A21," ","")&amp;",",'Year Plan'!$BM$7:$BM$46)),--('Year Plan'!$H$7:$H$46&lt;&gt;""),--('Year Plan'!$H$7:$H$46&lt;=E$3+6),--('Year Plan'!$I$7:$I$46&gt;=E$3)))</f>
        <v/>
      </c>
      <c r="F21" s="45" t="str">
        <f aca="false">IF($A21="","",SUMPRODUCT(--ISNUMBER(SEARCH(","&amp;SUBSTITUTE($A21," ","")&amp;",",'Year Plan'!$BM$7:$BM$46)),--('Year Plan'!$H$7:$H$46&lt;&gt;""),--('Year Plan'!$H$7:$H$46&lt;=F$3+6),--('Year Plan'!$I$7:$I$46&gt;=F$3)))</f>
        <v/>
      </c>
      <c r="G21" s="45" t="str">
        <f aca="false">IF($A21="","",SUMPRODUCT(--ISNUMBER(SEARCH(","&amp;SUBSTITUTE($A21," ","")&amp;",",'Year Plan'!$BM$7:$BM$46)),--('Year Plan'!$H$7:$H$46&lt;&gt;""),--('Year Plan'!$H$7:$H$46&lt;=G$3+6),--('Year Plan'!$I$7:$I$46&gt;=G$3)))</f>
        <v/>
      </c>
      <c r="H21" s="45" t="str">
        <f aca="false">IF($A21="","",SUMPRODUCT(--ISNUMBER(SEARCH(","&amp;SUBSTITUTE($A21," ","")&amp;",",'Year Plan'!$BM$7:$BM$46)),--('Year Plan'!$H$7:$H$46&lt;&gt;""),--('Year Plan'!$H$7:$H$46&lt;=H$3+6),--('Year Plan'!$I$7:$I$46&gt;=H$3)))</f>
        <v/>
      </c>
      <c r="I21" s="45" t="str">
        <f aca="false">IF($A21="","",SUMPRODUCT(--ISNUMBER(SEARCH(","&amp;SUBSTITUTE($A21," ","")&amp;",",'Year Plan'!$BM$7:$BM$46)),--('Year Plan'!$H$7:$H$46&lt;&gt;""),--('Year Plan'!$H$7:$H$46&lt;=I$3+6),--('Year Plan'!$I$7:$I$46&gt;=I$3)))</f>
        <v/>
      </c>
      <c r="J21" s="45" t="str">
        <f aca="false">IF($A21="","",SUMPRODUCT(--ISNUMBER(SEARCH(","&amp;SUBSTITUTE($A21," ","")&amp;",",'Year Plan'!$BM$7:$BM$46)),--('Year Plan'!$H$7:$H$46&lt;&gt;""),--('Year Plan'!$H$7:$H$46&lt;=J$3+6),--('Year Plan'!$I$7:$I$46&gt;=J$3)))</f>
        <v/>
      </c>
      <c r="K21" s="45" t="str">
        <f aca="false">IF($A21="","",SUMPRODUCT(--ISNUMBER(SEARCH(","&amp;SUBSTITUTE($A21," ","")&amp;",",'Year Plan'!$BM$7:$BM$46)),--('Year Plan'!$H$7:$H$46&lt;&gt;""),--('Year Plan'!$H$7:$H$46&lt;=K$3+6),--('Year Plan'!$I$7:$I$46&gt;=K$3)))</f>
        <v/>
      </c>
      <c r="L21" s="45" t="str">
        <f aca="false">IF($A21="","",SUMPRODUCT(--ISNUMBER(SEARCH(","&amp;SUBSTITUTE($A21," ","")&amp;",",'Year Plan'!$BM$7:$BM$46)),--('Year Plan'!$H$7:$H$46&lt;&gt;""),--('Year Plan'!$H$7:$H$46&lt;=L$3+6),--('Year Plan'!$I$7:$I$46&gt;=L$3)))</f>
        <v/>
      </c>
      <c r="M21" s="45" t="str">
        <f aca="false">IF($A21="","",SUMPRODUCT(--ISNUMBER(SEARCH(","&amp;SUBSTITUTE($A21," ","")&amp;",",'Year Plan'!$BM$7:$BM$46)),--('Year Plan'!$H$7:$H$46&lt;&gt;""),--('Year Plan'!$H$7:$H$46&lt;=M$3+6),--('Year Plan'!$I$7:$I$46&gt;=M$3)))</f>
        <v/>
      </c>
      <c r="N21" s="45" t="str">
        <f aca="false">IF($A21="","",SUMPRODUCT(--ISNUMBER(SEARCH(","&amp;SUBSTITUTE($A21," ","")&amp;",",'Year Plan'!$BM$7:$BM$46)),--('Year Plan'!$H$7:$H$46&lt;&gt;""),--('Year Plan'!$H$7:$H$46&lt;=N$3+6),--('Year Plan'!$I$7:$I$46&gt;=N$3)))</f>
        <v/>
      </c>
      <c r="O21" s="45" t="str">
        <f aca="false">IF($A21="","",SUMPRODUCT(--ISNUMBER(SEARCH(","&amp;SUBSTITUTE($A21," ","")&amp;",",'Year Plan'!$BM$7:$BM$46)),--('Year Plan'!$H$7:$H$46&lt;&gt;""),--('Year Plan'!$H$7:$H$46&lt;=O$3+6),--('Year Plan'!$I$7:$I$46&gt;=O$3)))</f>
        <v/>
      </c>
      <c r="P21" s="45" t="str">
        <f aca="false">IF($A21="","",SUMPRODUCT(--ISNUMBER(SEARCH(","&amp;SUBSTITUTE($A21," ","")&amp;",",'Year Plan'!$BM$7:$BM$46)),--('Year Plan'!$H$7:$H$46&lt;&gt;""),--('Year Plan'!$H$7:$H$46&lt;=P$3+6),--('Year Plan'!$I$7:$I$46&gt;=P$3)))</f>
        <v/>
      </c>
      <c r="Q21" s="45" t="str">
        <f aca="false">IF($A21="","",SUMPRODUCT(--ISNUMBER(SEARCH(","&amp;SUBSTITUTE($A21," ","")&amp;",",'Year Plan'!$BM$7:$BM$46)),--('Year Plan'!$H$7:$H$46&lt;&gt;""),--('Year Plan'!$H$7:$H$46&lt;=Q$3+6),--('Year Plan'!$I$7:$I$46&gt;=Q$3)))</f>
        <v/>
      </c>
      <c r="R21" s="45" t="str">
        <f aca="false">IF($A21="","",SUMPRODUCT(--ISNUMBER(SEARCH(","&amp;SUBSTITUTE($A21," ","")&amp;",",'Year Plan'!$BM$7:$BM$46)),--('Year Plan'!$H$7:$H$46&lt;&gt;""),--('Year Plan'!$H$7:$H$46&lt;=R$3+6),--('Year Plan'!$I$7:$I$46&gt;=R$3)))</f>
        <v/>
      </c>
      <c r="S21" s="45" t="str">
        <f aca="false">IF($A21="","",SUMPRODUCT(--ISNUMBER(SEARCH(","&amp;SUBSTITUTE($A21," ","")&amp;",",'Year Plan'!$BM$7:$BM$46)),--('Year Plan'!$H$7:$H$46&lt;&gt;""),--('Year Plan'!$H$7:$H$46&lt;=S$3+6),--('Year Plan'!$I$7:$I$46&gt;=S$3)))</f>
        <v/>
      </c>
      <c r="T21" s="45" t="str">
        <f aca="false">IF($A21="","",SUMPRODUCT(--ISNUMBER(SEARCH(","&amp;SUBSTITUTE($A21," ","")&amp;",",'Year Plan'!$BM$7:$BM$46)),--('Year Plan'!$H$7:$H$46&lt;&gt;""),--('Year Plan'!$H$7:$H$46&lt;=T$3+6),--('Year Plan'!$I$7:$I$46&gt;=T$3)))</f>
        <v/>
      </c>
      <c r="U21" s="45" t="str">
        <f aca="false">IF($A21="","",SUMPRODUCT(--ISNUMBER(SEARCH(","&amp;SUBSTITUTE($A21," ","")&amp;",",'Year Plan'!$BM$7:$BM$46)),--('Year Plan'!$H$7:$H$46&lt;&gt;""),--('Year Plan'!$H$7:$H$46&lt;=U$3+6),--('Year Plan'!$I$7:$I$46&gt;=U$3)))</f>
        <v/>
      </c>
      <c r="V21" s="45" t="str">
        <f aca="false">IF($A21="","",SUMPRODUCT(--ISNUMBER(SEARCH(","&amp;SUBSTITUTE($A21," ","")&amp;",",'Year Plan'!$BM$7:$BM$46)),--('Year Plan'!$H$7:$H$46&lt;&gt;""),--('Year Plan'!$H$7:$H$46&lt;=V$3+6),--('Year Plan'!$I$7:$I$46&gt;=V$3)))</f>
        <v/>
      </c>
      <c r="W21" s="45" t="str">
        <f aca="false">IF($A21="","",SUMPRODUCT(--ISNUMBER(SEARCH(","&amp;SUBSTITUTE($A21," ","")&amp;",",'Year Plan'!$BM$7:$BM$46)),--('Year Plan'!$H$7:$H$46&lt;&gt;""),--('Year Plan'!$H$7:$H$46&lt;=W$3+6),--('Year Plan'!$I$7:$I$46&gt;=W$3)))</f>
        <v/>
      </c>
      <c r="X21" s="45" t="str">
        <f aca="false">IF($A21="","",SUMPRODUCT(--ISNUMBER(SEARCH(","&amp;SUBSTITUTE($A21," ","")&amp;",",'Year Plan'!$BM$7:$BM$46)),--('Year Plan'!$H$7:$H$46&lt;&gt;""),--('Year Plan'!$H$7:$H$46&lt;=X$3+6),--('Year Plan'!$I$7:$I$46&gt;=X$3)))</f>
        <v/>
      </c>
      <c r="Y21" s="45" t="str">
        <f aca="false">IF($A21="","",SUMPRODUCT(--ISNUMBER(SEARCH(","&amp;SUBSTITUTE($A21," ","")&amp;",",'Year Plan'!$BM$7:$BM$46)),--('Year Plan'!$H$7:$H$46&lt;&gt;""),--('Year Plan'!$H$7:$H$46&lt;=Y$3+6),--('Year Plan'!$I$7:$I$46&gt;=Y$3)))</f>
        <v/>
      </c>
      <c r="Z21" s="45" t="str">
        <f aca="false">IF($A21="","",SUMPRODUCT(--ISNUMBER(SEARCH(","&amp;SUBSTITUTE($A21," ","")&amp;",",'Year Plan'!$BM$7:$BM$46)),--('Year Plan'!$H$7:$H$46&lt;&gt;""),--('Year Plan'!$H$7:$H$46&lt;=Z$3+6),--('Year Plan'!$I$7:$I$46&gt;=Z$3)))</f>
        <v/>
      </c>
      <c r="AA21" s="45" t="str">
        <f aca="false">IF($A21="","",SUMPRODUCT(--ISNUMBER(SEARCH(","&amp;SUBSTITUTE($A21," ","")&amp;",",'Year Plan'!$BM$7:$BM$46)),--('Year Plan'!$H$7:$H$46&lt;&gt;""),--('Year Plan'!$H$7:$H$46&lt;=AA$3+6),--('Year Plan'!$I$7:$I$46&gt;=AA$3)))</f>
        <v/>
      </c>
      <c r="AB21" s="45" t="str">
        <f aca="false">IF($A21="","",SUMPRODUCT(--ISNUMBER(SEARCH(","&amp;SUBSTITUTE($A21," ","")&amp;",",'Year Plan'!$BM$7:$BM$46)),--('Year Plan'!$H$7:$H$46&lt;&gt;""),--('Year Plan'!$H$7:$H$46&lt;=AB$3+6),--('Year Plan'!$I$7:$I$46&gt;=AB$3)))</f>
        <v/>
      </c>
      <c r="AC21" s="45" t="str">
        <f aca="false">IF($A21="","",SUMPRODUCT(--ISNUMBER(SEARCH(","&amp;SUBSTITUTE($A21," ","")&amp;",",'Year Plan'!$BM$7:$BM$46)),--('Year Plan'!$H$7:$H$46&lt;&gt;""),--('Year Plan'!$H$7:$H$46&lt;=AC$3+6),--('Year Plan'!$I$7:$I$46&gt;=AC$3)))</f>
        <v/>
      </c>
      <c r="AD21" s="45" t="str">
        <f aca="false">IF($A21="","",SUMPRODUCT(--ISNUMBER(SEARCH(","&amp;SUBSTITUTE($A21," ","")&amp;",",'Year Plan'!$BM$7:$BM$46)),--('Year Plan'!$H$7:$H$46&lt;&gt;""),--('Year Plan'!$H$7:$H$46&lt;=AD$3+6),--('Year Plan'!$I$7:$I$46&gt;=AD$3)))</f>
        <v/>
      </c>
      <c r="AE21" s="45" t="str">
        <f aca="false">IF($A21="","",SUMPRODUCT(--ISNUMBER(SEARCH(","&amp;SUBSTITUTE($A21," ","")&amp;",",'Year Plan'!$BM$7:$BM$46)),--('Year Plan'!$H$7:$H$46&lt;&gt;""),--('Year Plan'!$H$7:$H$46&lt;=AE$3+6),--('Year Plan'!$I$7:$I$46&gt;=AE$3)))</f>
        <v/>
      </c>
      <c r="AF21" s="45" t="str">
        <f aca="false">IF($A21="","",SUMPRODUCT(--ISNUMBER(SEARCH(","&amp;SUBSTITUTE($A21," ","")&amp;",",'Year Plan'!$BM$7:$BM$46)),--('Year Plan'!$H$7:$H$46&lt;&gt;""),--('Year Plan'!$H$7:$H$46&lt;=AF$3+6),--('Year Plan'!$I$7:$I$46&gt;=AF$3)))</f>
        <v/>
      </c>
      <c r="AG21" s="45" t="str">
        <f aca="false">IF($A21="","",SUMPRODUCT(--ISNUMBER(SEARCH(","&amp;SUBSTITUTE($A21," ","")&amp;",",'Year Plan'!$BM$7:$BM$46)),--('Year Plan'!$H$7:$H$46&lt;&gt;""),--('Year Plan'!$H$7:$H$46&lt;=AG$3+6),--('Year Plan'!$I$7:$I$46&gt;=AG$3)))</f>
        <v/>
      </c>
      <c r="AH21" s="45" t="str">
        <f aca="false">IF($A21="","",SUMPRODUCT(--ISNUMBER(SEARCH(","&amp;SUBSTITUTE($A21," ","")&amp;",",'Year Plan'!$BM$7:$BM$46)),--('Year Plan'!$H$7:$H$46&lt;&gt;""),--('Year Plan'!$H$7:$H$46&lt;=AH$3+6),--('Year Plan'!$I$7:$I$46&gt;=AH$3)))</f>
        <v/>
      </c>
      <c r="AI21" s="45" t="str">
        <f aca="false">IF($A21="","",SUMPRODUCT(--ISNUMBER(SEARCH(","&amp;SUBSTITUTE($A21," ","")&amp;",",'Year Plan'!$BM$7:$BM$46)),--('Year Plan'!$H$7:$H$46&lt;&gt;""),--('Year Plan'!$H$7:$H$46&lt;=AI$3+6),--('Year Plan'!$I$7:$I$46&gt;=AI$3)))</f>
        <v/>
      </c>
      <c r="AJ21" s="45" t="str">
        <f aca="false">IF($A21="","",SUMPRODUCT(--ISNUMBER(SEARCH(","&amp;SUBSTITUTE($A21," ","")&amp;",",'Year Plan'!$BM$7:$BM$46)),--('Year Plan'!$H$7:$H$46&lt;&gt;""),--('Year Plan'!$H$7:$H$46&lt;=AJ$3+6),--('Year Plan'!$I$7:$I$46&gt;=AJ$3)))</f>
        <v/>
      </c>
      <c r="AK21" s="45" t="str">
        <f aca="false">IF($A21="","",SUMPRODUCT(--ISNUMBER(SEARCH(","&amp;SUBSTITUTE($A21," ","")&amp;",",'Year Plan'!$BM$7:$BM$46)),--('Year Plan'!$H$7:$H$46&lt;&gt;""),--('Year Plan'!$H$7:$H$46&lt;=AK$3+6),--('Year Plan'!$I$7:$I$46&gt;=AK$3)))</f>
        <v/>
      </c>
      <c r="AL21" s="45" t="str">
        <f aca="false">IF($A21="","",SUMPRODUCT(--ISNUMBER(SEARCH(","&amp;SUBSTITUTE($A21," ","")&amp;",",'Year Plan'!$BM$7:$BM$46)),--('Year Plan'!$H$7:$H$46&lt;&gt;""),--('Year Plan'!$H$7:$H$46&lt;=AL$3+6),--('Year Plan'!$I$7:$I$46&gt;=AL$3)))</f>
        <v/>
      </c>
      <c r="AM21" s="45" t="str">
        <f aca="false">IF($A21="","",SUMPRODUCT(--ISNUMBER(SEARCH(","&amp;SUBSTITUTE($A21," ","")&amp;",",'Year Plan'!$BM$7:$BM$46)),--('Year Plan'!$H$7:$H$46&lt;&gt;""),--('Year Plan'!$H$7:$H$46&lt;=AM$3+6),--('Year Plan'!$I$7:$I$46&gt;=AM$3)))</f>
        <v/>
      </c>
      <c r="AN21" s="45" t="str">
        <f aca="false">IF($A21="","",SUMPRODUCT(--ISNUMBER(SEARCH(","&amp;SUBSTITUTE($A21," ","")&amp;",",'Year Plan'!$BM$7:$BM$46)),--('Year Plan'!$H$7:$H$46&lt;&gt;""),--('Year Plan'!$H$7:$H$46&lt;=AN$3+6),--('Year Plan'!$I$7:$I$46&gt;=AN$3)))</f>
        <v/>
      </c>
      <c r="AO21" s="45" t="str">
        <f aca="false">IF($A21="","",SUMPRODUCT(--ISNUMBER(SEARCH(","&amp;SUBSTITUTE($A21," ","")&amp;",",'Year Plan'!$BM$7:$BM$46)),--('Year Plan'!$H$7:$H$46&lt;&gt;""),--('Year Plan'!$H$7:$H$46&lt;=AO$3+6),--('Year Plan'!$I$7:$I$46&gt;=AO$3)))</f>
        <v/>
      </c>
      <c r="AP21" s="45" t="str">
        <f aca="false">IF($A21="","",SUMPRODUCT(--ISNUMBER(SEARCH(","&amp;SUBSTITUTE($A21," ","")&amp;",",'Year Plan'!$BM$7:$BM$46)),--('Year Plan'!$H$7:$H$46&lt;&gt;""),--('Year Plan'!$H$7:$H$46&lt;=AP$3+6),--('Year Plan'!$I$7:$I$46&gt;=AP$3)))</f>
        <v/>
      </c>
      <c r="AQ21" s="45" t="str">
        <f aca="false">IF($A21="","",SUMPRODUCT(--ISNUMBER(SEARCH(","&amp;SUBSTITUTE($A21," ","")&amp;",",'Year Plan'!$BM$7:$BM$46)),--('Year Plan'!$H$7:$H$46&lt;&gt;""),--('Year Plan'!$H$7:$H$46&lt;=AQ$3+6),--('Year Plan'!$I$7:$I$46&gt;=AQ$3)))</f>
        <v/>
      </c>
      <c r="AR21" s="45" t="str">
        <f aca="false">IF($A21="","",SUMPRODUCT(--ISNUMBER(SEARCH(","&amp;SUBSTITUTE($A21," ","")&amp;",",'Year Plan'!$BM$7:$BM$46)),--('Year Plan'!$H$7:$H$46&lt;&gt;""),--('Year Plan'!$H$7:$H$46&lt;=AR$3+6),--('Year Plan'!$I$7:$I$46&gt;=AR$3)))</f>
        <v/>
      </c>
      <c r="AS21" s="45" t="str">
        <f aca="false">IF($A21="","",SUMPRODUCT(--ISNUMBER(SEARCH(","&amp;SUBSTITUTE($A21," ","")&amp;",",'Year Plan'!$BM$7:$BM$46)),--('Year Plan'!$H$7:$H$46&lt;&gt;""),--('Year Plan'!$H$7:$H$46&lt;=AS$3+6),--('Year Plan'!$I$7:$I$46&gt;=AS$3)))</f>
        <v/>
      </c>
      <c r="AT21" s="45" t="str">
        <f aca="false">IF($A21="","",SUMPRODUCT(--ISNUMBER(SEARCH(","&amp;SUBSTITUTE($A21," ","")&amp;",",'Year Plan'!$BM$7:$BM$46)),--('Year Plan'!$H$7:$H$46&lt;&gt;""),--('Year Plan'!$H$7:$H$46&lt;=AT$3+6),--('Year Plan'!$I$7:$I$46&gt;=AT$3)))</f>
        <v/>
      </c>
      <c r="AU21" s="45" t="str">
        <f aca="false">IF($A21="","",SUMPRODUCT(--ISNUMBER(SEARCH(","&amp;SUBSTITUTE($A21," ","")&amp;",",'Year Plan'!$BM$7:$BM$46)),--('Year Plan'!$H$7:$H$46&lt;&gt;""),--('Year Plan'!$H$7:$H$46&lt;=AU$3+6),--('Year Plan'!$I$7:$I$46&gt;=AU$3)))</f>
        <v/>
      </c>
      <c r="AV21" s="45" t="str">
        <f aca="false">IF($A21="","",SUMPRODUCT(--ISNUMBER(SEARCH(","&amp;SUBSTITUTE($A21," ","")&amp;",",'Year Plan'!$BM$7:$BM$46)),--('Year Plan'!$H$7:$H$46&lt;&gt;""),--('Year Plan'!$H$7:$H$46&lt;=AV$3+6),--('Year Plan'!$I$7:$I$46&gt;=AV$3)))</f>
        <v/>
      </c>
      <c r="AW21" s="45" t="str">
        <f aca="false">IF($A21="","",SUMPRODUCT(--ISNUMBER(SEARCH(","&amp;SUBSTITUTE($A21," ","")&amp;",",'Year Plan'!$BM$7:$BM$46)),--('Year Plan'!$H$7:$H$46&lt;&gt;""),--('Year Plan'!$H$7:$H$46&lt;=AW$3+6),--('Year Plan'!$I$7:$I$46&gt;=AW$3)))</f>
        <v/>
      </c>
      <c r="AX21" s="45" t="str">
        <f aca="false">IF($A21="","",SUMPRODUCT(--ISNUMBER(SEARCH(","&amp;SUBSTITUTE($A21," ","")&amp;",",'Year Plan'!$BM$7:$BM$46)),--('Year Plan'!$H$7:$H$46&lt;&gt;""),--('Year Plan'!$H$7:$H$46&lt;=AX$3+6),--('Year Plan'!$I$7:$I$46&gt;=AX$3)))</f>
        <v/>
      </c>
      <c r="AY21" s="45" t="str">
        <f aca="false">IF($A21="","",SUMPRODUCT(--ISNUMBER(SEARCH(","&amp;SUBSTITUTE($A21," ","")&amp;",",'Year Plan'!$BM$7:$BM$46)),--('Year Plan'!$H$7:$H$46&lt;&gt;""),--('Year Plan'!$H$7:$H$46&lt;=AY$3+6),--('Year Plan'!$I$7:$I$46&gt;=AY$3)))</f>
        <v/>
      </c>
      <c r="AZ21" s="45" t="str">
        <f aca="false">IF($A21="","",SUMPRODUCT(--ISNUMBER(SEARCH(","&amp;SUBSTITUTE($A21," ","")&amp;",",'Year Plan'!$BM$7:$BM$46)),--('Year Plan'!$H$7:$H$46&lt;&gt;""),--('Year Plan'!$H$7:$H$46&lt;=AZ$3+6),--('Year Plan'!$I$7:$I$46&gt;=AZ$3)))</f>
        <v/>
      </c>
      <c r="BA21" s="45" t="str">
        <f aca="false">IF($A21="","",SUMPRODUCT(--ISNUMBER(SEARCH(","&amp;SUBSTITUTE($A21," ","")&amp;",",'Year Plan'!$BM$7:$BM$46)),--('Year Plan'!$H$7:$H$46&lt;&gt;""),--('Year Plan'!$H$7:$H$46&lt;=BA$3+6),--('Year Plan'!$I$7:$I$46&gt;=BA$3)))</f>
        <v/>
      </c>
      <c r="BB21" s="45" t="str">
        <f aca="false">IF($A21="","",SUMPRODUCT(--ISNUMBER(SEARCH(","&amp;SUBSTITUTE($A21," ","")&amp;",",'Year Plan'!$BM$7:$BM$46)),--('Year Plan'!$H$7:$H$46&lt;&gt;""),--('Year Plan'!$H$7:$H$46&lt;=BB$3+6),--('Year Plan'!$I$7:$I$46&gt;=BB$3)))</f>
        <v/>
      </c>
      <c r="BC21" s="45" t="str">
        <f aca="false">IF($A21="","",SUMPRODUCT(--ISNUMBER(SEARCH(","&amp;SUBSTITUTE($A21," ","")&amp;",",'Year Plan'!$BM$7:$BM$46)),--('Year Plan'!$H$7:$H$46&lt;&gt;""),--('Year Plan'!$H$7:$H$46&lt;=BC$3+6),--('Year Plan'!$I$7:$I$46&gt;=BC$3)))</f>
        <v/>
      </c>
    </row>
    <row r="22" customFormat="false" ht="19.5" hidden="false" customHeight="true" outlineLevel="0" collapsed="false">
      <c r="A22" s="39" t="str">
        <f aca="false">IF(Setup!$B$26="","",Setup!$B$26)</f>
        <v/>
      </c>
      <c r="B22" s="39" t="str">
        <f aca="false">IF(Setup!$B$26="","",Setup!$C$26)</f>
        <v/>
      </c>
      <c r="C22" s="44" t="str">
        <f aca="false">IF($A22="","",SUMPRODUCT(--ISNUMBER(SEARCH(","&amp;SUBSTITUTE($A22," ","")&amp;",",'Year Plan'!$BM$7:$BM$46))))</f>
        <v/>
      </c>
      <c r="D22" s="45" t="str">
        <f aca="false">IF($A22="","",SUMPRODUCT(--ISNUMBER(SEARCH(","&amp;SUBSTITUTE($A22," ","")&amp;",",'Year Plan'!$BM$7:$BM$46)),--('Year Plan'!$H$7:$H$46&lt;&gt;""),--('Year Plan'!$H$7:$H$46&lt;=D$3+6),--('Year Plan'!$I$7:$I$46&gt;=D$3)))</f>
        <v/>
      </c>
      <c r="E22" s="45" t="str">
        <f aca="false">IF($A22="","",SUMPRODUCT(--ISNUMBER(SEARCH(","&amp;SUBSTITUTE($A22," ","")&amp;",",'Year Plan'!$BM$7:$BM$46)),--('Year Plan'!$H$7:$H$46&lt;&gt;""),--('Year Plan'!$H$7:$H$46&lt;=E$3+6),--('Year Plan'!$I$7:$I$46&gt;=E$3)))</f>
        <v/>
      </c>
      <c r="F22" s="45" t="str">
        <f aca="false">IF($A22="","",SUMPRODUCT(--ISNUMBER(SEARCH(","&amp;SUBSTITUTE($A22," ","")&amp;",",'Year Plan'!$BM$7:$BM$46)),--('Year Plan'!$H$7:$H$46&lt;&gt;""),--('Year Plan'!$H$7:$H$46&lt;=F$3+6),--('Year Plan'!$I$7:$I$46&gt;=F$3)))</f>
        <v/>
      </c>
      <c r="G22" s="45" t="str">
        <f aca="false">IF($A22="","",SUMPRODUCT(--ISNUMBER(SEARCH(","&amp;SUBSTITUTE($A22," ","")&amp;",",'Year Plan'!$BM$7:$BM$46)),--('Year Plan'!$H$7:$H$46&lt;&gt;""),--('Year Plan'!$H$7:$H$46&lt;=G$3+6),--('Year Plan'!$I$7:$I$46&gt;=G$3)))</f>
        <v/>
      </c>
      <c r="H22" s="45" t="str">
        <f aca="false">IF($A22="","",SUMPRODUCT(--ISNUMBER(SEARCH(","&amp;SUBSTITUTE($A22," ","")&amp;",",'Year Plan'!$BM$7:$BM$46)),--('Year Plan'!$H$7:$H$46&lt;&gt;""),--('Year Plan'!$H$7:$H$46&lt;=H$3+6),--('Year Plan'!$I$7:$I$46&gt;=H$3)))</f>
        <v/>
      </c>
      <c r="I22" s="45" t="str">
        <f aca="false">IF($A22="","",SUMPRODUCT(--ISNUMBER(SEARCH(","&amp;SUBSTITUTE($A22," ","")&amp;",",'Year Plan'!$BM$7:$BM$46)),--('Year Plan'!$H$7:$H$46&lt;&gt;""),--('Year Plan'!$H$7:$H$46&lt;=I$3+6),--('Year Plan'!$I$7:$I$46&gt;=I$3)))</f>
        <v/>
      </c>
      <c r="J22" s="45" t="str">
        <f aca="false">IF($A22="","",SUMPRODUCT(--ISNUMBER(SEARCH(","&amp;SUBSTITUTE($A22," ","")&amp;",",'Year Plan'!$BM$7:$BM$46)),--('Year Plan'!$H$7:$H$46&lt;&gt;""),--('Year Plan'!$H$7:$H$46&lt;=J$3+6),--('Year Plan'!$I$7:$I$46&gt;=J$3)))</f>
        <v/>
      </c>
      <c r="K22" s="45" t="str">
        <f aca="false">IF($A22="","",SUMPRODUCT(--ISNUMBER(SEARCH(","&amp;SUBSTITUTE($A22," ","")&amp;",",'Year Plan'!$BM$7:$BM$46)),--('Year Plan'!$H$7:$H$46&lt;&gt;""),--('Year Plan'!$H$7:$H$46&lt;=K$3+6),--('Year Plan'!$I$7:$I$46&gt;=K$3)))</f>
        <v/>
      </c>
      <c r="L22" s="45" t="str">
        <f aca="false">IF($A22="","",SUMPRODUCT(--ISNUMBER(SEARCH(","&amp;SUBSTITUTE($A22," ","")&amp;",",'Year Plan'!$BM$7:$BM$46)),--('Year Plan'!$H$7:$H$46&lt;&gt;""),--('Year Plan'!$H$7:$H$46&lt;=L$3+6),--('Year Plan'!$I$7:$I$46&gt;=L$3)))</f>
        <v/>
      </c>
      <c r="M22" s="45" t="str">
        <f aca="false">IF($A22="","",SUMPRODUCT(--ISNUMBER(SEARCH(","&amp;SUBSTITUTE($A22," ","")&amp;",",'Year Plan'!$BM$7:$BM$46)),--('Year Plan'!$H$7:$H$46&lt;&gt;""),--('Year Plan'!$H$7:$H$46&lt;=M$3+6),--('Year Plan'!$I$7:$I$46&gt;=M$3)))</f>
        <v/>
      </c>
      <c r="N22" s="45" t="str">
        <f aca="false">IF($A22="","",SUMPRODUCT(--ISNUMBER(SEARCH(","&amp;SUBSTITUTE($A22," ","")&amp;",",'Year Plan'!$BM$7:$BM$46)),--('Year Plan'!$H$7:$H$46&lt;&gt;""),--('Year Plan'!$H$7:$H$46&lt;=N$3+6),--('Year Plan'!$I$7:$I$46&gt;=N$3)))</f>
        <v/>
      </c>
      <c r="O22" s="45" t="str">
        <f aca="false">IF($A22="","",SUMPRODUCT(--ISNUMBER(SEARCH(","&amp;SUBSTITUTE($A22," ","")&amp;",",'Year Plan'!$BM$7:$BM$46)),--('Year Plan'!$H$7:$H$46&lt;&gt;""),--('Year Plan'!$H$7:$H$46&lt;=O$3+6),--('Year Plan'!$I$7:$I$46&gt;=O$3)))</f>
        <v/>
      </c>
      <c r="P22" s="45" t="str">
        <f aca="false">IF($A22="","",SUMPRODUCT(--ISNUMBER(SEARCH(","&amp;SUBSTITUTE($A22," ","")&amp;",",'Year Plan'!$BM$7:$BM$46)),--('Year Plan'!$H$7:$H$46&lt;&gt;""),--('Year Plan'!$H$7:$H$46&lt;=P$3+6),--('Year Plan'!$I$7:$I$46&gt;=P$3)))</f>
        <v/>
      </c>
      <c r="Q22" s="45" t="str">
        <f aca="false">IF($A22="","",SUMPRODUCT(--ISNUMBER(SEARCH(","&amp;SUBSTITUTE($A22," ","")&amp;",",'Year Plan'!$BM$7:$BM$46)),--('Year Plan'!$H$7:$H$46&lt;&gt;""),--('Year Plan'!$H$7:$H$46&lt;=Q$3+6),--('Year Plan'!$I$7:$I$46&gt;=Q$3)))</f>
        <v/>
      </c>
      <c r="R22" s="45" t="str">
        <f aca="false">IF($A22="","",SUMPRODUCT(--ISNUMBER(SEARCH(","&amp;SUBSTITUTE($A22," ","")&amp;",",'Year Plan'!$BM$7:$BM$46)),--('Year Plan'!$H$7:$H$46&lt;&gt;""),--('Year Plan'!$H$7:$H$46&lt;=R$3+6),--('Year Plan'!$I$7:$I$46&gt;=R$3)))</f>
        <v/>
      </c>
      <c r="S22" s="45" t="str">
        <f aca="false">IF($A22="","",SUMPRODUCT(--ISNUMBER(SEARCH(","&amp;SUBSTITUTE($A22," ","")&amp;",",'Year Plan'!$BM$7:$BM$46)),--('Year Plan'!$H$7:$H$46&lt;&gt;""),--('Year Plan'!$H$7:$H$46&lt;=S$3+6),--('Year Plan'!$I$7:$I$46&gt;=S$3)))</f>
        <v/>
      </c>
      <c r="T22" s="45" t="str">
        <f aca="false">IF($A22="","",SUMPRODUCT(--ISNUMBER(SEARCH(","&amp;SUBSTITUTE($A22," ","")&amp;",",'Year Plan'!$BM$7:$BM$46)),--('Year Plan'!$H$7:$H$46&lt;&gt;""),--('Year Plan'!$H$7:$H$46&lt;=T$3+6),--('Year Plan'!$I$7:$I$46&gt;=T$3)))</f>
        <v/>
      </c>
      <c r="U22" s="45" t="str">
        <f aca="false">IF($A22="","",SUMPRODUCT(--ISNUMBER(SEARCH(","&amp;SUBSTITUTE($A22," ","")&amp;",",'Year Plan'!$BM$7:$BM$46)),--('Year Plan'!$H$7:$H$46&lt;&gt;""),--('Year Plan'!$H$7:$H$46&lt;=U$3+6),--('Year Plan'!$I$7:$I$46&gt;=U$3)))</f>
        <v/>
      </c>
      <c r="V22" s="45" t="str">
        <f aca="false">IF($A22="","",SUMPRODUCT(--ISNUMBER(SEARCH(","&amp;SUBSTITUTE($A22," ","")&amp;",",'Year Plan'!$BM$7:$BM$46)),--('Year Plan'!$H$7:$H$46&lt;&gt;""),--('Year Plan'!$H$7:$H$46&lt;=V$3+6),--('Year Plan'!$I$7:$I$46&gt;=V$3)))</f>
        <v/>
      </c>
      <c r="W22" s="45" t="str">
        <f aca="false">IF($A22="","",SUMPRODUCT(--ISNUMBER(SEARCH(","&amp;SUBSTITUTE($A22," ","")&amp;",",'Year Plan'!$BM$7:$BM$46)),--('Year Plan'!$H$7:$H$46&lt;&gt;""),--('Year Plan'!$H$7:$H$46&lt;=W$3+6),--('Year Plan'!$I$7:$I$46&gt;=W$3)))</f>
        <v/>
      </c>
      <c r="X22" s="45" t="str">
        <f aca="false">IF($A22="","",SUMPRODUCT(--ISNUMBER(SEARCH(","&amp;SUBSTITUTE($A22," ","")&amp;",",'Year Plan'!$BM$7:$BM$46)),--('Year Plan'!$H$7:$H$46&lt;&gt;""),--('Year Plan'!$H$7:$H$46&lt;=X$3+6),--('Year Plan'!$I$7:$I$46&gt;=X$3)))</f>
        <v/>
      </c>
      <c r="Y22" s="45" t="str">
        <f aca="false">IF($A22="","",SUMPRODUCT(--ISNUMBER(SEARCH(","&amp;SUBSTITUTE($A22," ","")&amp;",",'Year Plan'!$BM$7:$BM$46)),--('Year Plan'!$H$7:$H$46&lt;&gt;""),--('Year Plan'!$H$7:$H$46&lt;=Y$3+6),--('Year Plan'!$I$7:$I$46&gt;=Y$3)))</f>
        <v/>
      </c>
      <c r="Z22" s="45" t="str">
        <f aca="false">IF($A22="","",SUMPRODUCT(--ISNUMBER(SEARCH(","&amp;SUBSTITUTE($A22," ","")&amp;",",'Year Plan'!$BM$7:$BM$46)),--('Year Plan'!$H$7:$H$46&lt;&gt;""),--('Year Plan'!$H$7:$H$46&lt;=Z$3+6),--('Year Plan'!$I$7:$I$46&gt;=Z$3)))</f>
        <v/>
      </c>
      <c r="AA22" s="45" t="str">
        <f aca="false">IF($A22="","",SUMPRODUCT(--ISNUMBER(SEARCH(","&amp;SUBSTITUTE($A22," ","")&amp;",",'Year Plan'!$BM$7:$BM$46)),--('Year Plan'!$H$7:$H$46&lt;&gt;""),--('Year Plan'!$H$7:$H$46&lt;=AA$3+6),--('Year Plan'!$I$7:$I$46&gt;=AA$3)))</f>
        <v/>
      </c>
      <c r="AB22" s="45" t="str">
        <f aca="false">IF($A22="","",SUMPRODUCT(--ISNUMBER(SEARCH(","&amp;SUBSTITUTE($A22," ","")&amp;",",'Year Plan'!$BM$7:$BM$46)),--('Year Plan'!$H$7:$H$46&lt;&gt;""),--('Year Plan'!$H$7:$H$46&lt;=AB$3+6),--('Year Plan'!$I$7:$I$46&gt;=AB$3)))</f>
        <v/>
      </c>
      <c r="AC22" s="45" t="str">
        <f aca="false">IF($A22="","",SUMPRODUCT(--ISNUMBER(SEARCH(","&amp;SUBSTITUTE($A22," ","")&amp;",",'Year Plan'!$BM$7:$BM$46)),--('Year Plan'!$H$7:$H$46&lt;&gt;""),--('Year Plan'!$H$7:$H$46&lt;=AC$3+6),--('Year Plan'!$I$7:$I$46&gt;=AC$3)))</f>
        <v/>
      </c>
      <c r="AD22" s="45" t="str">
        <f aca="false">IF($A22="","",SUMPRODUCT(--ISNUMBER(SEARCH(","&amp;SUBSTITUTE($A22," ","")&amp;",",'Year Plan'!$BM$7:$BM$46)),--('Year Plan'!$H$7:$H$46&lt;&gt;""),--('Year Plan'!$H$7:$H$46&lt;=AD$3+6),--('Year Plan'!$I$7:$I$46&gt;=AD$3)))</f>
        <v/>
      </c>
      <c r="AE22" s="45" t="str">
        <f aca="false">IF($A22="","",SUMPRODUCT(--ISNUMBER(SEARCH(","&amp;SUBSTITUTE($A22," ","")&amp;",",'Year Plan'!$BM$7:$BM$46)),--('Year Plan'!$H$7:$H$46&lt;&gt;""),--('Year Plan'!$H$7:$H$46&lt;=AE$3+6),--('Year Plan'!$I$7:$I$46&gt;=AE$3)))</f>
        <v/>
      </c>
      <c r="AF22" s="45" t="str">
        <f aca="false">IF($A22="","",SUMPRODUCT(--ISNUMBER(SEARCH(","&amp;SUBSTITUTE($A22," ","")&amp;",",'Year Plan'!$BM$7:$BM$46)),--('Year Plan'!$H$7:$H$46&lt;&gt;""),--('Year Plan'!$H$7:$H$46&lt;=AF$3+6),--('Year Plan'!$I$7:$I$46&gt;=AF$3)))</f>
        <v/>
      </c>
      <c r="AG22" s="45" t="str">
        <f aca="false">IF($A22="","",SUMPRODUCT(--ISNUMBER(SEARCH(","&amp;SUBSTITUTE($A22," ","")&amp;",",'Year Plan'!$BM$7:$BM$46)),--('Year Plan'!$H$7:$H$46&lt;&gt;""),--('Year Plan'!$H$7:$H$46&lt;=AG$3+6),--('Year Plan'!$I$7:$I$46&gt;=AG$3)))</f>
        <v/>
      </c>
      <c r="AH22" s="45" t="str">
        <f aca="false">IF($A22="","",SUMPRODUCT(--ISNUMBER(SEARCH(","&amp;SUBSTITUTE($A22," ","")&amp;",",'Year Plan'!$BM$7:$BM$46)),--('Year Plan'!$H$7:$H$46&lt;&gt;""),--('Year Plan'!$H$7:$H$46&lt;=AH$3+6),--('Year Plan'!$I$7:$I$46&gt;=AH$3)))</f>
        <v/>
      </c>
      <c r="AI22" s="45" t="str">
        <f aca="false">IF($A22="","",SUMPRODUCT(--ISNUMBER(SEARCH(","&amp;SUBSTITUTE($A22," ","")&amp;",",'Year Plan'!$BM$7:$BM$46)),--('Year Plan'!$H$7:$H$46&lt;&gt;""),--('Year Plan'!$H$7:$H$46&lt;=AI$3+6),--('Year Plan'!$I$7:$I$46&gt;=AI$3)))</f>
        <v/>
      </c>
      <c r="AJ22" s="45" t="str">
        <f aca="false">IF($A22="","",SUMPRODUCT(--ISNUMBER(SEARCH(","&amp;SUBSTITUTE($A22," ","")&amp;",",'Year Plan'!$BM$7:$BM$46)),--('Year Plan'!$H$7:$H$46&lt;&gt;""),--('Year Plan'!$H$7:$H$46&lt;=AJ$3+6),--('Year Plan'!$I$7:$I$46&gt;=AJ$3)))</f>
        <v/>
      </c>
      <c r="AK22" s="45" t="str">
        <f aca="false">IF($A22="","",SUMPRODUCT(--ISNUMBER(SEARCH(","&amp;SUBSTITUTE($A22," ","")&amp;",",'Year Plan'!$BM$7:$BM$46)),--('Year Plan'!$H$7:$H$46&lt;&gt;""),--('Year Plan'!$H$7:$H$46&lt;=AK$3+6),--('Year Plan'!$I$7:$I$46&gt;=AK$3)))</f>
        <v/>
      </c>
      <c r="AL22" s="45" t="str">
        <f aca="false">IF($A22="","",SUMPRODUCT(--ISNUMBER(SEARCH(","&amp;SUBSTITUTE($A22," ","")&amp;",",'Year Plan'!$BM$7:$BM$46)),--('Year Plan'!$H$7:$H$46&lt;&gt;""),--('Year Plan'!$H$7:$H$46&lt;=AL$3+6),--('Year Plan'!$I$7:$I$46&gt;=AL$3)))</f>
        <v/>
      </c>
      <c r="AM22" s="45" t="str">
        <f aca="false">IF($A22="","",SUMPRODUCT(--ISNUMBER(SEARCH(","&amp;SUBSTITUTE($A22," ","")&amp;",",'Year Plan'!$BM$7:$BM$46)),--('Year Plan'!$H$7:$H$46&lt;&gt;""),--('Year Plan'!$H$7:$H$46&lt;=AM$3+6),--('Year Plan'!$I$7:$I$46&gt;=AM$3)))</f>
        <v/>
      </c>
      <c r="AN22" s="45" t="str">
        <f aca="false">IF($A22="","",SUMPRODUCT(--ISNUMBER(SEARCH(","&amp;SUBSTITUTE($A22," ","")&amp;",",'Year Plan'!$BM$7:$BM$46)),--('Year Plan'!$H$7:$H$46&lt;&gt;""),--('Year Plan'!$H$7:$H$46&lt;=AN$3+6),--('Year Plan'!$I$7:$I$46&gt;=AN$3)))</f>
        <v/>
      </c>
      <c r="AO22" s="45" t="str">
        <f aca="false">IF($A22="","",SUMPRODUCT(--ISNUMBER(SEARCH(","&amp;SUBSTITUTE($A22," ","")&amp;",",'Year Plan'!$BM$7:$BM$46)),--('Year Plan'!$H$7:$H$46&lt;&gt;""),--('Year Plan'!$H$7:$H$46&lt;=AO$3+6),--('Year Plan'!$I$7:$I$46&gt;=AO$3)))</f>
        <v/>
      </c>
      <c r="AP22" s="45" t="str">
        <f aca="false">IF($A22="","",SUMPRODUCT(--ISNUMBER(SEARCH(","&amp;SUBSTITUTE($A22," ","")&amp;",",'Year Plan'!$BM$7:$BM$46)),--('Year Plan'!$H$7:$H$46&lt;&gt;""),--('Year Plan'!$H$7:$H$46&lt;=AP$3+6),--('Year Plan'!$I$7:$I$46&gt;=AP$3)))</f>
        <v/>
      </c>
      <c r="AQ22" s="45" t="str">
        <f aca="false">IF($A22="","",SUMPRODUCT(--ISNUMBER(SEARCH(","&amp;SUBSTITUTE($A22," ","")&amp;",",'Year Plan'!$BM$7:$BM$46)),--('Year Plan'!$H$7:$H$46&lt;&gt;""),--('Year Plan'!$H$7:$H$46&lt;=AQ$3+6),--('Year Plan'!$I$7:$I$46&gt;=AQ$3)))</f>
        <v/>
      </c>
      <c r="AR22" s="45" t="str">
        <f aca="false">IF($A22="","",SUMPRODUCT(--ISNUMBER(SEARCH(","&amp;SUBSTITUTE($A22," ","")&amp;",",'Year Plan'!$BM$7:$BM$46)),--('Year Plan'!$H$7:$H$46&lt;&gt;""),--('Year Plan'!$H$7:$H$46&lt;=AR$3+6),--('Year Plan'!$I$7:$I$46&gt;=AR$3)))</f>
        <v/>
      </c>
      <c r="AS22" s="45" t="str">
        <f aca="false">IF($A22="","",SUMPRODUCT(--ISNUMBER(SEARCH(","&amp;SUBSTITUTE($A22," ","")&amp;",",'Year Plan'!$BM$7:$BM$46)),--('Year Plan'!$H$7:$H$46&lt;&gt;""),--('Year Plan'!$H$7:$H$46&lt;=AS$3+6),--('Year Plan'!$I$7:$I$46&gt;=AS$3)))</f>
        <v/>
      </c>
      <c r="AT22" s="45" t="str">
        <f aca="false">IF($A22="","",SUMPRODUCT(--ISNUMBER(SEARCH(","&amp;SUBSTITUTE($A22," ","")&amp;",",'Year Plan'!$BM$7:$BM$46)),--('Year Plan'!$H$7:$H$46&lt;&gt;""),--('Year Plan'!$H$7:$H$46&lt;=AT$3+6),--('Year Plan'!$I$7:$I$46&gt;=AT$3)))</f>
        <v/>
      </c>
      <c r="AU22" s="45" t="str">
        <f aca="false">IF($A22="","",SUMPRODUCT(--ISNUMBER(SEARCH(","&amp;SUBSTITUTE($A22," ","")&amp;",",'Year Plan'!$BM$7:$BM$46)),--('Year Plan'!$H$7:$H$46&lt;&gt;""),--('Year Plan'!$H$7:$H$46&lt;=AU$3+6),--('Year Plan'!$I$7:$I$46&gt;=AU$3)))</f>
        <v/>
      </c>
      <c r="AV22" s="45" t="str">
        <f aca="false">IF($A22="","",SUMPRODUCT(--ISNUMBER(SEARCH(","&amp;SUBSTITUTE($A22," ","")&amp;",",'Year Plan'!$BM$7:$BM$46)),--('Year Plan'!$H$7:$H$46&lt;&gt;""),--('Year Plan'!$H$7:$H$46&lt;=AV$3+6),--('Year Plan'!$I$7:$I$46&gt;=AV$3)))</f>
        <v/>
      </c>
      <c r="AW22" s="45" t="str">
        <f aca="false">IF($A22="","",SUMPRODUCT(--ISNUMBER(SEARCH(","&amp;SUBSTITUTE($A22," ","")&amp;",",'Year Plan'!$BM$7:$BM$46)),--('Year Plan'!$H$7:$H$46&lt;&gt;""),--('Year Plan'!$H$7:$H$46&lt;=AW$3+6),--('Year Plan'!$I$7:$I$46&gt;=AW$3)))</f>
        <v/>
      </c>
      <c r="AX22" s="45" t="str">
        <f aca="false">IF($A22="","",SUMPRODUCT(--ISNUMBER(SEARCH(","&amp;SUBSTITUTE($A22," ","")&amp;",",'Year Plan'!$BM$7:$BM$46)),--('Year Plan'!$H$7:$H$46&lt;&gt;""),--('Year Plan'!$H$7:$H$46&lt;=AX$3+6),--('Year Plan'!$I$7:$I$46&gt;=AX$3)))</f>
        <v/>
      </c>
      <c r="AY22" s="45" t="str">
        <f aca="false">IF($A22="","",SUMPRODUCT(--ISNUMBER(SEARCH(","&amp;SUBSTITUTE($A22," ","")&amp;",",'Year Plan'!$BM$7:$BM$46)),--('Year Plan'!$H$7:$H$46&lt;&gt;""),--('Year Plan'!$H$7:$H$46&lt;=AY$3+6),--('Year Plan'!$I$7:$I$46&gt;=AY$3)))</f>
        <v/>
      </c>
      <c r="AZ22" s="45" t="str">
        <f aca="false">IF($A22="","",SUMPRODUCT(--ISNUMBER(SEARCH(","&amp;SUBSTITUTE($A22," ","")&amp;",",'Year Plan'!$BM$7:$BM$46)),--('Year Plan'!$H$7:$H$46&lt;&gt;""),--('Year Plan'!$H$7:$H$46&lt;=AZ$3+6),--('Year Plan'!$I$7:$I$46&gt;=AZ$3)))</f>
        <v/>
      </c>
      <c r="BA22" s="45" t="str">
        <f aca="false">IF($A22="","",SUMPRODUCT(--ISNUMBER(SEARCH(","&amp;SUBSTITUTE($A22," ","")&amp;",",'Year Plan'!$BM$7:$BM$46)),--('Year Plan'!$H$7:$H$46&lt;&gt;""),--('Year Plan'!$H$7:$H$46&lt;=BA$3+6),--('Year Plan'!$I$7:$I$46&gt;=BA$3)))</f>
        <v/>
      </c>
      <c r="BB22" s="45" t="str">
        <f aca="false">IF($A22="","",SUMPRODUCT(--ISNUMBER(SEARCH(","&amp;SUBSTITUTE($A22," ","")&amp;",",'Year Plan'!$BM$7:$BM$46)),--('Year Plan'!$H$7:$H$46&lt;&gt;""),--('Year Plan'!$H$7:$H$46&lt;=BB$3+6),--('Year Plan'!$I$7:$I$46&gt;=BB$3)))</f>
        <v/>
      </c>
      <c r="BC22" s="45" t="str">
        <f aca="false">IF($A22="","",SUMPRODUCT(--ISNUMBER(SEARCH(","&amp;SUBSTITUTE($A22," ","")&amp;",",'Year Plan'!$BM$7:$BM$46)),--('Year Plan'!$H$7:$H$46&lt;&gt;""),--('Year Plan'!$H$7:$H$46&lt;=BC$3+6),--('Year Plan'!$I$7:$I$46&gt;=BC$3)))</f>
        <v/>
      </c>
    </row>
    <row r="23" customFormat="false" ht="19.5" hidden="false" customHeight="true" outlineLevel="0" collapsed="false">
      <c r="A23" s="39" t="str">
        <f aca="false">IF(Setup!$B$27="","",Setup!$B$27)</f>
        <v/>
      </c>
      <c r="B23" s="39" t="str">
        <f aca="false">IF(Setup!$B$27="","",Setup!$C$27)</f>
        <v/>
      </c>
      <c r="C23" s="44" t="str">
        <f aca="false">IF($A23="","",SUMPRODUCT(--ISNUMBER(SEARCH(","&amp;SUBSTITUTE($A23," ","")&amp;",",'Year Plan'!$BM$7:$BM$46))))</f>
        <v/>
      </c>
      <c r="D23" s="45" t="str">
        <f aca="false">IF($A23="","",SUMPRODUCT(--ISNUMBER(SEARCH(","&amp;SUBSTITUTE($A23," ","")&amp;",",'Year Plan'!$BM$7:$BM$46)),--('Year Plan'!$H$7:$H$46&lt;&gt;""),--('Year Plan'!$H$7:$H$46&lt;=D$3+6),--('Year Plan'!$I$7:$I$46&gt;=D$3)))</f>
        <v/>
      </c>
      <c r="E23" s="45" t="str">
        <f aca="false">IF($A23="","",SUMPRODUCT(--ISNUMBER(SEARCH(","&amp;SUBSTITUTE($A23," ","")&amp;",",'Year Plan'!$BM$7:$BM$46)),--('Year Plan'!$H$7:$H$46&lt;&gt;""),--('Year Plan'!$H$7:$H$46&lt;=E$3+6),--('Year Plan'!$I$7:$I$46&gt;=E$3)))</f>
        <v/>
      </c>
      <c r="F23" s="45" t="str">
        <f aca="false">IF($A23="","",SUMPRODUCT(--ISNUMBER(SEARCH(","&amp;SUBSTITUTE($A23," ","")&amp;",",'Year Plan'!$BM$7:$BM$46)),--('Year Plan'!$H$7:$H$46&lt;&gt;""),--('Year Plan'!$H$7:$H$46&lt;=F$3+6),--('Year Plan'!$I$7:$I$46&gt;=F$3)))</f>
        <v/>
      </c>
      <c r="G23" s="45" t="str">
        <f aca="false">IF($A23="","",SUMPRODUCT(--ISNUMBER(SEARCH(","&amp;SUBSTITUTE($A23," ","")&amp;",",'Year Plan'!$BM$7:$BM$46)),--('Year Plan'!$H$7:$H$46&lt;&gt;""),--('Year Plan'!$H$7:$H$46&lt;=G$3+6),--('Year Plan'!$I$7:$I$46&gt;=G$3)))</f>
        <v/>
      </c>
      <c r="H23" s="45" t="str">
        <f aca="false">IF($A23="","",SUMPRODUCT(--ISNUMBER(SEARCH(","&amp;SUBSTITUTE($A23," ","")&amp;",",'Year Plan'!$BM$7:$BM$46)),--('Year Plan'!$H$7:$H$46&lt;&gt;""),--('Year Plan'!$H$7:$H$46&lt;=H$3+6),--('Year Plan'!$I$7:$I$46&gt;=H$3)))</f>
        <v/>
      </c>
      <c r="I23" s="45" t="str">
        <f aca="false">IF($A23="","",SUMPRODUCT(--ISNUMBER(SEARCH(","&amp;SUBSTITUTE($A23," ","")&amp;",",'Year Plan'!$BM$7:$BM$46)),--('Year Plan'!$H$7:$H$46&lt;&gt;""),--('Year Plan'!$H$7:$H$46&lt;=I$3+6),--('Year Plan'!$I$7:$I$46&gt;=I$3)))</f>
        <v/>
      </c>
      <c r="J23" s="45" t="str">
        <f aca="false">IF($A23="","",SUMPRODUCT(--ISNUMBER(SEARCH(","&amp;SUBSTITUTE($A23," ","")&amp;",",'Year Plan'!$BM$7:$BM$46)),--('Year Plan'!$H$7:$H$46&lt;&gt;""),--('Year Plan'!$H$7:$H$46&lt;=J$3+6),--('Year Plan'!$I$7:$I$46&gt;=J$3)))</f>
        <v/>
      </c>
      <c r="K23" s="45" t="str">
        <f aca="false">IF($A23="","",SUMPRODUCT(--ISNUMBER(SEARCH(","&amp;SUBSTITUTE($A23," ","")&amp;",",'Year Plan'!$BM$7:$BM$46)),--('Year Plan'!$H$7:$H$46&lt;&gt;""),--('Year Plan'!$H$7:$H$46&lt;=K$3+6),--('Year Plan'!$I$7:$I$46&gt;=K$3)))</f>
        <v/>
      </c>
      <c r="L23" s="45" t="str">
        <f aca="false">IF($A23="","",SUMPRODUCT(--ISNUMBER(SEARCH(","&amp;SUBSTITUTE($A23," ","")&amp;",",'Year Plan'!$BM$7:$BM$46)),--('Year Plan'!$H$7:$H$46&lt;&gt;""),--('Year Plan'!$H$7:$H$46&lt;=L$3+6),--('Year Plan'!$I$7:$I$46&gt;=L$3)))</f>
        <v/>
      </c>
      <c r="M23" s="45" t="str">
        <f aca="false">IF($A23="","",SUMPRODUCT(--ISNUMBER(SEARCH(","&amp;SUBSTITUTE($A23," ","")&amp;",",'Year Plan'!$BM$7:$BM$46)),--('Year Plan'!$H$7:$H$46&lt;&gt;""),--('Year Plan'!$H$7:$H$46&lt;=M$3+6),--('Year Plan'!$I$7:$I$46&gt;=M$3)))</f>
        <v/>
      </c>
      <c r="N23" s="45" t="str">
        <f aca="false">IF($A23="","",SUMPRODUCT(--ISNUMBER(SEARCH(","&amp;SUBSTITUTE($A23," ","")&amp;",",'Year Plan'!$BM$7:$BM$46)),--('Year Plan'!$H$7:$H$46&lt;&gt;""),--('Year Plan'!$H$7:$H$46&lt;=N$3+6),--('Year Plan'!$I$7:$I$46&gt;=N$3)))</f>
        <v/>
      </c>
      <c r="O23" s="45" t="str">
        <f aca="false">IF($A23="","",SUMPRODUCT(--ISNUMBER(SEARCH(","&amp;SUBSTITUTE($A23," ","")&amp;",",'Year Plan'!$BM$7:$BM$46)),--('Year Plan'!$H$7:$H$46&lt;&gt;""),--('Year Plan'!$H$7:$H$46&lt;=O$3+6),--('Year Plan'!$I$7:$I$46&gt;=O$3)))</f>
        <v/>
      </c>
      <c r="P23" s="45" t="str">
        <f aca="false">IF($A23="","",SUMPRODUCT(--ISNUMBER(SEARCH(","&amp;SUBSTITUTE($A23," ","")&amp;",",'Year Plan'!$BM$7:$BM$46)),--('Year Plan'!$H$7:$H$46&lt;&gt;""),--('Year Plan'!$H$7:$H$46&lt;=P$3+6),--('Year Plan'!$I$7:$I$46&gt;=P$3)))</f>
        <v/>
      </c>
      <c r="Q23" s="45" t="str">
        <f aca="false">IF($A23="","",SUMPRODUCT(--ISNUMBER(SEARCH(","&amp;SUBSTITUTE($A23," ","")&amp;",",'Year Plan'!$BM$7:$BM$46)),--('Year Plan'!$H$7:$H$46&lt;&gt;""),--('Year Plan'!$H$7:$H$46&lt;=Q$3+6),--('Year Plan'!$I$7:$I$46&gt;=Q$3)))</f>
        <v/>
      </c>
      <c r="R23" s="45" t="str">
        <f aca="false">IF($A23="","",SUMPRODUCT(--ISNUMBER(SEARCH(","&amp;SUBSTITUTE($A23," ","")&amp;",",'Year Plan'!$BM$7:$BM$46)),--('Year Plan'!$H$7:$H$46&lt;&gt;""),--('Year Plan'!$H$7:$H$46&lt;=R$3+6),--('Year Plan'!$I$7:$I$46&gt;=R$3)))</f>
        <v/>
      </c>
      <c r="S23" s="45" t="str">
        <f aca="false">IF($A23="","",SUMPRODUCT(--ISNUMBER(SEARCH(","&amp;SUBSTITUTE($A23," ","")&amp;",",'Year Plan'!$BM$7:$BM$46)),--('Year Plan'!$H$7:$H$46&lt;&gt;""),--('Year Plan'!$H$7:$H$46&lt;=S$3+6),--('Year Plan'!$I$7:$I$46&gt;=S$3)))</f>
        <v/>
      </c>
      <c r="T23" s="45" t="str">
        <f aca="false">IF($A23="","",SUMPRODUCT(--ISNUMBER(SEARCH(","&amp;SUBSTITUTE($A23," ","")&amp;",",'Year Plan'!$BM$7:$BM$46)),--('Year Plan'!$H$7:$H$46&lt;&gt;""),--('Year Plan'!$H$7:$H$46&lt;=T$3+6),--('Year Plan'!$I$7:$I$46&gt;=T$3)))</f>
        <v/>
      </c>
      <c r="U23" s="45" t="str">
        <f aca="false">IF($A23="","",SUMPRODUCT(--ISNUMBER(SEARCH(","&amp;SUBSTITUTE($A23," ","")&amp;",",'Year Plan'!$BM$7:$BM$46)),--('Year Plan'!$H$7:$H$46&lt;&gt;""),--('Year Plan'!$H$7:$H$46&lt;=U$3+6),--('Year Plan'!$I$7:$I$46&gt;=U$3)))</f>
        <v/>
      </c>
      <c r="V23" s="45" t="str">
        <f aca="false">IF($A23="","",SUMPRODUCT(--ISNUMBER(SEARCH(","&amp;SUBSTITUTE($A23," ","")&amp;",",'Year Plan'!$BM$7:$BM$46)),--('Year Plan'!$H$7:$H$46&lt;&gt;""),--('Year Plan'!$H$7:$H$46&lt;=V$3+6),--('Year Plan'!$I$7:$I$46&gt;=V$3)))</f>
        <v/>
      </c>
      <c r="W23" s="45" t="str">
        <f aca="false">IF($A23="","",SUMPRODUCT(--ISNUMBER(SEARCH(","&amp;SUBSTITUTE($A23," ","")&amp;",",'Year Plan'!$BM$7:$BM$46)),--('Year Plan'!$H$7:$H$46&lt;&gt;""),--('Year Plan'!$H$7:$H$46&lt;=W$3+6),--('Year Plan'!$I$7:$I$46&gt;=W$3)))</f>
        <v/>
      </c>
      <c r="X23" s="45" t="str">
        <f aca="false">IF($A23="","",SUMPRODUCT(--ISNUMBER(SEARCH(","&amp;SUBSTITUTE($A23," ","")&amp;",",'Year Plan'!$BM$7:$BM$46)),--('Year Plan'!$H$7:$H$46&lt;&gt;""),--('Year Plan'!$H$7:$H$46&lt;=X$3+6),--('Year Plan'!$I$7:$I$46&gt;=X$3)))</f>
        <v/>
      </c>
      <c r="Y23" s="45" t="str">
        <f aca="false">IF($A23="","",SUMPRODUCT(--ISNUMBER(SEARCH(","&amp;SUBSTITUTE($A23," ","")&amp;",",'Year Plan'!$BM$7:$BM$46)),--('Year Plan'!$H$7:$H$46&lt;&gt;""),--('Year Plan'!$H$7:$H$46&lt;=Y$3+6),--('Year Plan'!$I$7:$I$46&gt;=Y$3)))</f>
        <v/>
      </c>
      <c r="Z23" s="45" t="str">
        <f aca="false">IF($A23="","",SUMPRODUCT(--ISNUMBER(SEARCH(","&amp;SUBSTITUTE($A23," ","")&amp;",",'Year Plan'!$BM$7:$BM$46)),--('Year Plan'!$H$7:$H$46&lt;&gt;""),--('Year Plan'!$H$7:$H$46&lt;=Z$3+6),--('Year Plan'!$I$7:$I$46&gt;=Z$3)))</f>
        <v/>
      </c>
      <c r="AA23" s="45" t="str">
        <f aca="false">IF($A23="","",SUMPRODUCT(--ISNUMBER(SEARCH(","&amp;SUBSTITUTE($A23," ","")&amp;",",'Year Plan'!$BM$7:$BM$46)),--('Year Plan'!$H$7:$H$46&lt;&gt;""),--('Year Plan'!$H$7:$H$46&lt;=AA$3+6),--('Year Plan'!$I$7:$I$46&gt;=AA$3)))</f>
        <v/>
      </c>
      <c r="AB23" s="45" t="str">
        <f aca="false">IF($A23="","",SUMPRODUCT(--ISNUMBER(SEARCH(","&amp;SUBSTITUTE($A23," ","")&amp;",",'Year Plan'!$BM$7:$BM$46)),--('Year Plan'!$H$7:$H$46&lt;&gt;""),--('Year Plan'!$H$7:$H$46&lt;=AB$3+6),--('Year Plan'!$I$7:$I$46&gt;=AB$3)))</f>
        <v/>
      </c>
      <c r="AC23" s="45" t="str">
        <f aca="false">IF($A23="","",SUMPRODUCT(--ISNUMBER(SEARCH(","&amp;SUBSTITUTE($A23," ","")&amp;",",'Year Plan'!$BM$7:$BM$46)),--('Year Plan'!$H$7:$H$46&lt;&gt;""),--('Year Plan'!$H$7:$H$46&lt;=AC$3+6),--('Year Plan'!$I$7:$I$46&gt;=AC$3)))</f>
        <v/>
      </c>
      <c r="AD23" s="45" t="str">
        <f aca="false">IF($A23="","",SUMPRODUCT(--ISNUMBER(SEARCH(","&amp;SUBSTITUTE($A23," ","")&amp;",",'Year Plan'!$BM$7:$BM$46)),--('Year Plan'!$H$7:$H$46&lt;&gt;""),--('Year Plan'!$H$7:$H$46&lt;=AD$3+6),--('Year Plan'!$I$7:$I$46&gt;=AD$3)))</f>
        <v/>
      </c>
      <c r="AE23" s="45" t="str">
        <f aca="false">IF($A23="","",SUMPRODUCT(--ISNUMBER(SEARCH(","&amp;SUBSTITUTE($A23," ","")&amp;",",'Year Plan'!$BM$7:$BM$46)),--('Year Plan'!$H$7:$H$46&lt;&gt;""),--('Year Plan'!$H$7:$H$46&lt;=AE$3+6),--('Year Plan'!$I$7:$I$46&gt;=AE$3)))</f>
        <v/>
      </c>
      <c r="AF23" s="45" t="str">
        <f aca="false">IF($A23="","",SUMPRODUCT(--ISNUMBER(SEARCH(","&amp;SUBSTITUTE($A23," ","")&amp;",",'Year Plan'!$BM$7:$BM$46)),--('Year Plan'!$H$7:$H$46&lt;&gt;""),--('Year Plan'!$H$7:$H$46&lt;=AF$3+6),--('Year Plan'!$I$7:$I$46&gt;=AF$3)))</f>
        <v/>
      </c>
      <c r="AG23" s="45" t="str">
        <f aca="false">IF($A23="","",SUMPRODUCT(--ISNUMBER(SEARCH(","&amp;SUBSTITUTE($A23," ","")&amp;",",'Year Plan'!$BM$7:$BM$46)),--('Year Plan'!$H$7:$H$46&lt;&gt;""),--('Year Plan'!$H$7:$H$46&lt;=AG$3+6),--('Year Plan'!$I$7:$I$46&gt;=AG$3)))</f>
        <v/>
      </c>
      <c r="AH23" s="45" t="str">
        <f aca="false">IF($A23="","",SUMPRODUCT(--ISNUMBER(SEARCH(","&amp;SUBSTITUTE($A23," ","")&amp;",",'Year Plan'!$BM$7:$BM$46)),--('Year Plan'!$H$7:$H$46&lt;&gt;""),--('Year Plan'!$H$7:$H$46&lt;=AH$3+6),--('Year Plan'!$I$7:$I$46&gt;=AH$3)))</f>
        <v/>
      </c>
      <c r="AI23" s="45" t="str">
        <f aca="false">IF($A23="","",SUMPRODUCT(--ISNUMBER(SEARCH(","&amp;SUBSTITUTE($A23," ","")&amp;",",'Year Plan'!$BM$7:$BM$46)),--('Year Plan'!$H$7:$H$46&lt;&gt;""),--('Year Plan'!$H$7:$H$46&lt;=AI$3+6),--('Year Plan'!$I$7:$I$46&gt;=AI$3)))</f>
        <v/>
      </c>
      <c r="AJ23" s="45" t="str">
        <f aca="false">IF($A23="","",SUMPRODUCT(--ISNUMBER(SEARCH(","&amp;SUBSTITUTE($A23," ","")&amp;",",'Year Plan'!$BM$7:$BM$46)),--('Year Plan'!$H$7:$H$46&lt;&gt;""),--('Year Plan'!$H$7:$H$46&lt;=AJ$3+6),--('Year Plan'!$I$7:$I$46&gt;=AJ$3)))</f>
        <v/>
      </c>
      <c r="AK23" s="45" t="str">
        <f aca="false">IF($A23="","",SUMPRODUCT(--ISNUMBER(SEARCH(","&amp;SUBSTITUTE($A23," ","")&amp;",",'Year Plan'!$BM$7:$BM$46)),--('Year Plan'!$H$7:$H$46&lt;&gt;""),--('Year Plan'!$H$7:$H$46&lt;=AK$3+6),--('Year Plan'!$I$7:$I$46&gt;=AK$3)))</f>
        <v/>
      </c>
      <c r="AL23" s="45" t="str">
        <f aca="false">IF($A23="","",SUMPRODUCT(--ISNUMBER(SEARCH(","&amp;SUBSTITUTE($A23," ","")&amp;",",'Year Plan'!$BM$7:$BM$46)),--('Year Plan'!$H$7:$H$46&lt;&gt;""),--('Year Plan'!$H$7:$H$46&lt;=AL$3+6),--('Year Plan'!$I$7:$I$46&gt;=AL$3)))</f>
        <v/>
      </c>
      <c r="AM23" s="45" t="str">
        <f aca="false">IF($A23="","",SUMPRODUCT(--ISNUMBER(SEARCH(","&amp;SUBSTITUTE($A23," ","")&amp;",",'Year Plan'!$BM$7:$BM$46)),--('Year Plan'!$H$7:$H$46&lt;&gt;""),--('Year Plan'!$H$7:$H$46&lt;=AM$3+6),--('Year Plan'!$I$7:$I$46&gt;=AM$3)))</f>
        <v/>
      </c>
      <c r="AN23" s="45" t="str">
        <f aca="false">IF($A23="","",SUMPRODUCT(--ISNUMBER(SEARCH(","&amp;SUBSTITUTE($A23," ","")&amp;",",'Year Plan'!$BM$7:$BM$46)),--('Year Plan'!$H$7:$H$46&lt;&gt;""),--('Year Plan'!$H$7:$H$46&lt;=AN$3+6),--('Year Plan'!$I$7:$I$46&gt;=AN$3)))</f>
        <v/>
      </c>
      <c r="AO23" s="45" t="str">
        <f aca="false">IF($A23="","",SUMPRODUCT(--ISNUMBER(SEARCH(","&amp;SUBSTITUTE($A23," ","")&amp;",",'Year Plan'!$BM$7:$BM$46)),--('Year Plan'!$H$7:$H$46&lt;&gt;""),--('Year Plan'!$H$7:$H$46&lt;=AO$3+6),--('Year Plan'!$I$7:$I$46&gt;=AO$3)))</f>
        <v/>
      </c>
      <c r="AP23" s="45" t="str">
        <f aca="false">IF($A23="","",SUMPRODUCT(--ISNUMBER(SEARCH(","&amp;SUBSTITUTE($A23," ","")&amp;",",'Year Plan'!$BM$7:$BM$46)),--('Year Plan'!$H$7:$H$46&lt;&gt;""),--('Year Plan'!$H$7:$H$46&lt;=AP$3+6),--('Year Plan'!$I$7:$I$46&gt;=AP$3)))</f>
        <v/>
      </c>
      <c r="AQ23" s="45" t="str">
        <f aca="false">IF($A23="","",SUMPRODUCT(--ISNUMBER(SEARCH(","&amp;SUBSTITUTE($A23," ","")&amp;",",'Year Plan'!$BM$7:$BM$46)),--('Year Plan'!$H$7:$H$46&lt;&gt;""),--('Year Plan'!$H$7:$H$46&lt;=AQ$3+6),--('Year Plan'!$I$7:$I$46&gt;=AQ$3)))</f>
        <v/>
      </c>
      <c r="AR23" s="45" t="str">
        <f aca="false">IF($A23="","",SUMPRODUCT(--ISNUMBER(SEARCH(","&amp;SUBSTITUTE($A23," ","")&amp;",",'Year Plan'!$BM$7:$BM$46)),--('Year Plan'!$H$7:$H$46&lt;&gt;""),--('Year Plan'!$H$7:$H$46&lt;=AR$3+6),--('Year Plan'!$I$7:$I$46&gt;=AR$3)))</f>
        <v/>
      </c>
      <c r="AS23" s="45" t="str">
        <f aca="false">IF($A23="","",SUMPRODUCT(--ISNUMBER(SEARCH(","&amp;SUBSTITUTE($A23," ","")&amp;",",'Year Plan'!$BM$7:$BM$46)),--('Year Plan'!$H$7:$H$46&lt;&gt;""),--('Year Plan'!$H$7:$H$46&lt;=AS$3+6),--('Year Plan'!$I$7:$I$46&gt;=AS$3)))</f>
        <v/>
      </c>
      <c r="AT23" s="45" t="str">
        <f aca="false">IF($A23="","",SUMPRODUCT(--ISNUMBER(SEARCH(","&amp;SUBSTITUTE($A23," ","")&amp;",",'Year Plan'!$BM$7:$BM$46)),--('Year Plan'!$H$7:$H$46&lt;&gt;""),--('Year Plan'!$H$7:$H$46&lt;=AT$3+6),--('Year Plan'!$I$7:$I$46&gt;=AT$3)))</f>
        <v/>
      </c>
      <c r="AU23" s="45" t="str">
        <f aca="false">IF($A23="","",SUMPRODUCT(--ISNUMBER(SEARCH(","&amp;SUBSTITUTE($A23," ","")&amp;",",'Year Plan'!$BM$7:$BM$46)),--('Year Plan'!$H$7:$H$46&lt;&gt;""),--('Year Plan'!$H$7:$H$46&lt;=AU$3+6),--('Year Plan'!$I$7:$I$46&gt;=AU$3)))</f>
        <v/>
      </c>
      <c r="AV23" s="45" t="str">
        <f aca="false">IF($A23="","",SUMPRODUCT(--ISNUMBER(SEARCH(","&amp;SUBSTITUTE($A23," ","")&amp;",",'Year Plan'!$BM$7:$BM$46)),--('Year Plan'!$H$7:$H$46&lt;&gt;""),--('Year Plan'!$H$7:$H$46&lt;=AV$3+6),--('Year Plan'!$I$7:$I$46&gt;=AV$3)))</f>
        <v/>
      </c>
      <c r="AW23" s="45" t="str">
        <f aca="false">IF($A23="","",SUMPRODUCT(--ISNUMBER(SEARCH(","&amp;SUBSTITUTE($A23," ","")&amp;",",'Year Plan'!$BM$7:$BM$46)),--('Year Plan'!$H$7:$H$46&lt;&gt;""),--('Year Plan'!$H$7:$H$46&lt;=AW$3+6),--('Year Plan'!$I$7:$I$46&gt;=AW$3)))</f>
        <v/>
      </c>
      <c r="AX23" s="45" t="str">
        <f aca="false">IF($A23="","",SUMPRODUCT(--ISNUMBER(SEARCH(","&amp;SUBSTITUTE($A23," ","")&amp;",",'Year Plan'!$BM$7:$BM$46)),--('Year Plan'!$H$7:$H$46&lt;&gt;""),--('Year Plan'!$H$7:$H$46&lt;=AX$3+6),--('Year Plan'!$I$7:$I$46&gt;=AX$3)))</f>
        <v/>
      </c>
      <c r="AY23" s="45" t="str">
        <f aca="false">IF($A23="","",SUMPRODUCT(--ISNUMBER(SEARCH(","&amp;SUBSTITUTE($A23," ","")&amp;",",'Year Plan'!$BM$7:$BM$46)),--('Year Plan'!$H$7:$H$46&lt;&gt;""),--('Year Plan'!$H$7:$H$46&lt;=AY$3+6),--('Year Plan'!$I$7:$I$46&gt;=AY$3)))</f>
        <v/>
      </c>
      <c r="AZ23" s="45" t="str">
        <f aca="false">IF($A23="","",SUMPRODUCT(--ISNUMBER(SEARCH(","&amp;SUBSTITUTE($A23," ","")&amp;",",'Year Plan'!$BM$7:$BM$46)),--('Year Plan'!$H$7:$H$46&lt;&gt;""),--('Year Plan'!$H$7:$H$46&lt;=AZ$3+6),--('Year Plan'!$I$7:$I$46&gt;=AZ$3)))</f>
        <v/>
      </c>
      <c r="BA23" s="45" t="str">
        <f aca="false">IF($A23="","",SUMPRODUCT(--ISNUMBER(SEARCH(","&amp;SUBSTITUTE($A23," ","")&amp;",",'Year Plan'!$BM$7:$BM$46)),--('Year Plan'!$H$7:$H$46&lt;&gt;""),--('Year Plan'!$H$7:$H$46&lt;=BA$3+6),--('Year Plan'!$I$7:$I$46&gt;=BA$3)))</f>
        <v/>
      </c>
      <c r="BB23" s="45" t="str">
        <f aca="false">IF($A23="","",SUMPRODUCT(--ISNUMBER(SEARCH(","&amp;SUBSTITUTE($A23," ","")&amp;",",'Year Plan'!$BM$7:$BM$46)),--('Year Plan'!$H$7:$H$46&lt;&gt;""),--('Year Plan'!$H$7:$H$46&lt;=BB$3+6),--('Year Plan'!$I$7:$I$46&gt;=BB$3)))</f>
        <v/>
      </c>
      <c r="BC23" s="45" t="str">
        <f aca="false">IF($A23="","",SUMPRODUCT(--ISNUMBER(SEARCH(","&amp;SUBSTITUTE($A23," ","")&amp;",",'Year Plan'!$BM$7:$BM$46)),--('Year Plan'!$H$7:$H$46&lt;&gt;""),--('Year Plan'!$H$7:$H$46&lt;=BC$3+6),--('Year Plan'!$I$7:$I$46&gt;=BC$3)))</f>
        <v/>
      </c>
    </row>
    <row r="24" customFormat="false" ht="19.5" hidden="false" customHeight="true" outlineLevel="0" collapsed="false">
      <c r="A24" s="39" t="str">
        <f aca="false">IF(Setup!$B$28="","",Setup!$B$28)</f>
        <v/>
      </c>
      <c r="B24" s="39" t="str">
        <f aca="false">IF(Setup!$B$28="","",Setup!$C$28)</f>
        <v/>
      </c>
      <c r="C24" s="44" t="str">
        <f aca="false">IF($A24="","",SUMPRODUCT(--ISNUMBER(SEARCH(","&amp;SUBSTITUTE($A24," ","")&amp;",",'Year Plan'!$BM$7:$BM$46))))</f>
        <v/>
      </c>
      <c r="D24" s="45" t="str">
        <f aca="false">IF($A24="","",SUMPRODUCT(--ISNUMBER(SEARCH(","&amp;SUBSTITUTE($A24," ","")&amp;",",'Year Plan'!$BM$7:$BM$46)),--('Year Plan'!$H$7:$H$46&lt;&gt;""),--('Year Plan'!$H$7:$H$46&lt;=D$3+6),--('Year Plan'!$I$7:$I$46&gt;=D$3)))</f>
        <v/>
      </c>
      <c r="E24" s="45" t="str">
        <f aca="false">IF($A24="","",SUMPRODUCT(--ISNUMBER(SEARCH(","&amp;SUBSTITUTE($A24," ","")&amp;",",'Year Plan'!$BM$7:$BM$46)),--('Year Plan'!$H$7:$H$46&lt;&gt;""),--('Year Plan'!$H$7:$H$46&lt;=E$3+6),--('Year Plan'!$I$7:$I$46&gt;=E$3)))</f>
        <v/>
      </c>
      <c r="F24" s="45" t="str">
        <f aca="false">IF($A24="","",SUMPRODUCT(--ISNUMBER(SEARCH(","&amp;SUBSTITUTE($A24," ","")&amp;",",'Year Plan'!$BM$7:$BM$46)),--('Year Plan'!$H$7:$H$46&lt;&gt;""),--('Year Plan'!$H$7:$H$46&lt;=F$3+6),--('Year Plan'!$I$7:$I$46&gt;=F$3)))</f>
        <v/>
      </c>
      <c r="G24" s="45" t="str">
        <f aca="false">IF($A24="","",SUMPRODUCT(--ISNUMBER(SEARCH(","&amp;SUBSTITUTE($A24," ","")&amp;",",'Year Plan'!$BM$7:$BM$46)),--('Year Plan'!$H$7:$H$46&lt;&gt;""),--('Year Plan'!$H$7:$H$46&lt;=G$3+6),--('Year Plan'!$I$7:$I$46&gt;=G$3)))</f>
        <v/>
      </c>
      <c r="H24" s="45" t="str">
        <f aca="false">IF($A24="","",SUMPRODUCT(--ISNUMBER(SEARCH(","&amp;SUBSTITUTE($A24," ","")&amp;",",'Year Plan'!$BM$7:$BM$46)),--('Year Plan'!$H$7:$H$46&lt;&gt;""),--('Year Plan'!$H$7:$H$46&lt;=H$3+6),--('Year Plan'!$I$7:$I$46&gt;=H$3)))</f>
        <v/>
      </c>
      <c r="I24" s="45" t="str">
        <f aca="false">IF($A24="","",SUMPRODUCT(--ISNUMBER(SEARCH(","&amp;SUBSTITUTE($A24," ","")&amp;",",'Year Plan'!$BM$7:$BM$46)),--('Year Plan'!$H$7:$H$46&lt;&gt;""),--('Year Plan'!$H$7:$H$46&lt;=I$3+6),--('Year Plan'!$I$7:$I$46&gt;=I$3)))</f>
        <v/>
      </c>
      <c r="J24" s="45" t="str">
        <f aca="false">IF($A24="","",SUMPRODUCT(--ISNUMBER(SEARCH(","&amp;SUBSTITUTE($A24," ","")&amp;",",'Year Plan'!$BM$7:$BM$46)),--('Year Plan'!$H$7:$H$46&lt;&gt;""),--('Year Plan'!$H$7:$H$46&lt;=J$3+6),--('Year Plan'!$I$7:$I$46&gt;=J$3)))</f>
        <v/>
      </c>
      <c r="K24" s="45" t="str">
        <f aca="false">IF($A24="","",SUMPRODUCT(--ISNUMBER(SEARCH(","&amp;SUBSTITUTE($A24," ","")&amp;",",'Year Plan'!$BM$7:$BM$46)),--('Year Plan'!$H$7:$H$46&lt;&gt;""),--('Year Plan'!$H$7:$H$46&lt;=K$3+6),--('Year Plan'!$I$7:$I$46&gt;=K$3)))</f>
        <v/>
      </c>
      <c r="L24" s="45" t="str">
        <f aca="false">IF($A24="","",SUMPRODUCT(--ISNUMBER(SEARCH(","&amp;SUBSTITUTE($A24," ","")&amp;",",'Year Plan'!$BM$7:$BM$46)),--('Year Plan'!$H$7:$H$46&lt;&gt;""),--('Year Plan'!$H$7:$H$46&lt;=L$3+6),--('Year Plan'!$I$7:$I$46&gt;=L$3)))</f>
        <v/>
      </c>
      <c r="M24" s="45" t="str">
        <f aca="false">IF($A24="","",SUMPRODUCT(--ISNUMBER(SEARCH(","&amp;SUBSTITUTE($A24," ","")&amp;",",'Year Plan'!$BM$7:$BM$46)),--('Year Plan'!$H$7:$H$46&lt;&gt;""),--('Year Plan'!$H$7:$H$46&lt;=M$3+6),--('Year Plan'!$I$7:$I$46&gt;=M$3)))</f>
        <v/>
      </c>
      <c r="N24" s="45" t="str">
        <f aca="false">IF($A24="","",SUMPRODUCT(--ISNUMBER(SEARCH(","&amp;SUBSTITUTE($A24," ","")&amp;",",'Year Plan'!$BM$7:$BM$46)),--('Year Plan'!$H$7:$H$46&lt;&gt;""),--('Year Plan'!$H$7:$H$46&lt;=N$3+6),--('Year Plan'!$I$7:$I$46&gt;=N$3)))</f>
        <v/>
      </c>
      <c r="O24" s="45" t="str">
        <f aca="false">IF($A24="","",SUMPRODUCT(--ISNUMBER(SEARCH(","&amp;SUBSTITUTE($A24," ","")&amp;",",'Year Plan'!$BM$7:$BM$46)),--('Year Plan'!$H$7:$H$46&lt;&gt;""),--('Year Plan'!$H$7:$H$46&lt;=O$3+6),--('Year Plan'!$I$7:$I$46&gt;=O$3)))</f>
        <v/>
      </c>
      <c r="P24" s="45" t="str">
        <f aca="false">IF($A24="","",SUMPRODUCT(--ISNUMBER(SEARCH(","&amp;SUBSTITUTE($A24," ","")&amp;",",'Year Plan'!$BM$7:$BM$46)),--('Year Plan'!$H$7:$H$46&lt;&gt;""),--('Year Plan'!$H$7:$H$46&lt;=P$3+6),--('Year Plan'!$I$7:$I$46&gt;=P$3)))</f>
        <v/>
      </c>
      <c r="Q24" s="45" t="str">
        <f aca="false">IF($A24="","",SUMPRODUCT(--ISNUMBER(SEARCH(","&amp;SUBSTITUTE($A24," ","")&amp;",",'Year Plan'!$BM$7:$BM$46)),--('Year Plan'!$H$7:$H$46&lt;&gt;""),--('Year Plan'!$H$7:$H$46&lt;=Q$3+6),--('Year Plan'!$I$7:$I$46&gt;=Q$3)))</f>
        <v/>
      </c>
      <c r="R24" s="45" t="str">
        <f aca="false">IF($A24="","",SUMPRODUCT(--ISNUMBER(SEARCH(","&amp;SUBSTITUTE($A24," ","")&amp;",",'Year Plan'!$BM$7:$BM$46)),--('Year Plan'!$H$7:$H$46&lt;&gt;""),--('Year Plan'!$H$7:$H$46&lt;=R$3+6),--('Year Plan'!$I$7:$I$46&gt;=R$3)))</f>
        <v/>
      </c>
      <c r="S24" s="45" t="str">
        <f aca="false">IF($A24="","",SUMPRODUCT(--ISNUMBER(SEARCH(","&amp;SUBSTITUTE($A24," ","")&amp;",",'Year Plan'!$BM$7:$BM$46)),--('Year Plan'!$H$7:$H$46&lt;&gt;""),--('Year Plan'!$H$7:$H$46&lt;=S$3+6),--('Year Plan'!$I$7:$I$46&gt;=S$3)))</f>
        <v/>
      </c>
      <c r="T24" s="45" t="str">
        <f aca="false">IF($A24="","",SUMPRODUCT(--ISNUMBER(SEARCH(","&amp;SUBSTITUTE($A24," ","")&amp;",",'Year Plan'!$BM$7:$BM$46)),--('Year Plan'!$H$7:$H$46&lt;&gt;""),--('Year Plan'!$H$7:$H$46&lt;=T$3+6),--('Year Plan'!$I$7:$I$46&gt;=T$3)))</f>
        <v/>
      </c>
      <c r="U24" s="45" t="str">
        <f aca="false">IF($A24="","",SUMPRODUCT(--ISNUMBER(SEARCH(","&amp;SUBSTITUTE($A24," ","")&amp;",",'Year Plan'!$BM$7:$BM$46)),--('Year Plan'!$H$7:$H$46&lt;&gt;""),--('Year Plan'!$H$7:$H$46&lt;=U$3+6),--('Year Plan'!$I$7:$I$46&gt;=U$3)))</f>
        <v/>
      </c>
      <c r="V24" s="45" t="str">
        <f aca="false">IF($A24="","",SUMPRODUCT(--ISNUMBER(SEARCH(","&amp;SUBSTITUTE($A24," ","")&amp;",",'Year Plan'!$BM$7:$BM$46)),--('Year Plan'!$H$7:$H$46&lt;&gt;""),--('Year Plan'!$H$7:$H$46&lt;=V$3+6),--('Year Plan'!$I$7:$I$46&gt;=V$3)))</f>
        <v/>
      </c>
      <c r="W24" s="45" t="str">
        <f aca="false">IF($A24="","",SUMPRODUCT(--ISNUMBER(SEARCH(","&amp;SUBSTITUTE($A24," ","")&amp;",",'Year Plan'!$BM$7:$BM$46)),--('Year Plan'!$H$7:$H$46&lt;&gt;""),--('Year Plan'!$H$7:$H$46&lt;=W$3+6),--('Year Plan'!$I$7:$I$46&gt;=W$3)))</f>
        <v/>
      </c>
      <c r="X24" s="45" t="str">
        <f aca="false">IF($A24="","",SUMPRODUCT(--ISNUMBER(SEARCH(","&amp;SUBSTITUTE($A24," ","")&amp;",",'Year Plan'!$BM$7:$BM$46)),--('Year Plan'!$H$7:$H$46&lt;&gt;""),--('Year Plan'!$H$7:$H$46&lt;=X$3+6),--('Year Plan'!$I$7:$I$46&gt;=X$3)))</f>
        <v/>
      </c>
      <c r="Y24" s="45" t="str">
        <f aca="false">IF($A24="","",SUMPRODUCT(--ISNUMBER(SEARCH(","&amp;SUBSTITUTE($A24," ","")&amp;",",'Year Plan'!$BM$7:$BM$46)),--('Year Plan'!$H$7:$H$46&lt;&gt;""),--('Year Plan'!$H$7:$H$46&lt;=Y$3+6),--('Year Plan'!$I$7:$I$46&gt;=Y$3)))</f>
        <v/>
      </c>
      <c r="Z24" s="45" t="str">
        <f aca="false">IF($A24="","",SUMPRODUCT(--ISNUMBER(SEARCH(","&amp;SUBSTITUTE($A24," ","")&amp;",",'Year Plan'!$BM$7:$BM$46)),--('Year Plan'!$H$7:$H$46&lt;&gt;""),--('Year Plan'!$H$7:$H$46&lt;=Z$3+6),--('Year Plan'!$I$7:$I$46&gt;=Z$3)))</f>
        <v/>
      </c>
      <c r="AA24" s="45" t="str">
        <f aca="false">IF($A24="","",SUMPRODUCT(--ISNUMBER(SEARCH(","&amp;SUBSTITUTE($A24," ","")&amp;",",'Year Plan'!$BM$7:$BM$46)),--('Year Plan'!$H$7:$H$46&lt;&gt;""),--('Year Plan'!$H$7:$H$46&lt;=AA$3+6),--('Year Plan'!$I$7:$I$46&gt;=AA$3)))</f>
        <v/>
      </c>
      <c r="AB24" s="45" t="str">
        <f aca="false">IF($A24="","",SUMPRODUCT(--ISNUMBER(SEARCH(","&amp;SUBSTITUTE($A24," ","")&amp;",",'Year Plan'!$BM$7:$BM$46)),--('Year Plan'!$H$7:$H$46&lt;&gt;""),--('Year Plan'!$H$7:$H$46&lt;=AB$3+6),--('Year Plan'!$I$7:$I$46&gt;=AB$3)))</f>
        <v/>
      </c>
      <c r="AC24" s="45" t="str">
        <f aca="false">IF($A24="","",SUMPRODUCT(--ISNUMBER(SEARCH(","&amp;SUBSTITUTE($A24," ","")&amp;",",'Year Plan'!$BM$7:$BM$46)),--('Year Plan'!$H$7:$H$46&lt;&gt;""),--('Year Plan'!$H$7:$H$46&lt;=AC$3+6),--('Year Plan'!$I$7:$I$46&gt;=AC$3)))</f>
        <v/>
      </c>
      <c r="AD24" s="45" t="str">
        <f aca="false">IF($A24="","",SUMPRODUCT(--ISNUMBER(SEARCH(","&amp;SUBSTITUTE($A24," ","")&amp;",",'Year Plan'!$BM$7:$BM$46)),--('Year Plan'!$H$7:$H$46&lt;&gt;""),--('Year Plan'!$H$7:$H$46&lt;=AD$3+6),--('Year Plan'!$I$7:$I$46&gt;=AD$3)))</f>
        <v/>
      </c>
      <c r="AE24" s="45" t="str">
        <f aca="false">IF($A24="","",SUMPRODUCT(--ISNUMBER(SEARCH(","&amp;SUBSTITUTE($A24," ","")&amp;",",'Year Plan'!$BM$7:$BM$46)),--('Year Plan'!$H$7:$H$46&lt;&gt;""),--('Year Plan'!$H$7:$H$46&lt;=AE$3+6),--('Year Plan'!$I$7:$I$46&gt;=AE$3)))</f>
        <v/>
      </c>
      <c r="AF24" s="45" t="str">
        <f aca="false">IF($A24="","",SUMPRODUCT(--ISNUMBER(SEARCH(","&amp;SUBSTITUTE($A24," ","")&amp;",",'Year Plan'!$BM$7:$BM$46)),--('Year Plan'!$H$7:$H$46&lt;&gt;""),--('Year Plan'!$H$7:$H$46&lt;=AF$3+6),--('Year Plan'!$I$7:$I$46&gt;=AF$3)))</f>
        <v/>
      </c>
      <c r="AG24" s="45" t="str">
        <f aca="false">IF($A24="","",SUMPRODUCT(--ISNUMBER(SEARCH(","&amp;SUBSTITUTE($A24," ","")&amp;",",'Year Plan'!$BM$7:$BM$46)),--('Year Plan'!$H$7:$H$46&lt;&gt;""),--('Year Plan'!$H$7:$H$46&lt;=AG$3+6),--('Year Plan'!$I$7:$I$46&gt;=AG$3)))</f>
        <v/>
      </c>
      <c r="AH24" s="45" t="str">
        <f aca="false">IF($A24="","",SUMPRODUCT(--ISNUMBER(SEARCH(","&amp;SUBSTITUTE($A24," ","")&amp;",",'Year Plan'!$BM$7:$BM$46)),--('Year Plan'!$H$7:$H$46&lt;&gt;""),--('Year Plan'!$H$7:$H$46&lt;=AH$3+6),--('Year Plan'!$I$7:$I$46&gt;=AH$3)))</f>
        <v/>
      </c>
      <c r="AI24" s="45" t="str">
        <f aca="false">IF($A24="","",SUMPRODUCT(--ISNUMBER(SEARCH(","&amp;SUBSTITUTE($A24," ","")&amp;",",'Year Plan'!$BM$7:$BM$46)),--('Year Plan'!$H$7:$H$46&lt;&gt;""),--('Year Plan'!$H$7:$H$46&lt;=AI$3+6),--('Year Plan'!$I$7:$I$46&gt;=AI$3)))</f>
        <v/>
      </c>
      <c r="AJ24" s="45" t="str">
        <f aca="false">IF($A24="","",SUMPRODUCT(--ISNUMBER(SEARCH(","&amp;SUBSTITUTE($A24," ","")&amp;",",'Year Plan'!$BM$7:$BM$46)),--('Year Plan'!$H$7:$H$46&lt;&gt;""),--('Year Plan'!$H$7:$H$46&lt;=AJ$3+6),--('Year Plan'!$I$7:$I$46&gt;=AJ$3)))</f>
        <v/>
      </c>
      <c r="AK24" s="45" t="str">
        <f aca="false">IF($A24="","",SUMPRODUCT(--ISNUMBER(SEARCH(","&amp;SUBSTITUTE($A24," ","")&amp;",",'Year Plan'!$BM$7:$BM$46)),--('Year Plan'!$H$7:$H$46&lt;&gt;""),--('Year Plan'!$H$7:$H$46&lt;=AK$3+6),--('Year Plan'!$I$7:$I$46&gt;=AK$3)))</f>
        <v/>
      </c>
      <c r="AL24" s="45" t="str">
        <f aca="false">IF($A24="","",SUMPRODUCT(--ISNUMBER(SEARCH(","&amp;SUBSTITUTE($A24," ","")&amp;",",'Year Plan'!$BM$7:$BM$46)),--('Year Plan'!$H$7:$H$46&lt;&gt;""),--('Year Plan'!$H$7:$H$46&lt;=AL$3+6),--('Year Plan'!$I$7:$I$46&gt;=AL$3)))</f>
        <v/>
      </c>
      <c r="AM24" s="45" t="str">
        <f aca="false">IF($A24="","",SUMPRODUCT(--ISNUMBER(SEARCH(","&amp;SUBSTITUTE($A24," ","")&amp;",",'Year Plan'!$BM$7:$BM$46)),--('Year Plan'!$H$7:$H$46&lt;&gt;""),--('Year Plan'!$H$7:$H$46&lt;=AM$3+6),--('Year Plan'!$I$7:$I$46&gt;=AM$3)))</f>
        <v/>
      </c>
      <c r="AN24" s="45" t="str">
        <f aca="false">IF($A24="","",SUMPRODUCT(--ISNUMBER(SEARCH(","&amp;SUBSTITUTE($A24," ","")&amp;",",'Year Plan'!$BM$7:$BM$46)),--('Year Plan'!$H$7:$H$46&lt;&gt;""),--('Year Plan'!$H$7:$H$46&lt;=AN$3+6),--('Year Plan'!$I$7:$I$46&gt;=AN$3)))</f>
        <v/>
      </c>
      <c r="AO24" s="45" t="str">
        <f aca="false">IF($A24="","",SUMPRODUCT(--ISNUMBER(SEARCH(","&amp;SUBSTITUTE($A24," ","")&amp;",",'Year Plan'!$BM$7:$BM$46)),--('Year Plan'!$H$7:$H$46&lt;&gt;""),--('Year Plan'!$H$7:$H$46&lt;=AO$3+6),--('Year Plan'!$I$7:$I$46&gt;=AO$3)))</f>
        <v/>
      </c>
      <c r="AP24" s="45" t="str">
        <f aca="false">IF($A24="","",SUMPRODUCT(--ISNUMBER(SEARCH(","&amp;SUBSTITUTE($A24," ","")&amp;",",'Year Plan'!$BM$7:$BM$46)),--('Year Plan'!$H$7:$H$46&lt;&gt;""),--('Year Plan'!$H$7:$H$46&lt;=AP$3+6),--('Year Plan'!$I$7:$I$46&gt;=AP$3)))</f>
        <v/>
      </c>
      <c r="AQ24" s="45" t="str">
        <f aca="false">IF($A24="","",SUMPRODUCT(--ISNUMBER(SEARCH(","&amp;SUBSTITUTE($A24," ","")&amp;",",'Year Plan'!$BM$7:$BM$46)),--('Year Plan'!$H$7:$H$46&lt;&gt;""),--('Year Plan'!$H$7:$H$46&lt;=AQ$3+6),--('Year Plan'!$I$7:$I$46&gt;=AQ$3)))</f>
        <v/>
      </c>
      <c r="AR24" s="45" t="str">
        <f aca="false">IF($A24="","",SUMPRODUCT(--ISNUMBER(SEARCH(","&amp;SUBSTITUTE($A24," ","")&amp;",",'Year Plan'!$BM$7:$BM$46)),--('Year Plan'!$H$7:$H$46&lt;&gt;""),--('Year Plan'!$H$7:$H$46&lt;=AR$3+6),--('Year Plan'!$I$7:$I$46&gt;=AR$3)))</f>
        <v/>
      </c>
      <c r="AS24" s="45" t="str">
        <f aca="false">IF($A24="","",SUMPRODUCT(--ISNUMBER(SEARCH(","&amp;SUBSTITUTE($A24," ","")&amp;",",'Year Plan'!$BM$7:$BM$46)),--('Year Plan'!$H$7:$H$46&lt;&gt;""),--('Year Plan'!$H$7:$H$46&lt;=AS$3+6),--('Year Plan'!$I$7:$I$46&gt;=AS$3)))</f>
        <v/>
      </c>
      <c r="AT24" s="45" t="str">
        <f aca="false">IF($A24="","",SUMPRODUCT(--ISNUMBER(SEARCH(","&amp;SUBSTITUTE($A24," ","")&amp;",",'Year Plan'!$BM$7:$BM$46)),--('Year Plan'!$H$7:$H$46&lt;&gt;""),--('Year Plan'!$H$7:$H$46&lt;=AT$3+6),--('Year Plan'!$I$7:$I$46&gt;=AT$3)))</f>
        <v/>
      </c>
      <c r="AU24" s="45" t="str">
        <f aca="false">IF($A24="","",SUMPRODUCT(--ISNUMBER(SEARCH(","&amp;SUBSTITUTE($A24," ","")&amp;",",'Year Plan'!$BM$7:$BM$46)),--('Year Plan'!$H$7:$H$46&lt;&gt;""),--('Year Plan'!$H$7:$H$46&lt;=AU$3+6),--('Year Plan'!$I$7:$I$46&gt;=AU$3)))</f>
        <v/>
      </c>
      <c r="AV24" s="45" t="str">
        <f aca="false">IF($A24="","",SUMPRODUCT(--ISNUMBER(SEARCH(","&amp;SUBSTITUTE($A24," ","")&amp;",",'Year Plan'!$BM$7:$BM$46)),--('Year Plan'!$H$7:$H$46&lt;&gt;""),--('Year Plan'!$H$7:$H$46&lt;=AV$3+6),--('Year Plan'!$I$7:$I$46&gt;=AV$3)))</f>
        <v/>
      </c>
      <c r="AW24" s="45" t="str">
        <f aca="false">IF($A24="","",SUMPRODUCT(--ISNUMBER(SEARCH(","&amp;SUBSTITUTE($A24," ","")&amp;",",'Year Plan'!$BM$7:$BM$46)),--('Year Plan'!$H$7:$H$46&lt;&gt;""),--('Year Plan'!$H$7:$H$46&lt;=AW$3+6),--('Year Plan'!$I$7:$I$46&gt;=AW$3)))</f>
        <v/>
      </c>
      <c r="AX24" s="45" t="str">
        <f aca="false">IF($A24="","",SUMPRODUCT(--ISNUMBER(SEARCH(","&amp;SUBSTITUTE($A24," ","")&amp;",",'Year Plan'!$BM$7:$BM$46)),--('Year Plan'!$H$7:$H$46&lt;&gt;""),--('Year Plan'!$H$7:$H$46&lt;=AX$3+6),--('Year Plan'!$I$7:$I$46&gt;=AX$3)))</f>
        <v/>
      </c>
      <c r="AY24" s="45" t="str">
        <f aca="false">IF($A24="","",SUMPRODUCT(--ISNUMBER(SEARCH(","&amp;SUBSTITUTE($A24," ","")&amp;",",'Year Plan'!$BM$7:$BM$46)),--('Year Plan'!$H$7:$H$46&lt;&gt;""),--('Year Plan'!$H$7:$H$46&lt;=AY$3+6),--('Year Plan'!$I$7:$I$46&gt;=AY$3)))</f>
        <v/>
      </c>
      <c r="AZ24" s="45" t="str">
        <f aca="false">IF($A24="","",SUMPRODUCT(--ISNUMBER(SEARCH(","&amp;SUBSTITUTE($A24," ","")&amp;",",'Year Plan'!$BM$7:$BM$46)),--('Year Plan'!$H$7:$H$46&lt;&gt;""),--('Year Plan'!$H$7:$H$46&lt;=AZ$3+6),--('Year Plan'!$I$7:$I$46&gt;=AZ$3)))</f>
        <v/>
      </c>
      <c r="BA24" s="45" t="str">
        <f aca="false">IF($A24="","",SUMPRODUCT(--ISNUMBER(SEARCH(","&amp;SUBSTITUTE($A24," ","")&amp;",",'Year Plan'!$BM$7:$BM$46)),--('Year Plan'!$H$7:$H$46&lt;&gt;""),--('Year Plan'!$H$7:$H$46&lt;=BA$3+6),--('Year Plan'!$I$7:$I$46&gt;=BA$3)))</f>
        <v/>
      </c>
      <c r="BB24" s="45" t="str">
        <f aca="false">IF($A24="","",SUMPRODUCT(--ISNUMBER(SEARCH(","&amp;SUBSTITUTE($A24," ","")&amp;",",'Year Plan'!$BM$7:$BM$46)),--('Year Plan'!$H$7:$H$46&lt;&gt;""),--('Year Plan'!$H$7:$H$46&lt;=BB$3+6),--('Year Plan'!$I$7:$I$46&gt;=BB$3)))</f>
        <v/>
      </c>
      <c r="BC24" s="45" t="str">
        <f aca="false">IF($A24="","",SUMPRODUCT(--ISNUMBER(SEARCH(","&amp;SUBSTITUTE($A24," ","")&amp;",",'Year Plan'!$BM$7:$BM$46)),--('Year Plan'!$H$7:$H$46&lt;&gt;""),--('Year Plan'!$H$7:$H$46&lt;=BC$3+6),--('Year Plan'!$I$7:$I$46&gt;=BC$3)))</f>
        <v/>
      </c>
    </row>
    <row r="25" customFormat="false" ht="19.5" hidden="false" customHeight="true" outlineLevel="0" collapsed="false">
      <c r="A25" s="39" t="str">
        <f aca="false">IF(Setup!$B$29="","",Setup!$B$29)</f>
        <v/>
      </c>
      <c r="B25" s="39" t="str">
        <f aca="false">IF(Setup!$B$29="","",Setup!$C$29)</f>
        <v/>
      </c>
      <c r="C25" s="44" t="str">
        <f aca="false">IF($A25="","",SUMPRODUCT(--ISNUMBER(SEARCH(","&amp;SUBSTITUTE($A25," ","")&amp;",",'Year Plan'!$BM$7:$BM$46))))</f>
        <v/>
      </c>
      <c r="D25" s="45" t="str">
        <f aca="false">IF($A25="","",SUMPRODUCT(--ISNUMBER(SEARCH(","&amp;SUBSTITUTE($A25," ","")&amp;",",'Year Plan'!$BM$7:$BM$46)),--('Year Plan'!$H$7:$H$46&lt;&gt;""),--('Year Plan'!$H$7:$H$46&lt;=D$3+6),--('Year Plan'!$I$7:$I$46&gt;=D$3)))</f>
        <v/>
      </c>
      <c r="E25" s="45" t="str">
        <f aca="false">IF($A25="","",SUMPRODUCT(--ISNUMBER(SEARCH(","&amp;SUBSTITUTE($A25," ","")&amp;",",'Year Plan'!$BM$7:$BM$46)),--('Year Plan'!$H$7:$H$46&lt;&gt;""),--('Year Plan'!$H$7:$H$46&lt;=E$3+6),--('Year Plan'!$I$7:$I$46&gt;=E$3)))</f>
        <v/>
      </c>
      <c r="F25" s="45" t="str">
        <f aca="false">IF($A25="","",SUMPRODUCT(--ISNUMBER(SEARCH(","&amp;SUBSTITUTE($A25," ","")&amp;",",'Year Plan'!$BM$7:$BM$46)),--('Year Plan'!$H$7:$H$46&lt;&gt;""),--('Year Plan'!$H$7:$H$46&lt;=F$3+6),--('Year Plan'!$I$7:$I$46&gt;=F$3)))</f>
        <v/>
      </c>
      <c r="G25" s="45" t="str">
        <f aca="false">IF($A25="","",SUMPRODUCT(--ISNUMBER(SEARCH(","&amp;SUBSTITUTE($A25," ","")&amp;",",'Year Plan'!$BM$7:$BM$46)),--('Year Plan'!$H$7:$H$46&lt;&gt;""),--('Year Plan'!$H$7:$H$46&lt;=G$3+6),--('Year Plan'!$I$7:$I$46&gt;=G$3)))</f>
        <v/>
      </c>
      <c r="H25" s="45" t="str">
        <f aca="false">IF($A25="","",SUMPRODUCT(--ISNUMBER(SEARCH(","&amp;SUBSTITUTE($A25," ","")&amp;",",'Year Plan'!$BM$7:$BM$46)),--('Year Plan'!$H$7:$H$46&lt;&gt;""),--('Year Plan'!$H$7:$H$46&lt;=H$3+6),--('Year Plan'!$I$7:$I$46&gt;=H$3)))</f>
        <v/>
      </c>
      <c r="I25" s="45" t="str">
        <f aca="false">IF($A25="","",SUMPRODUCT(--ISNUMBER(SEARCH(","&amp;SUBSTITUTE($A25," ","")&amp;",",'Year Plan'!$BM$7:$BM$46)),--('Year Plan'!$H$7:$H$46&lt;&gt;""),--('Year Plan'!$H$7:$H$46&lt;=I$3+6),--('Year Plan'!$I$7:$I$46&gt;=I$3)))</f>
        <v/>
      </c>
      <c r="J25" s="45" t="str">
        <f aca="false">IF($A25="","",SUMPRODUCT(--ISNUMBER(SEARCH(","&amp;SUBSTITUTE($A25," ","")&amp;",",'Year Plan'!$BM$7:$BM$46)),--('Year Plan'!$H$7:$H$46&lt;&gt;""),--('Year Plan'!$H$7:$H$46&lt;=J$3+6),--('Year Plan'!$I$7:$I$46&gt;=J$3)))</f>
        <v/>
      </c>
      <c r="K25" s="45" t="str">
        <f aca="false">IF($A25="","",SUMPRODUCT(--ISNUMBER(SEARCH(","&amp;SUBSTITUTE($A25," ","")&amp;",",'Year Plan'!$BM$7:$BM$46)),--('Year Plan'!$H$7:$H$46&lt;&gt;""),--('Year Plan'!$H$7:$H$46&lt;=K$3+6),--('Year Plan'!$I$7:$I$46&gt;=K$3)))</f>
        <v/>
      </c>
      <c r="L25" s="45" t="str">
        <f aca="false">IF($A25="","",SUMPRODUCT(--ISNUMBER(SEARCH(","&amp;SUBSTITUTE($A25," ","")&amp;",",'Year Plan'!$BM$7:$BM$46)),--('Year Plan'!$H$7:$H$46&lt;&gt;""),--('Year Plan'!$H$7:$H$46&lt;=L$3+6),--('Year Plan'!$I$7:$I$46&gt;=L$3)))</f>
        <v/>
      </c>
      <c r="M25" s="45" t="str">
        <f aca="false">IF($A25="","",SUMPRODUCT(--ISNUMBER(SEARCH(","&amp;SUBSTITUTE($A25," ","")&amp;",",'Year Plan'!$BM$7:$BM$46)),--('Year Plan'!$H$7:$H$46&lt;&gt;""),--('Year Plan'!$H$7:$H$46&lt;=M$3+6),--('Year Plan'!$I$7:$I$46&gt;=M$3)))</f>
        <v/>
      </c>
      <c r="N25" s="45" t="str">
        <f aca="false">IF($A25="","",SUMPRODUCT(--ISNUMBER(SEARCH(","&amp;SUBSTITUTE($A25," ","")&amp;",",'Year Plan'!$BM$7:$BM$46)),--('Year Plan'!$H$7:$H$46&lt;&gt;""),--('Year Plan'!$H$7:$H$46&lt;=N$3+6),--('Year Plan'!$I$7:$I$46&gt;=N$3)))</f>
        <v/>
      </c>
      <c r="O25" s="45" t="str">
        <f aca="false">IF($A25="","",SUMPRODUCT(--ISNUMBER(SEARCH(","&amp;SUBSTITUTE($A25," ","")&amp;",",'Year Plan'!$BM$7:$BM$46)),--('Year Plan'!$H$7:$H$46&lt;&gt;""),--('Year Plan'!$H$7:$H$46&lt;=O$3+6),--('Year Plan'!$I$7:$I$46&gt;=O$3)))</f>
        <v/>
      </c>
      <c r="P25" s="45" t="str">
        <f aca="false">IF($A25="","",SUMPRODUCT(--ISNUMBER(SEARCH(","&amp;SUBSTITUTE($A25," ","")&amp;",",'Year Plan'!$BM$7:$BM$46)),--('Year Plan'!$H$7:$H$46&lt;&gt;""),--('Year Plan'!$H$7:$H$46&lt;=P$3+6),--('Year Plan'!$I$7:$I$46&gt;=P$3)))</f>
        <v/>
      </c>
      <c r="Q25" s="45" t="str">
        <f aca="false">IF($A25="","",SUMPRODUCT(--ISNUMBER(SEARCH(","&amp;SUBSTITUTE($A25," ","")&amp;",",'Year Plan'!$BM$7:$BM$46)),--('Year Plan'!$H$7:$H$46&lt;&gt;""),--('Year Plan'!$H$7:$H$46&lt;=Q$3+6),--('Year Plan'!$I$7:$I$46&gt;=Q$3)))</f>
        <v/>
      </c>
      <c r="R25" s="45" t="str">
        <f aca="false">IF($A25="","",SUMPRODUCT(--ISNUMBER(SEARCH(","&amp;SUBSTITUTE($A25," ","")&amp;",",'Year Plan'!$BM$7:$BM$46)),--('Year Plan'!$H$7:$H$46&lt;&gt;""),--('Year Plan'!$H$7:$H$46&lt;=R$3+6),--('Year Plan'!$I$7:$I$46&gt;=R$3)))</f>
        <v/>
      </c>
      <c r="S25" s="45" t="str">
        <f aca="false">IF($A25="","",SUMPRODUCT(--ISNUMBER(SEARCH(","&amp;SUBSTITUTE($A25," ","")&amp;",",'Year Plan'!$BM$7:$BM$46)),--('Year Plan'!$H$7:$H$46&lt;&gt;""),--('Year Plan'!$H$7:$H$46&lt;=S$3+6),--('Year Plan'!$I$7:$I$46&gt;=S$3)))</f>
        <v/>
      </c>
      <c r="T25" s="45" t="str">
        <f aca="false">IF($A25="","",SUMPRODUCT(--ISNUMBER(SEARCH(","&amp;SUBSTITUTE($A25," ","")&amp;",",'Year Plan'!$BM$7:$BM$46)),--('Year Plan'!$H$7:$H$46&lt;&gt;""),--('Year Plan'!$H$7:$H$46&lt;=T$3+6),--('Year Plan'!$I$7:$I$46&gt;=T$3)))</f>
        <v/>
      </c>
      <c r="U25" s="45" t="str">
        <f aca="false">IF($A25="","",SUMPRODUCT(--ISNUMBER(SEARCH(","&amp;SUBSTITUTE($A25," ","")&amp;",",'Year Plan'!$BM$7:$BM$46)),--('Year Plan'!$H$7:$H$46&lt;&gt;""),--('Year Plan'!$H$7:$H$46&lt;=U$3+6),--('Year Plan'!$I$7:$I$46&gt;=U$3)))</f>
        <v/>
      </c>
      <c r="V25" s="45" t="str">
        <f aca="false">IF($A25="","",SUMPRODUCT(--ISNUMBER(SEARCH(","&amp;SUBSTITUTE($A25," ","")&amp;",",'Year Plan'!$BM$7:$BM$46)),--('Year Plan'!$H$7:$H$46&lt;&gt;""),--('Year Plan'!$H$7:$H$46&lt;=V$3+6),--('Year Plan'!$I$7:$I$46&gt;=V$3)))</f>
        <v/>
      </c>
      <c r="W25" s="45" t="str">
        <f aca="false">IF($A25="","",SUMPRODUCT(--ISNUMBER(SEARCH(","&amp;SUBSTITUTE($A25," ","")&amp;",",'Year Plan'!$BM$7:$BM$46)),--('Year Plan'!$H$7:$H$46&lt;&gt;""),--('Year Plan'!$H$7:$H$46&lt;=W$3+6),--('Year Plan'!$I$7:$I$46&gt;=W$3)))</f>
        <v/>
      </c>
      <c r="X25" s="45" t="str">
        <f aca="false">IF($A25="","",SUMPRODUCT(--ISNUMBER(SEARCH(","&amp;SUBSTITUTE($A25," ","")&amp;",",'Year Plan'!$BM$7:$BM$46)),--('Year Plan'!$H$7:$H$46&lt;&gt;""),--('Year Plan'!$H$7:$H$46&lt;=X$3+6),--('Year Plan'!$I$7:$I$46&gt;=X$3)))</f>
        <v/>
      </c>
      <c r="Y25" s="45" t="str">
        <f aca="false">IF($A25="","",SUMPRODUCT(--ISNUMBER(SEARCH(","&amp;SUBSTITUTE($A25," ","")&amp;",",'Year Plan'!$BM$7:$BM$46)),--('Year Plan'!$H$7:$H$46&lt;&gt;""),--('Year Plan'!$H$7:$H$46&lt;=Y$3+6),--('Year Plan'!$I$7:$I$46&gt;=Y$3)))</f>
        <v/>
      </c>
      <c r="Z25" s="45" t="str">
        <f aca="false">IF($A25="","",SUMPRODUCT(--ISNUMBER(SEARCH(","&amp;SUBSTITUTE($A25," ","")&amp;",",'Year Plan'!$BM$7:$BM$46)),--('Year Plan'!$H$7:$H$46&lt;&gt;""),--('Year Plan'!$H$7:$H$46&lt;=Z$3+6),--('Year Plan'!$I$7:$I$46&gt;=Z$3)))</f>
        <v/>
      </c>
      <c r="AA25" s="45" t="str">
        <f aca="false">IF($A25="","",SUMPRODUCT(--ISNUMBER(SEARCH(","&amp;SUBSTITUTE($A25," ","")&amp;",",'Year Plan'!$BM$7:$BM$46)),--('Year Plan'!$H$7:$H$46&lt;&gt;""),--('Year Plan'!$H$7:$H$46&lt;=AA$3+6),--('Year Plan'!$I$7:$I$46&gt;=AA$3)))</f>
        <v/>
      </c>
      <c r="AB25" s="45" t="str">
        <f aca="false">IF($A25="","",SUMPRODUCT(--ISNUMBER(SEARCH(","&amp;SUBSTITUTE($A25," ","")&amp;",",'Year Plan'!$BM$7:$BM$46)),--('Year Plan'!$H$7:$H$46&lt;&gt;""),--('Year Plan'!$H$7:$H$46&lt;=AB$3+6),--('Year Plan'!$I$7:$I$46&gt;=AB$3)))</f>
        <v/>
      </c>
      <c r="AC25" s="45" t="str">
        <f aca="false">IF($A25="","",SUMPRODUCT(--ISNUMBER(SEARCH(","&amp;SUBSTITUTE($A25," ","")&amp;",",'Year Plan'!$BM$7:$BM$46)),--('Year Plan'!$H$7:$H$46&lt;&gt;""),--('Year Plan'!$H$7:$H$46&lt;=AC$3+6),--('Year Plan'!$I$7:$I$46&gt;=AC$3)))</f>
        <v/>
      </c>
      <c r="AD25" s="45" t="str">
        <f aca="false">IF($A25="","",SUMPRODUCT(--ISNUMBER(SEARCH(","&amp;SUBSTITUTE($A25," ","")&amp;",",'Year Plan'!$BM$7:$BM$46)),--('Year Plan'!$H$7:$H$46&lt;&gt;""),--('Year Plan'!$H$7:$H$46&lt;=AD$3+6),--('Year Plan'!$I$7:$I$46&gt;=AD$3)))</f>
        <v/>
      </c>
      <c r="AE25" s="45" t="str">
        <f aca="false">IF($A25="","",SUMPRODUCT(--ISNUMBER(SEARCH(","&amp;SUBSTITUTE($A25," ","")&amp;",",'Year Plan'!$BM$7:$BM$46)),--('Year Plan'!$H$7:$H$46&lt;&gt;""),--('Year Plan'!$H$7:$H$46&lt;=AE$3+6),--('Year Plan'!$I$7:$I$46&gt;=AE$3)))</f>
        <v/>
      </c>
      <c r="AF25" s="45" t="str">
        <f aca="false">IF($A25="","",SUMPRODUCT(--ISNUMBER(SEARCH(","&amp;SUBSTITUTE($A25," ","")&amp;",",'Year Plan'!$BM$7:$BM$46)),--('Year Plan'!$H$7:$H$46&lt;&gt;""),--('Year Plan'!$H$7:$H$46&lt;=AF$3+6),--('Year Plan'!$I$7:$I$46&gt;=AF$3)))</f>
        <v/>
      </c>
      <c r="AG25" s="45" t="str">
        <f aca="false">IF($A25="","",SUMPRODUCT(--ISNUMBER(SEARCH(","&amp;SUBSTITUTE($A25," ","")&amp;",",'Year Plan'!$BM$7:$BM$46)),--('Year Plan'!$H$7:$H$46&lt;&gt;""),--('Year Plan'!$H$7:$H$46&lt;=AG$3+6),--('Year Plan'!$I$7:$I$46&gt;=AG$3)))</f>
        <v/>
      </c>
      <c r="AH25" s="45" t="str">
        <f aca="false">IF($A25="","",SUMPRODUCT(--ISNUMBER(SEARCH(","&amp;SUBSTITUTE($A25," ","")&amp;",",'Year Plan'!$BM$7:$BM$46)),--('Year Plan'!$H$7:$H$46&lt;&gt;""),--('Year Plan'!$H$7:$H$46&lt;=AH$3+6),--('Year Plan'!$I$7:$I$46&gt;=AH$3)))</f>
        <v/>
      </c>
      <c r="AI25" s="45" t="str">
        <f aca="false">IF($A25="","",SUMPRODUCT(--ISNUMBER(SEARCH(","&amp;SUBSTITUTE($A25," ","")&amp;",",'Year Plan'!$BM$7:$BM$46)),--('Year Plan'!$H$7:$H$46&lt;&gt;""),--('Year Plan'!$H$7:$H$46&lt;=AI$3+6),--('Year Plan'!$I$7:$I$46&gt;=AI$3)))</f>
        <v/>
      </c>
      <c r="AJ25" s="45" t="str">
        <f aca="false">IF($A25="","",SUMPRODUCT(--ISNUMBER(SEARCH(","&amp;SUBSTITUTE($A25," ","")&amp;",",'Year Plan'!$BM$7:$BM$46)),--('Year Plan'!$H$7:$H$46&lt;&gt;""),--('Year Plan'!$H$7:$H$46&lt;=AJ$3+6),--('Year Plan'!$I$7:$I$46&gt;=AJ$3)))</f>
        <v/>
      </c>
      <c r="AK25" s="45" t="str">
        <f aca="false">IF($A25="","",SUMPRODUCT(--ISNUMBER(SEARCH(","&amp;SUBSTITUTE($A25," ","")&amp;",",'Year Plan'!$BM$7:$BM$46)),--('Year Plan'!$H$7:$H$46&lt;&gt;""),--('Year Plan'!$H$7:$H$46&lt;=AK$3+6),--('Year Plan'!$I$7:$I$46&gt;=AK$3)))</f>
        <v/>
      </c>
      <c r="AL25" s="45" t="str">
        <f aca="false">IF($A25="","",SUMPRODUCT(--ISNUMBER(SEARCH(","&amp;SUBSTITUTE($A25," ","")&amp;",",'Year Plan'!$BM$7:$BM$46)),--('Year Plan'!$H$7:$H$46&lt;&gt;""),--('Year Plan'!$H$7:$H$46&lt;=AL$3+6),--('Year Plan'!$I$7:$I$46&gt;=AL$3)))</f>
        <v/>
      </c>
      <c r="AM25" s="45" t="str">
        <f aca="false">IF($A25="","",SUMPRODUCT(--ISNUMBER(SEARCH(","&amp;SUBSTITUTE($A25," ","")&amp;",",'Year Plan'!$BM$7:$BM$46)),--('Year Plan'!$H$7:$H$46&lt;&gt;""),--('Year Plan'!$H$7:$H$46&lt;=AM$3+6),--('Year Plan'!$I$7:$I$46&gt;=AM$3)))</f>
        <v/>
      </c>
      <c r="AN25" s="45" t="str">
        <f aca="false">IF($A25="","",SUMPRODUCT(--ISNUMBER(SEARCH(","&amp;SUBSTITUTE($A25," ","")&amp;",",'Year Plan'!$BM$7:$BM$46)),--('Year Plan'!$H$7:$H$46&lt;&gt;""),--('Year Plan'!$H$7:$H$46&lt;=AN$3+6),--('Year Plan'!$I$7:$I$46&gt;=AN$3)))</f>
        <v/>
      </c>
      <c r="AO25" s="45" t="str">
        <f aca="false">IF($A25="","",SUMPRODUCT(--ISNUMBER(SEARCH(","&amp;SUBSTITUTE($A25," ","")&amp;",",'Year Plan'!$BM$7:$BM$46)),--('Year Plan'!$H$7:$H$46&lt;&gt;""),--('Year Plan'!$H$7:$H$46&lt;=AO$3+6),--('Year Plan'!$I$7:$I$46&gt;=AO$3)))</f>
        <v/>
      </c>
      <c r="AP25" s="45" t="str">
        <f aca="false">IF($A25="","",SUMPRODUCT(--ISNUMBER(SEARCH(","&amp;SUBSTITUTE($A25," ","")&amp;",",'Year Plan'!$BM$7:$BM$46)),--('Year Plan'!$H$7:$H$46&lt;&gt;""),--('Year Plan'!$H$7:$H$46&lt;=AP$3+6),--('Year Plan'!$I$7:$I$46&gt;=AP$3)))</f>
        <v/>
      </c>
      <c r="AQ25" s="45" t="str">
        <f aca="false">IF($A25="","",SUMPRODUCT(--ISNUMBER(SEARCH(","&amp;SUBSTITUTE($A25," ","")&amp;",",'Year Plan'!$BM$7:$BM$46)),--('Year Plan'!$H$7:$H$46&lt;&gt;""),--('Year Plan'!$H$7:$H$46&lt;=AQ$3+6),--('Year Plan'!$I$7:$I$46&gt;=AQ$3)))</f>
        <v/>
      </c>
      <c r="AR25" s="45" t="str">
        <f aca="false">IF($A25="","",SUMPRODUCT(--ISNUMBER(SEARCH(","&amp;SUBSTITUTE($A25," ","")&amp;",",'Year Plan'!$BM$7:$BM$46)),--('Year Plan'!$H$7:$H$46&lt;&gt;""),--('Year Plan'!$H$7:$H$46&lt;=AR$3+6),--('Year Plan'!$I$7:$I$46&gt;=AR$3)))</f>
        <v/>
      </c>
      <c r="AS25" s="45" t="str">
        <f aca="false">IF($A25="","",SUMPRODUCT(--ISNUMBER(SEARCH(","&amp;SUBSTITUTE($A25," ","")&amp;",",'Year Plan'!$BM$7:$BM$46)),--('Year Plan'!$H$7:$H$46&lt;&gt;""),--('Year Plan'!$H$7:$H$46&lt;=AS$3+6),--('Year Plan'!$I$7:$I$46&gt;=AS$3)))</f>
        <v/>
      </c>
      <c r="AT25" s="45" t="str">
        <f aca="false">IF($A25="","",SUMPRODUCT(--ISNUMBER(SEARCH(","&amp;SUBSTITUTE($A25," ","")&amp;",",'Year Plan'!$BM$7:$BM$46)),--('Year Plan'!$H$7:$H$46&lt;&gt;""),--('Year Plan'!$H$7:$H$46&lt;=AT$3+6),--('Year Plan'!$I$7:$I$46&gt;=AT$3)))</f>
        <v/>
      </c>
      <c r="AU25" s="45" t="str">
        <f aca="false">IF($A25="","",SUMPRODUCT(--ISNUMBER(SEARCH(","&amp;SUBSTITUTE($A25," ","")&amp;",",'Year Plan'!$BM$7:$BM$46)),--('Year Plan'!$H$7:$H$46&lt;&gt;""),--('Year Plan'!$H$7:$H$46&lt;=AU$3+6),--('Year Plan'!$I$7:$I$46&gt;=AU$3)))</f>
        <v/>
      </c>
      <c r="AV25" s="45" t="str">
        <f aca="false">IF($A25="","",SUMPRODUCT(--ISNUMBER(SEARCH(","&amp;SUBSTITUTE($A25," ","")&amp;",",'Year Plan'!$BM$7:$BM$46)),--('Year Plan'!$H$7:$H$46&lt;&gt;""),--('Year Plan'!$H$7:$H$46&lt;=AV$3+6),--('Year Plan'!$I$7:$I$46&gt;=AV$3)))</f>
        <v/>
      </c>
      <c r="AW25" s="45" t="str">
        <f aca="false">IF($A25="","",SUMPRODUCT(--ISNUMBER(SEARCH(","&amp;SUBSTITUTE($A25," ","")&amp;",",'Year Plan'!$BM$7:$BM$46)),--('Year Plan'!$H$7:$H$46&lt;&gt;""),--('Year Plan'!$H$7:$H$46&lt;=AW$3+6),--('Year Plan'!$I$7:$I$46&gt;=AW$3)))</f>
        <v/>
      </c>
      <c r="AX25" s="45" t="str">
        <f aca="false">IF($A25="","",SUMPRODUCT(--ISNUMBER(SEARCH(","&amp;SUBSTITUTE($A25," ","")&amp;",",'Year Plan'!$BM$7:$BM$46)),--('Year Plan'!$H$7:$H$46&lt;&gt;""),--('Year Plan'!$H$7:$H$46&lt;=AX$3+6),--('Year Plan'!$I$7:$I$46&gt;=AX$3)))</f>
        <v/>
      </c>
      <c r="AY25" s="45" t="str">
        <f aca="false">IF($A25="","",SUMPRODUCT(--ISNUMBER(SEARCH(","&amp;SUBSTITUTE($A25," ","")&amp;",",'Year Plan'!$BM$7:$BM$46)),--('Year Plan'!$H$7:$H$46&lt;&gt;""),--('Year Plan'!$H$7:$H$46&lt;=AY$3+6),--('Year Plan'!$I$7:$I$46&gt;=AY$3)))</f>
        <v/>
      </c>
      <c r="AZ25" s="45" t="str">
        <f aca="false">IF($A25="","",SUMPRODUCT(--ISNUMBER(SEARCH(","&amp;SUBSTITUTE($A25," ","")&amp;",",'Year Plan'!$BM$7:$BM$46)),--('Year Plan'!$H$7:$H$46&lt;&gt;""),--('Year Plan'!$H$7:$H$46&lt;=AZ$3+6),--('Year Plan'!$I$7:$I$46&gt;=AZ$3)))</f>
        <v/>
      </c>
      <c r="BA25" s="45" t="str">
        <f aca="false">IF($A25="","",SUMPRODUCT(--ISNUMBER(SEARCH(","&amp;SUBSTITUTE($A25," ","")&amp;",",'Year Plan'!$BM$7:$BM$46)),--('Year Plan'!$H$7:$H$46&lt;&gt;""),--('Year Plan'!$H$7:$H$46&lt;=BA$3+6),--('Year Plan'!$I$7:$I$46&gt;=BA$3)))</f>
        <v/>
      </c>
      <c r="BB25" s="45" t="str">
        <f aca="false">IF($A25="","",SUMPRODUCT(--ISNUMBER(SEARCH(","&amp;SUBSTITUTE($A25," ","")&amp;",",'Year Plan'!$BM$7:$BM$46)),--('Year Plan'!$H$7:$H$46&lt;&gt;""),--('Year Plan'!$H$7:$H$46&lt;=BB$3+6),--('Year Plan'!$I$7:$I$46&gt;=BB$3)))</f>
        <v/>
      </c>
      <c r="BC25" s="45" t="str">
        <f aca="false">IF($A25="","",SUMPRODUCT(--ISNUMBER(SEARCH(","&amp;SUBSTITUTE($A25," ","")&amp;",",'Year Plan'!$BM$7:$BM$46)),--('Year Plan'!$H$7:$H$46&lt;&gt;""),--('Year Plan'!$H$7:$H$46&lt;=BC$3+6),--('Year Plan'!$I$7:$I$46&gt;=BC$3)))</f>
        <v/>
      </c>
    </row>
    <row r="26" customFormat="false" ht="19.5" hidden="false" customHeight="true" outlineLevel="0" collapsed="false">
      <c r="A26" s="39" t="str">
        <f aca="false">IF(Setup!$B$30="","",Setup!$B$30)</f>
        <v/>
      </c>
      <c r="B26" s="39" t="str">
        <f aca="false">IF(Setup!$B$30="","",Setup!$C$30)</f>
        <v/>
      </c>
      <c r="C26" s="44" t="str">
        <f aca="false">IF($A26="","",SUMPRODUCT(--ISNUMBER(SEARCH(","&amp;SUBSTITUTE($A26," ","")&amp;",",'Year Plan'!$BM$7:$BM$46))))</f>
        <v/>
      </c>
      <c r="D26" s="45" t="str">
        <f aca="false">IF($A26="","",SUMPRODUCT(--ISNUMBER(SEARCH(","&amp;SUBSTITUTE($A26," ","")&amp;",",'Year Plan'!$BM$7:$BM$46)),--('Year Plan'!$H$7:$H$46&lt;&gt;""),--('Year Plan'!$H$7:$H$46&lt;=D$3+6),--('Year Plan'!$I$7:$I$46&gt;=D$3)))</f>
        <v/>
      </c>
      <c r="E26" s="45" t="str">
        <f aca="false">IF($A26="","",SUMPRODUCT(--ISNUMBER(SEARCH(","&amp;SUBSTITUTE($A26," ","")&amp;",",'Year Plan'!$BM$7:$BM$46)),--('Year Plan'!$H$7:$H$46&lt;&gt;""),--('Year Plan'!$H$7:$H$46&lt;=E$3+6),--('Year Plan'!$I$7:$I$46&gt;=E$3)))</f>
        <v/>
      </c>
      <c r="F26" s="45" t="str">
        <f aca="false">IF($A26="","",SUMPRODUCT(--ISNUMBER(SEARCH(","&amp;SUBSTITUTE($A26," ","")&amp;",",'Year Plan'!$BM$7:$BM$46)),--('Year Plan'!$H$7:$H$46&lt;&gt;""),--('Year Plan'!$H$7:$H$46&lt;=F$3+6),--('Year Plan'!$I$7:$I$46&gt;=F$3)))</f>
        <v/>
      </c>
      <c r="G26" s="45" t="str">
        <f aca="false">IF($A26="","",SUMPRODUCT(--ISNUMBER(SEARCH(","&amp;SUBSTITUTE($A26," ","")&amp;",",'Year Plan'!$BM$7:$BM$46)),--('Year Plan'!$H$7:$H$46&lt;&gt;""),--('Year Plan'!$H$7:$H$46&lt;=G$3+6),--('Year Plan'!$I$7:$I$46&gt;=G$3)))</f>
        <v/>
      </c>
      <c r="H26" s="45" t="str">
        <f aca="false">IF($A26="","",SUMPRODUCT(--ISNUMBER(SEARCH(","&amp;SUBSTITUTE($A26," ","")&amp;",",'Year Plan'!$BM$7:$BM$46)),--('Year Plan'!$H$7:$H$46&lt;&gt;""),--('Year Plan'!$H$7:$H$46&lt;=H$3+6),--('Year Plan'!$I$7:$I$46&gt;=H$3)))</f>
        <v/>
      </c>
      <c r="I26" s="45" t="str">
        <f aca="false">IF($A26="","",SUMPRODUCT(--ISNUMBER(SEARCH(","&amp;SUBSTITUTE($A26," ","")&amp;",",'Year Plan'!$BM$7:$BM$46)),--('Year Plan'!$H$7:$H$46&lt;&gt;""),--('Year Plan'!$H$7:$H$46&lt;=I$3+6),--('Year Plan'!$I$7:$I$46&gt;=I$3)))</f>
        <v/>
      </c>
      <c r="J26" s="45" t="str">
        <f aca="false">IF($A26="","",SUMPRODUCT(--ISNUMBER(SEARCH(","&amp;SUBSTITUTE($A26," ","")&amp;",",'Year Plan'!$BM$7:$BM$46)),--('Year Plan'!$H$7:$H$46&lt;&gt;""),--('Year Plan'!$H$7:$H$46&lt;=J$3+6),--('Year Plan'!$I$7:$I$46&gt;=J$3)))</f>
        <v/>
      </c>
      <c r="K26" s="45" t="str">
        <f aca="false">IF($A26="","",SUMPRODUCT(--ISNUMBER(SEARCH(","&amp;SUBSTITUTE($A26," ","")&amp;",",'Year Plan'!$BM$7:$BM$46)),--('Year Plan'!$H$7:$H$46&lt;&gt;""),--('Year Plan'!$H$7:$H$46&lt;=K$3+6),--('Year Plan'!$I$7:$I$46&gt;=K$3)))</f>
        <v/>
      </c>
      <c r="L26" s="45" t="str">
        <f aca="false">IF($A26="","",SUMPRODUCT(--ISNUMBER(SEARCH(","&amp;SUBSTITUTE($A26," ","")&amp;",",'Year Plan'!$BM$7:$BM$46)),--('Year Plan'!$H$7:$H$46&lt;&gt;""),--('Year Plan'!$H$7:$H$46&lt;=L$3+6),--('Year Plan'!$I$7:$I$46&gt;=L$3)))</f>
        <v/>
      </c>
      <c r="M26" s="45" t="str">
        <f aca="false">IF($A26="","",SUMPRODUCT(--ISNUMBER(SEARCH(","&amp;SUBSTITUTE($A26," ","")&amp;",",'Year Plan'!$BM$7:$BM$46)),--('Year Plan'!$H$7:$H$46&lt;&gt;""),--('Year Plan'!$H$7:$H$46&lt;=M$3+6),--('Year Plan'!$I$7:$I$46&gt;=M$3)))</f>
        <v/>
      </c>
      <c r="N26" s="45" t="str">
        <f aca="false">IF($A26="","",SUMPRODUCT(--ISNUMBER(SEARCH(","&amp;SUBSTITUTE($A26," ","")&amp;",",'Year Plan'!$BM$7:$BM$46)),--('Year Plan'!$H$7:$H$46&lt;&gt;""),--('Year Plan'!$H$7:$H$46&lt;=N$3+6),--('Year Plan'!$I$7:$I$46&gt;=N$3)))</f>
        <v/>
      </c>
      <c r="O26" s="45" t="str">
        <f aca="false">IF($A26="","",SUMPRODUCT(--ISNUMBER(SEARCH(","&amp;SUBSTITUTE($A26," ","")&amp;",",'Year Plan'!$BM$7:$BM$46)),--('Year Plan'!$H$7:$H$46&lt;&gt;""),--('Year Plan'!$H$7:$H$46&lt;=O$3+6),--('Year Plan'!$I$7:$I$46&gt;=O$3)))</f>
        <v/>
      </c>
      <c r="P26" s="45" t="str">
        <f aca="false">IF($A26="","",SUMPRODUCT(--ISNUMBER(SEARCH(","&amp;SUBSTITUTE($A26," ","")&amp;",",'Year Plan'!$BM$7:$BM$46)),--('Year Plan'!$H$7:$H$46&lt;&gt;""),--('Year Plan'!$H$7:$H$46&lt;=P$3+6),--('Year Plan'!$I$7:$I$46&gt;=P$3)))</f>
        <v/>
      </c>
      <c r="Q26" s="45" t="str">
        <f aca="false">IF($A26="","",SUMPRODUCT(--ISNUMBER(SEARCH(","&amp;SUBSTITUTE($A26," ","")&amp;",",'Year Plan'!$BM$7:$BM$46)),--('Year Plan'!$H$7:$H$46&lt;&gt;""),--('Year Plan'!$H$7:$H$46&lt;=Q$3+6),--('Year Plan'!$I$7:$I$46&gt;=Q$3)))</f>
        <v/>
      </c>
      <c r="R26" s="45" t="str">
        <f aca="false">IF($A26="","",SUMPRODUCT(--ISNUMBER(SEARCH(","&amp;SUBSTITUTE($A26," ","")&amp;",",'Year Plan'!$BM$7:$BM$46)),--('Year Plan'!$H$7:$H$46&lt;&gt;""),--('Year Plan'!$H$7:$H$46&lt;=R$3+6),--('Year Plan'!$I$7:$I$46&gt;=R$3)))</f>
        <v/>
      </c>
      <c r="S26" s="45" t="str">
        <f aca="false">IF($A26="","",SUMPRODUCT(--ISNUMBER(SEARCH(","&amp;SUBSTITUTE($A26," ","")&amp;",",'Year Plan'!$BM$7:$BM$46)),--('Year Plan'!$H$7:$H$46&lt;&gt;""),--('Year Plan'!$H$7:$H$46&lt;=S$3+6),--('Year Plan'!$I$7:$I$46&gt;=S$3)))</f>
        <v/>
      </c>
      <c r="T26" s="45" t="str">
        <f aca="false">IF($A26="","",SUMPRODUCT(--ISNUMBER(SEARCH(","&amp;SUBSTITUTE($A26," ","")&amp;",",'Year Plan'!$BM$7:$BM$46)),--('Year Plan'!$H$7:$H$46&lt;&gt;""),--('Year Plan'!$H$7:$H$46&lt;=T$3+6),--('Year Plan'!$I$7:$I$46&gt;=T$3)))</f>
        <v/>
      </c>
      <c r="U26" s="45" t="str">
        <f aca="false">IF($A26="","",SUMPRODUCT(--ISNUMBER(SEARCH(","&amp;SUBSTITUTE($A26," ","")&amp;",",'Year Plan'!$BM$7:$BM$46)),--('Year Plan'!$H$7:$H$46&lt;&gt;""),--('Year Plan'!$H$7:$H$46&lt;=U$3+6),--('Year Plan'!$I$7:$I$46&gt;=U$3)))</f>
        <v/>
      </c>
      <c r="V26" s="45" t="str">
        <f aca="false">IF($A26="","",SUMPRODUCT(--ISNUMBER(SEARCH(","&amp;SUBSTITUTE($A26," ","")&amp;",",'Year Plan'!$BM$7:$BM$46)),--('Year Plan'!$H$7:$H$46&lt;&gt;""),--('Year Plan'!$H$7:$H$46&lt;=V$3+6),--('Year Plan'!$I$7:$I$46&gt;=V$3)))</f>
        <v/>
      </c>
      <c r="W26" s="45" t="str">
        <f aca="false">IF($A26="","",SUMPRODUCT(--ISNUMBER(SEARCH(","&amp;SUBSTITUTE($A26," ","")&amp;",",'Year Plan'!$BM$7:$BM$46)),--('Year Plan'!$H$7:$H$46&lt;&gt;""),--('Year Plan'!$H$7:$H$46&lt;=W$3+6),--('Year Plan'!$I$7:$I$46&gt;=W$3)))</f>
        <v/>
      </c>
      <c r="X26" s="45" t="str">
        <f aca="false">IF($A26="","",SUMPRODUCT(--ISNUMBER(SEARCH(","&amp;SUBSTITUTE($A26," ","")&amp;",",'Year Plan'!$BM$7:$BM$46)),--('Year Plan'!$H$7:$H$46&lt;&gt;""),--('Year Plan'!$H$7:$H$46&lt;=X$3+6),--('Year Plan'!$I$7:$I$46&gt;=X$3)))</f>
        <v/>
      </c>
      <c r="Y26" s="45" t="str">
        <f aca="false">IF($A26="","",SUMPRODUCT(--ISNUMBER(SEARCH(","&amp;SUBSTITUTE($A26," ","")&amp;",",'Year Plan'!$BM$7:$BM$46)),--('Year Plan'!$H$7:$H$46&lt;&gt;""),--('Year Plan'!$H$7:$H$46&lt;=Y$3+6),--('Year Plan'!$I$7:$I$46&gt;=Y$3)))</f>
        <v/>
      </c>
      <c r="Z26" s="45" t="str">
        <f aca="false">IF($A26="","",SUMPRODUCT(--ISNUMBER(SEARCH(","&amp;SUBSTITUTE($A26," ","")&amp;",",'Year Plan'!$BM$7:$BM$46)),--('Year Plan'!$H$7:$H$46&lt;&gt;""),--('Year Plan'!$H$7:$H$46&lt;=Z$3+6),--('Year Plan'!$I$7:$I$46&gt;=Z$3)))</f>
        <v/>
      </c>
      <c r="AA26" s="45" t="str">
        <f aca="false">IF($A26="","",SUMPRODUCT(--ISNUMBER(SEARCH(","&amp;SUBSTITUTE($A26," ","")&amp;",",'Year Plan'!$BM$7:$BM$46)),--('Year Plan'!$H$7:$H$46&lt;&gt;""),--('Year Plan'!$H$7:$H$46&lt;=AA$3+6),--('Year Plan'!$I$7:$I$46&gt;=AA$3)))</f>
        <v/>
      </c>
      <c r="AB26" s="45" t="str">
        <f aca="false">IF($A26="","",SUMPRODUCT(--ISNUMBER(SEARCH(","&amp;SUBSTITUTE($A26," ","")&amp;",",'Year Plan'!$BM$7:$BM$46)),--('Year Plan'!$H$7:$H$46&lt;&gt;""),--('Year Plan'!$H$7:$H$46&lt;=AB$3+6),--('Year Plan'!$I$7:$I$46&gt;=AB$3)))</f>
        <v/>
      </c>
      <c r="AC26" s="45" t="str">
        <f aca="false">IF($A26="","",SUMPRODUCT(--ISNUMBER(SEARCH(","&amp;SUBSTITUTE($A26," ","")&amp;",",'Year Plan'!$BM$7:$BM$46)),--('Year Plan'!$H$7:$H$46&lt;&gt;""),--('Year Plan'!$H$7:$H$46&lt;=AC$3+6),--('Year Plan'!$I$7:$I$46&gt;=AC$3)))</f>
        <v/>
      </c>
      <c r="AD26" s="45" t="str">
        <f aca="false">IF($A26="","",SUMPRODUCT(--ISNUMBER(SEARCH(","&amp;SUBSTITUTE($A26," ","")&amp;",",'Year Plan'!$BM$7:$BM$46)),--('Year Plan'!$H$7:$H$46&lt;&gt;""),--('Year Plan'!$H$7:$H$46&lt;=AD$3+6),--('Year Plan'!$I$7:$I$46&gt;=AD$3)))</f>
        <v/>
      </c>
      <c r="AE26" s="45" t="str">
        <f aca="false">IF($A26="","",SUMPRODUCT(--ISNUMBER(SEARCH(","&amp;SUBSTITUTE($A26," ","")&amp;",",'Year Plan'!$BM$7:$BM$46)),--('Year Plan'!$H$7:$H$46&lt;&gt;""),--('Year Plan'!$H$7:$H$46&lt;=AE$3+6),--('Year Plan'!$I$7:$I$46&gt;=AE$3)))</f>
        <v/>
      </c>
      <c r="AF26" s="45" t="str">
        <f aca="false">IF($A26="","",SUMPRODUCT(--ISNUMBER(SEARCH(","&amp;SUBSTITUTE($A26," ","")&amp;",",'Year Plan'!$BM$7:$BM$46)),--('Year Plan'!$H$7:$H$46&lt;&gt;""),--('Year Plan'!$H$7:$H$46&lt;=AF$3+6),--('Year Plan'!$I$7:$I$46&gt;=AF$3)))</f>
        <v/>
      </c>
      <c r="AG26" s="45" t="str">
        <f aca="false">IF($A26="","",SUMPRODUCT(--ISNUMBER(SEARCH(","&amp;SUBSTITUTE($A26," ","")&amp;",",'Year Plan'!$BM$7:$BM$46)),--('Year Plan'!$H$7:$H$46&lt;&gt;""),--('Year Plan'!$H$7:$H$46&lt;=AG$3+6),--('Year Plan'!$I$7:$I$46&gt;=AG$3)))</f>
        <v/>
      </c>
      <c r="AH26" s="45" t="str">
        <f aca="false">IF($A26="","",SUMPRODUCT(--ISNUMBER(SEARCH(","&amp;SUBSTITUTE($A26," ","")&amp;",",'Year Plan'!$BM$7:$BM$46)),--('Year Plan'!$H$7:$H$46&lt;&gt;""),--('Year Plan'!$H$7:$H$46&lt;=AH$3+6),--('Year Plan'!$I$7:$I$46&gt;=AH$3)))</f>
        <v/>
      </c>
      <c r="AI26" s="45" t="str">
        <f aca="false">IF($A26="","",SUMPRODUCT(--ISNUMBER(SEARCH(","&amp;SUBSTITUTE($A26," ","")&amp;",",'Year Plan'!$BM$7:$BM$46)),--('Year Plan'!$H$7:$H$46&lt;&gt;""),--('Year Plan'!$H$7:$H$46&lt;=AI$3+6),--('Year Plan'!$I$7:$I$46&gt;=AI$3)))</f>
        <v/>
      </c>
      <c r="AJ26" s="45" t="str">
        <f aca="false">IF($A26="","",SUMPRODUCT(--ISNUMBER(SEARCH(","&amp;SUBSTITUTE($A26," ","")&amp;",",'Year Plan'!$BM$7:$BM$46)),--('Year Plan'!$H$7:$H$46&lt;&gt;""),--('Year Plan'!$H$7:$H$46&lt;=AJ$3+6),--('Year Plan'!$I$7:$I$46&gt;=AJ$3)))</f>
        <v/>
      </c>
      <c r="AK26" s="45" t="str">
        <f aca="false">IF($A26="","",SUMPRODUCT(--ISNUMBER(SEARCH(","&amp;SUBSTITUTE($A26," ","")&amp;",",'Year Plan'!$BM$7:$BM$46)),--('Year Plan'!$H$7:$H$46&lt;&gt;""),--('Year Plan'!$H$7:$H$46&lt;=AK$3+6),--('Year Plan'!$I$7:$I$46&gt;=AK$3)))</f>
        <v/>
      </c>
      <c r="AL26" s="45" t="str">
        <f aca="false">IF($A26="","",SUMPRODUCT(--ISNUMBER(SEARCH(","&amp;SUBSTITUTE($A26," ","")&amp;",",'Year Plan'!$BM$7:$BM$46)),--('Year Plan'!$H$7:$H$46&lt;&gt;""),--('Year Plan'!$H$7:$H$46&lt;=AL$3+6),--('Year Plan'!$I$7:$I$46&gt;=AL$3)))</f>
        <v/>
      </c>
      <c r="AM26" s="45" t="str">
        <f aca="false">IF($A26="","",SUMPRODUCT(--ISNUMBER(SEARCH(","&amp;SUBSTITUTE($A26," ","")&amp;",",'Year Plan'!$BM$7:$BM$46)),--('Year Plan'!$H$7:$H$46&lt;&gt;""),--('Year Plan'!$H$7:$H$46&lt;=AM$3+6),--('Year Plan'!$I$7:$I$46&gt;=AM$3)))</f>
        <v/>
      </c>
      <c r="AN26" s="45" t="str">
        <f aca="false">IF($A26="","",SUMPRODUCT(--ISNUMBER(SEARCH(","&amp;SUBSTITUTE($A26," ","")&amp;",",'Year Plan'!$BM$7:$BM$46)),--('Year Plan'!$H$7:$H$46&lt;&gt;""),--('Year Plan'!$H$7:$H$46&lt;=AN$3+6),--('Year Plan'!$I$7:$I$46&gt;=AN$3)))</f>
        <v/>
      </c>
      <c r="AO26" s="45" t="str">
        <f aca="false">IF($A26="","",SUMPRODUCT(--ISNUMBER(SEARCH(","&amp;SUBSTITUTE($A26," ","")&amp;",",'Year Plan'!$BM$7:$BM$46)),--('Year Plan'!$H$7:$H$46&lt;&gt;""),--('Year Plan'!$H$7:$H$46&lt;=AO$3+6),--('Year Plan'!$I$7:$I$46&gt;=AO$3)))</f>
        <v/>
      </c>
      <c r="AP26" s="45" t="str">
        <f aca="false">IF($A26="","",SUMPRODUCT(--ISNUMBER(SEARCH(","&amp;SUBSTITUTE($A26," ","")&amp;",",'Year Plan'!$BM$7:$BM$46)),--('Year Plan'!$H$7:$H$46&lt;&gt;""),--('Year Plan'!$H$7:$H$46&lt;=AP$3+6),--('Year Plan'!$I$7:$I$46&gt;=AP$3)))</f>
        <v/>
      </c>
      <c r="AQ26" s="45" t="str">
        <f aca="false">IF($A26="","",SUMPRODUCT(--ISNUMBER(SEARCH(","&amp;SUBSTITUTE($A26," ","")&amp;",",'Year Plan'!$BM$7:$BM$46)),--('Year Plan'!$H$7:$H$46&lt;&gt;""),--('Year Plan'!$H$7:$H$46&lt;=AQ$3+6),--('Year Plan'!$I$7:$I$46&gt;=AQ$3)))</f>
        <v/>
      </c>
      <c r="AR26" s="45" t="str">
        <f aca="false">IF($A26="","",SUMPRODUCT(--ISNUMBER(SEARCH(","&amp;SUBSTITUTE($A26," ","")&amp;",",'Year Plan'!$BM$7:$BM$46)),--('Year Plan'!$H$7:$H$46&lt;&gt;""),--('Year Plan'!$H$7:$H$46&lt;=AR$3+6),--('Year Plan'!$I$7:$I$46&gt;=AR$3)))</f>
        <v/>
      </c>
      <c r="AS26" s="45" t="str">
        <f aca="false">IF($A26="","",SUMPRODUCT(--ISNUMBER(SEARCH(","&amp;SUBSTITUTE($A26," ","")&amp;",",'Year Plan'!$BM$7:$BM$46)),--('Year Plan'!$H$7:$H$46&lt;&gt;""),--('Year Plan'!$H$7:$H$46&lt;=AS$3+6),--('Year Plan'!$I$7:$I$46&gt;=AS$3)))</f>
        <v/>
      </c>
      <c r="AT26" s="45" t="str">
        <f aca="false">IF($A26="","",SUMPRODUCT(--ISNUMBER(SEARCH(","&amp;SUBSTITUTE($A26," ","")&amp;",",'Year Plan'!$BM$7:$BM$46)),--('Year Plan'!$H$7:$H$46&lt;&gt;""),--('Year Plan'!$H$7:$H$46&lt;=AT$3+6),--('Year Plan'!$I$7:$I$46&gt;=AT$3)))</f>
        <v/>
      </c>
      <c r="AU26" s="45" t="str">
        <f aca="false">IF($A26="","",SUMPRODUCT(--ISNUMBER(SEARCH(","&amp;SUBSTITUTE($A26," ","")&amp;",",'Year Plan'!$BM$7:$BM$46)),--('Year Plan'!$H$7:$H$46&lt;&gt;""),--('Year Plan'!$H$7:$H$46&lt;=AU$3+6),--('Year Plan'!$I$7:$I$46&gt;=AU$3)))</f>
        <v/>
      </c>
      <c r="AV26" s="45" t="str">
        <f aca="false">IF($A26="","",SUMPRODUCT(--ISNUMBER(SEARCH(","&amp;SUBSTITUTE($A26," ","")&amp;",",'Year Plan'!$BM$7:$BM$46)),--('Year Plan'!$H$7:$H$46&lt;&gt;""),--('Year Plan'!$H$7:$H$46&lt;=AV$3+6),--('Year Plan'!$I$7:$I$46&gt;=AV$3)))</f>
        <v/>
      </c>
      <c r="AW26" s="45" t="str">
        <f aca="false">IF($A26="","",SUMPRODUCT(--ISNUMBER(SEARCH(","&amp;SUBSTITUTE($A26," ","")&amp;",",'Year Plan'!$BM$7:$BM$46)),--('Year Plan'!$H$7:$H$46&lt;&gt;""),--('Year Plan'!$H$7:$H$46&lt;=AW$3+6),--('Year Plan'!$I$7:$I$46&gt;=AW$3)))</f>
        <v/>
      </c>
      <c r="AX26" s="45" t="str">
        <f aca="false">IF($A26="","",SUMPRODUCT(--ISNUMBER(SEARCH(","&amp;SUBSTITUTE($A26," ","")&amp;",",'Year Plan'!$BM$7:$BM$46)),--('Year Plan'!$H$7:$H$46&lt;&gt;""),--('Year Plan'!$H$7:$H$46&lt;=AX$3+6),--('Year Plan'!$I$7:$I$46&gt;=AX$3)))</f>
        <v/>
      </c>
      <c r="AY26" s="45" t="str">
        <f aca="false">IF($A26="","",SUMPRODUCT(--ISNUMBER(SEARCH(","&amp;SUBSTITUTE($A26," ","")&amp;",",'Year Plan'!$BM$7:$BM$46)),--('Year Plan'!$H$7:$H$46&lt;&gt;""),--('Year Plan'!$H$7:$H$46&lt;=AY$3+6),--('Year Plan'!$I$7:$I$46&gt;=AY$3)))</f>
        <v/>
      </c>
      <c r="AZ26" s="45" t="str">
        <f aca="false">IF($A26="","",SUMPRODUCT(--ISNUMBER(SEARCH(","&amp;SUBSTITUTE($A26," ","")&amp;",",'Year Plan'!$BM$7:$BM$46)),--('Year Plan'!$H$7:$H$46&lt;&gt;""),--('Year Plan'!$H$7:$H$46&lt;=AZ$3+6),--('Year Plan'!$I$7:$I$46&gt;=AZ$3)))</f>
        <v/>
      </c>
      <c r="BA26" s="45" t="str">
        <f aca="false">IF($A26="","",SUMPRODUCT(--ISNUMBER(SEARCH(","&amp;SUBSTITUTE($A26," ","")&amp;",",'Year Plan'!$BM$7:$BM$46)),--('Year Plan'!$H$7:$H$46&lt;&gt;""),--('Year Plan'!$H$7:$H$46&lt;=BA$3+6),--('Year Plan'!$I$7:$I$46&gt;=BA$3)))</f>
        <v/>
      </c>
      <c r="BB26" s="45" t="str">
        <f aca="false">IF($A26="","",SUMPRODUCT(--ISNUMBER(SEARCH(","&amp;SUBSTITUTE($A26," ","")&amp;",",'Year Plan'!$BM$7:$BM$46)),--('Year Plan'!$H$7:$H$46&lt;&gt;""),--('Year Plan'!$H$7:$H$46&lt;=BB$3+6),--('Year Plan'!$I$7:$I$46&gt;=BB$3)))</f>
        <v/>
      </c>
      <c r="BC26" s="45" t="str">
        <f aca="false">IF($A26="","",SUMPRODUCT(--ISNUMBER(SEARCH(","&amp;SUBSTITUTE($A26," ","")&amp;",",'Year Plan'!$BM$7:$BM$46)),--('Year Plan'!$H$7:$H$46&lt;&gt;""),--('Year Plan'!$H$7:$H$46&lt;=BC$3+6),--('Year Plan'!$I$7:$I$46&gt;=BC$3)))</f>
        <v/>
      </c>
    </row>
    <row r="27" customFormat="false" ht="19.5" hidden="false" customHeight="true" outlineLevel="0" collapsed="false">
      <c r="A27" s="39" t="str">
        <f aca="false">IF(Setup!$B$31="","",Setup!$B$31)</f>
        <v/>
      </c>
      <c r="B27" s="39" t="str">
        <f aca="false">IF(Setup!$B$31="","",Setup!$C$31)</f>
        <v/>
      </c>
      <c r="C27" s="44" t="str">
        <f aca="false">IF($A27="","",SUMPRODUCT(--ISNUMBER(SEARCH(","&amp;SUBSTITUTE($A27," ","")&amp;",",'Year Plan'!$BM$7:$BM$46))))</f>
        <v/>
      </c>
      <c r="D27" s="45" t="str">
        <f aca="false">IF($A27="","",SUMPRODUCT(--ISNUMBER(SEARCH(","&amp;SUBSTITUTE($A27," ","")&amp;",",'Year Plan'!$BM$7:$BM$46)),--('Year Plan'!$H$7:$H$46&lt;&gt;""),--('Year Plan'!$H$7:$H$46&lt;=D$3+6),--('Year Plan'!$I$7:$I$46&gt;=D$3)))</f>
        <v/>
      </c>
      <c r="E27" s="45" t="str">
        <f aca="false">IF($A27="","",SUMPRODUCT(--ISNUMBER(SEARCH(","&amp;SUBSTITUTE($A27," ","")&amp;",",'Year Plan'!$BM$7:$BM$46)),--('Year Plan'!$H$7:$H$46&lt;&gt;""),--('Year Plan'!$H$7:$H$46&lt;=E$3+6),--('Year Plan'!$I$7:$I$46&gt;=E$3)))</f>
        <v/>
      </c>
      <c r="F27" s="45" t="str">
        <f aca="false">IF($A27="","",SUMPRODUCT(--ISNUMBER(SEARCH(","&amp;SUBSTITUTE($A27," ","")&amp;",",'Year Plan'!$BM$7:$BM$46)),--('Year Plan'!$H$7:$H$46&lt;&gt;""),--('Year Plan'!$H$7:$H$46&lt;=F$3+6),--('Year Plan'!$I$7:$I$46&gt;=F$3)))</f>
        <v/>
      </c>
      <c r="G27" s="45" t="str">
        <f aca="false">IF($A27="","",SUMPRODUCT(--ISNUMBER(SEARCH(","&amp;SUBSTITUTE($A27," ","")&amp;",",'Year Plan'!$BM$7:$BM$46)),--('Year Plan'!$H$7:$H$46&lt;&gt;""),--('Year Plan'!$H$7:$H$46&lt;=G$3+6),--('Year Plan'!$I$7:$I$46&gt;=G$3)))</f>
        <v/>
      </c>
      <c r="H27" s="45" t="str">
        <f aca="false">IF($A27="","",SUMPRODUCT(--ISNUMBER(SEARCH(","&amp;SUBSTITUTE($A27," ","")&amp;",",'Year Plan'!$BM$7:$BM$46)),--('Year Plan'!$H$7:$H$46&lt;&gt;""),--('Year Plan'!$H$7:$H$46&lt;=H$3+6),--('Year Plan'!$I$7:$I$46&gt;=H$3)))</f>
        <v/>
      </c>
      <c r="I27" s="45" t="str">
        <f aca="false">IF($A27="","",SUMPRODUCT(--ISNUMBER(SEARCH(","&amp;SUBSTITUTE($A27," ","")&amp;",",'Year Plan'!$BM$7:$BM$46)),--('Year Plan'!$H$7:$H$46&lt;&gt;""),--('Year Plan'!$H$7:$H$46&lt;=I$3+6),--('Year Plan'!$I$7:$I$46&gt;=I$3)))</f>
        <v/>
      </c>
      <c r="J27" s="45" t="str">
        <f aca="false">IF($A27="","",SUMPRODUCT(--ISNUMBER(SEARCH(","&amp;SUBSTITUTE($A27," ","")&amp;",",'Year Plan'!$BM$7:$BM$46)),--('Year Plan'!$H$7:$H$46&lt;&gt;""),--('Year Plan'!$H$7:$H$46&lt;=J$3+6),--('Year Plan'!$I$7:$I$46&gt;=J$3)))</f>
        <v/>
      </c>
      <c r="K27" s="45" t="str">
        <f aca="false">IF($A27="","",SUMPRODUCT(--ISNUMBER(SEARCH(","&amp;SUBSTITUTE($A27," ","")&amp;",",'Year Plan'!$BM$7:$BM$46)),--('Year Plan'!$H$7:$H$46&lt;&gt;""),--('Year Plan'!$H$7:$H$46&lt;=K$3+6),--('Year Plan'!$I$7:$I$46&gt;=K$3)))</f>
        <v/>
      </c>
      <c r="L27" s="45" t="str">
        <f aca="false">IF($A27="","",SUMPRODUCT(--ISNUMBER(SEARCH(","&amp;SUBSTITUTE($A27," ","")&amp;",",'Year Plan'!$BM$7:$BM$46)),--('Year Plan'!$H$7:$H$46&lt;&gt;""),--('Year Plan'!$H$7:$H$46&lt;=L$3+6),--('Year Plan'!$I$7:$I$46&gt;=L$3)))</f>
        <v/>
      </c>
      <c r="M27" s="45" t="str">
        <f aca="false">IF($A27="","",SUMPRODUCT(--ISNUMBER(SEARCH(","&amp;SUBSTITUTE($A27," ","")&amp;",",'Year Plan'!$BM$7:$BM$46)),--('Year Plan'!$H$7:$H$46&lt;&gt;""),--('Year Plan'!$H$7:$H$46&lt;=M$3+6),--('Year Plan'!$I$7:$I$46&gt;=M$3)))</f>
        <v/>
      </c>
      <c r="N27" s="45" t="str">
        <f aca="false">IF($A27="","",SUMPRODUCT(--ISNUMBER(SEARCH(","&amp;SUBSTITUTE($A27," ","")&amp;",",'Year Plan'!$BM$7:$BM$46)),--('Year Plan'!$H$7:$H$46&lt;&gt;""),--('Year Plan'!$H$7:$H$46&lt;=N$3+6),--('Year Plan'!$I$7:$I$46&gt;=N$3)))</f>
        <v/>
      </c>
      <c r="O27" s="45" t="str">
        <f aca="false">IF($A27="","",SUMPRODUCT(--ISNUMBER(SEARCH(","&amp;SUBSTITUTE($A27," ","")&amp;",",'Year Plan'!$BM$7:$BM$46)),--('Year Plan'!$H$7:$H$46&lt;&gt;""),--('Year Plan'!$H$7:$H$46&lt;=O$3+6),--('Year Plan'!$I$7:$I$46&gt;=O$3)))</f>
        <v/>
      </c>
      <c r="P27" s="45" t="str">
        <f aca="false">IF($A27="","",SUMPRODUCT(--ISNUMBER(SEARCH(","&amp;SUBSTITUTE($A27," ","")&amp;",",'Year Plan'!$BM$7:$BM$46)),--('Year Plan'!$H$7:$H$46&lt;&gt;""),--('Year Plan'!$H$7:$H$46&lt;=P$3+6),--('Year Plan'!$I$7:$I$46&gt;=P$3)))</f>
        <v/>
      </c>
      <c r="Q27" s="45" t="str">
        <f aca="false">IF($A27="","",SUMPRODUCT(--ISNUMBER(SEARCH(","&amp;SUBSTITUTE($A27," ","")&amp;",",'Year Plan'!$BM$7:$BM$46)),--('Year Plan'!$H$7:$H$46&lt;&gt;""),--('Year Plan'!$H$7:$H$46&lt;=Q$3+6),--('Year Plan'!$I$7:$I$46&gt;=Q$3)))</f>
        <v/>
      </c>
      <c r="R27" s="45" t="str">
        <f aca="false">IF($A27="","",SUMPRODUCT(--ISNUMBER(SEARCH(","&amp;SUBSTITUTE($A27," ","")&amp;",",'Year Plan'!$BM$7:$BM$46)),--('Year Plan'!$H$7:$H$46&lt;&gt;""),--('Year Plan'!$H$7:$H$46&lt;=R$3+6),--('Year Plan'!$I$7:$I$46&gt;=R$3)))</f>
        <v/>
      </c>
      <c r="S27" s="45" t="str">
        <f aca="false">IF($A27="","",SUMPRODUCT(--ISNUMBER(SEARCH(","&amp;SUBSTITUTE($A27," ","")&amp;",",'Year Plan'!$BM$7:$BM$46)),--('Year Plan'!$H$7:$H$46&lt;&gt;""),--('Year Plan'!$H$7:$H$46&lt;=S$3+6),--('Year Plan'!$I$7:$I$46&gt;=S$3)))</f>
        <v/>
      </c>
      <c r="T27" s="45" t="str">
        <f aca="false">IF($A27="","",SUMPRODUCT(--ISNUMBER(SEARCH(","&amp;SUBSTITUTE($A27," ","")&amp;",",'Year Plan'!$BM$7:$BM$46)),--('Year Plan'!$H$7:$H$46&lt;&gt;""),--('Year Plan'!$H$7:$H$46&lt;=T$3+6),--('Year Plan'!$I$7:$I$46&gt;=T$3)))</f>
        <v/>
      </c>
      <c r="U27" s="45" t="str">
        <f aca="false">IF($A27="","",SUMPRODUCT(--ISNUMBER(SEARCH(","&amp;SUBSTITUTE($A27," ","")&amp;",",'Year Plan'!$BM$7:$BM$46)),--('Year Plan'!$H$7:$H$46&lt;&gt;""),--('Year Plan'!$H$7:$H$46&lt;=U$3+6),--('Year Plan'!$I$7:$I$46&gt;=U$3)))</f>
        <v/>
      </c>
      <c r="V27" s="45" t="str">
        <f aca="false">IF($A27="","",SUMPRODUCT(--ISNUMBER(SEARCH(","&amp;SUBSTITUTE($A27," ","")&amp;",",'Year Plan'!$BM$7:$BM$46)),--('Year Plan'!$H$7:$H$46&lt;&gt;""),--('Year Plan'!$H$7:$H$46&lt;=V$3+6),--('Year Plan'!$I$7:$I$46&gt;=V$3)))</f>
        <v/>
      </c>
      <c r="W27" s="45" t="str">
        <f aca="false">IF($A27="","",SUMPRODUCT(--ISNUMBER(SEARCH(","&amp;SUBSTITUTE($A27," ","")&amp;",",'Year Plan'!$BM$7:$BM$46)),--('Year Plan'!$H$7:$H$46&lt;&gt;""),--('Year Plan'!$H$7:$H$46&lt;=W$3+6),--('Year Plan'!$I$7:$I$46&gt;=W$3)))</f>
        <v/>
      </c>
      <c r="X27" s="45" t="str">
        <f aca="false">IF($A27="","",SUMPRODUCT(--ISNUMBER(SEARCH(","&amp;SUBSTITUTE($A27," ","")&amp;",",'Year Plan'!$BM$7:$BM$46)),--('Year Plan'!$H$7:$H$46&lt;&gt;""),--('Year Plan'!$H$7:$H$46&lt;=X$3+6),--('Year Plan'!$I$7:$I$46&gt;=X$3)))</f>
        <v/>
      </c>
      <c r="Y27" s="45" t="str">
        <f aca="false">IF($A27="","",SUMPRODUCT(--ISNUMBER(SEARCH(","&amp;SUBSTITUTE($A27," ","")&amp;",",'Year Plan'!$BM$7:$BM$46)),--('Year Plan'!$H$7:$H$46&lt;&gt;""),--('Year Plan'!$H$7:$H$46&lt;=Y$3+6),--('Year Plan'!$I$7:$I$46&gt;=Y$3)))</f>
        <v/>
      </c>
      <c r="Z27" s="45" t="str">
        <f aca="false">IF($A27="","",SUMPRODUCT(--ISNUMBER(SEARCH(","&amp;SUBSTITUTE($A27," ","")&amp;",",'Year Plan'!$BM$7:$BM$46)),--('Year Plan'!$H$7:$H$46&lt;&gt;""),--('Year Plan'!$H$7:$H$46&lt;=Z$3+6),--('Year Plan'!$I$7:$I$46&gt;=Z$3)))</f>
        <v/>
      </c>
      <c r="AA27" s="45" t="str">
        <f aca="false">IF($A27="","",SUMPRODUCT(--ISNUMBER(SEARCH(","&amp;SUBSTITUTE($A27," ","")&amp;",",'Year Plan'!$BM$7:$BM$46)),--('Year Plan'!$H$7:$H$46&lt;&gt;""),--('Year Plan'!$H$7:$H$46&lt;=AA$3+6),--('Year Plan'!$I$7:$I$46&gt;=AA$3)))</f>
        <v/>
      </c>
      <c r="AB27" s="45" t="str">
        <f aca="false">IF($A27="","",SUMPRODUCT(--ISNUMBER(SEARCH(","&amp;SUBSTITUTE($A27," ","")&amp;",",'Year Plan'!$BM$7:$BM$46)),--('Year Plan'!$H$7:$H$46&lt;&gt;""),--('Year Plan'!$H$7:$H$46&lt;=AB$3+6),--('Year Plan'!$I$7:$I$46&gt;=AB$3)))</f>
        <v/>
      </c>
      <c r="AC27" s="45" t="str">
        <f aca="false">IF($A27="","",SUMPRODUCT(--ISNUMBER(SEARCH(","&amp;SUBSTITUTE($A27," ","")&amp;",",'Year Plan'!$BM$7:$BM$46)),--('Year Plan'!$H$7:$H$46&lt;&gt;""),--('Year Plan'!$H$7:$H$46&lt;=AC$3+6),--('Year Plan'!$I$7:$I$46&gt;=AC$3)))</f>
        <v/>
      </c>
      <c r="AD27" s="45" t="str">
        <f aca="false">IF($A27="","",SUMPRODUCT(--ISNUMBER(SEARCH(","&amp;SUBSTITUTE($A27," ","")&amp;",",'Year Plan'!$BM$7:$BM$46)),--('Year Plan'!$H$7:$H$46&lt;&gt;""),--('Year Plan'!$H$7:$H$46&lt;=AD$3+6),--('Year Plan'!$I$7:$I$46&gt;=AD$3)))</f>
        <v/>
      </c>
      <c r="AE27" s="45" t="str">
        <f aca="false">IF($A27="","",SUMPRODUCT(--ISNUMBER(SEARCH(","&amp;SUBSTITUTE($A27," ","")&amp;",",'Year Plan'!$BM$7:$BM$46)),--('Year Plan'!$H$7:$H$46&lt;&gt;""),--('Year Plan'!$H$7:$H$46&lt;=AE$3+6),--('Year Plan'!$I$7:$I$46&gt;=AE$3)))</f>
        <v/>
      </c>
      <c r="AF27" s="45" t="str">
        <f aca="false">IF($A27="","",SUMPRODUCT(--ISNUMBER(SEARCH(","&amp;SUBSTITUTE($A27," ","")&amp;",",'Year Plan'!$BM$7:$BM$46)),--('Year Plan'!$H$7:$H$46&lt;&gt;""),--('Year Plan'!$H$7:$H$46&lt;=AF$3+6),--('Year Plan'!$I$7:$I$46&gt;=AF$3)))</f>
        <v/>
      </c>
      <c r="AG27" s="45" t="str">
        <f aca="false">IF($A27="","",SUMPRODUCT(--ISNUMBER(SEARCH(","&amp;SUBSTITUTE($A27," ","")&amp;",",'Year Plan'!$BM$7:$BM$46)),--('Year Plan'!$H$7:$H$46&lt;&gt;""),--('Year Plan'!$H$7:$H$46&lt;=AG$3+6),--('Year Plan'!$I$7:$I$46&gt;=AG$3)))</f>
        <v/>
      </c>
      <c r="AH27" s="45" t="str">
        <f aca="false">IF($A27="","",SUMPRODUCT(--ISNUMBER(SEARCH(","&amp;SUBSTITUTE($A27," ","")&amp;",",'Year Plan'!$BM$7:$BM$46)),--('Year Plan'!$H$7:$H$46&lt;&gt;""),--('Year Plan'!$H$7:$H$46&lt;=AH$3+6),--('Year Plan'!$I$7:$I$46&gt;=AH$3)))</f>
        <v/>
      </c>
      <c r="AI27" s="45" t="str">
        <f aca="false">IF($A27="","",SUMPRODUCT(--ISNUMBER(SEARCH(","&amp;SUBSTITUTE($A27," ","")&amp;",",'Year Plan'!$BM$7:$BM$46)),--('Year Plan'!$H$7:$H$46&lt;&gt;""),--('Year Plan'!$H$7:$H$46&lt;=AI$3+6),--('Year Plan'!$I$7:$I$46&gt;=AI$3)))</f>
        <v/>
      </c>
      <c r="AJ27" s="45" t="str">
        <f aca="false">IF($A27="","",SUMPRODUCT(--ISNUMBER(SEARCH(","&amp;SUBSTITUTE($A27," ","")&amp;",",'Year Plan'!$BM$7:$BM$46)),--('Year Plan'!$H$7:$H$46&lt;&gt;""),--('Year Plan'!$H$7:$H$46&lt;=AJ$3+6),--('Year Plan'!$I$7:$I$46&gt;=AJ$3)))</f>
        <v/>
      </c>
      <c r="AK27" s="45" t="str">
        <f aca="false">IF($A27="","",SUMPRODUCT(--ISNUMBER(SEARCH(","&amp;SUBSTITUTE($A27," ","")&amp;",",'Year Plan'!$BM$7:$BM$46)),--('Year Plan'!$H$7:$H$46&lt;&gt;""),--('Year Plan'!$H$7:$H$46&lt;=AK$3+6),--('Year Plan'!$I$7:$I$46&gt;=AK$3)))</f>
        <v/>
      </c>
      <c r="AL27" s="45" t="str">
        <f aca="false">IF($A27="","",SUMPRODUCT(--ISNUMBER(SEARCH(","&amp;SUBSTITUTE($A27," ","")&amp;",",'Year Plan'!$BM$7:$BM$46)),--('Year Plan'!$H$7:$H$46&lt;&gt;""),--('Year Plan'!$H$7:$H$46&lt;=AL$3+6),--('Year Plan'!$I$7:$I$46&gt;=AL$3)))</f>
        <v/>
      </c>
      <c r="AM27" s="45" t="str">
        <f aca="false">IF($A27="","",SUMPRODUCT(--ISNUMBER(SEARCH(","&amp;SUBSTITUTE($A27," ","")&amp;",",'Year Plan'!$BM$7:$BM$46)),--('Year Plan'!$H$7:$H$46&lt;&gt;""),--('Year Plan'!$H$7:$H$46&lt;=AM$3+6),--('Year Plan'!$I$7:$I$46&gt;=AM$3)))</f>
        <v/>
      </c>
      <c r="AN27" s="45" t="str">
        <f aca="false">IF($A27="","",SUMPRODUCT(--ISNUMBER(SEARCH(","&amp;SUBSTITUTE($A27," ","")&amp;",",'Year Plan'!$BM$7:$BM$46)),--('Year Plan'!$H$7:$H$46&lt;&gt;""),--('Year Plan'!$H$7:$H$46&lt;=AN$3+6),--('Year Plan'!$I$7:$I$46&gt;=AN$3)))</f>
        <v/>
      </c>
      <c r="AO27" s="45" t="str">
        <f aca="false">IF($A27="","",SUMPRODUCT(--ISNUMBER(SEARCH(","&amp;SUBSTITUTE($A27," ","")&amp;",",'Year Plan'!$BM$7:$BM$46)),--('Year Plan'!$H$7:$H$46&lt;&gt;""),--('Year Plan'!$H$7:$H$46&lt;=AO$3+6),--('Year Plan'!$I$7:$I$46&gt;=AO$3)))</f>
        <v/>
      </c>
      <c r="AP27" s="45" t="str">
        <f aca="false">IF($A27="","",SUMPRODUCT(--ISNUMBER(SEARCH(","&amp;SUBSTITUTE($A27," ","")&amp;",",'Year Plan'!$BM$7:$BM$46)),--('Year Plan'!$H$7:$H$46&lt;&gt;""),--('Year Plan'!$H$7:$H$46&lt;=AP$3+6),--('Year Plan'!$I$7:$I$46&gt;=AP$3)))</f>
        <v/>
      </c>
      <c r="AQ27" s="45" t="str">
        <f aca="false">IF($A27="","",SUMPRODUCT(--ISNUMBER(SEARCH(","&amp;SUBSTITUTE($A27," ","")&amp;",",'Year Plan'!$BM$7:$BM$46)),--('Year Plan'!$H$7:$H$46&lt;&gt;""),--('Year Plan'!$H$7:$H$46&lt;=AQ$3+6),--('Year Plan'!$I$7:$I$46&gt;=AQ$3)))</f>
        <v/>
      </c>
      <c r="AR27" s="45" t="str">
        <f aca="false">IF($A27="","",SUMPRODUCT(--ISNUMBER(SEARCH(","&amp;SUBSTITUTE($A27," ","")&amp;",",'Year Plan'!$BM$7:$BM$46)),--('Year Plan'!$H$7:$H$46&lt;&gt;""),--('Year Plan'!$H$7:$H$46&lt;=AR$3+6),--('Year Plan'!$I$7:$I$46&gt;=AR$3)))</f>
        <v/>
      </c>
      <c r="AS27" s="45" t="str">
        <f aca="false">IF($A27="","",SUMPRODUCT(--ISNUMBER(SEARCH(","&amp;SUBSTITUTE($A27," ","")&amp;",",'Year Plan'!$BM$7:$BM$46)),--('Year Plan'!$H$7:$H$46&lt;&gt;""),--('Year Plan'!$H$7:$H$46&lt;=AS$3+6),--('Year Plan'!$I$7:$I$46&gt;=AS$3)))</f>
        <v/>
      </c>
      <c r="AT27" s="45" t="str">
        <f aca="false">IF($A27="","",SUMPRODUCT(--ISNUMBER(SEARCH(","&amp;SUBSTITUTE($A27," ","")&amp;",",'Year Plan'!$BM$7:$BM$46)),--('Year Plan'!$H$7:$H$46&lt;&gt;""),--('Year Plan'!$H$7:$H$46&lt;=AT$3+6),--('Year Plan'!$I$7:$I$46&gt;=AT$3)))</f>
        <v/>
      </c>
      <c r="AU27" s="45" t="str">
        <f aca="false">IF($A27="","",SUMPRODUCT(--ISNUMBER(SEARCH(","&amp;SUBSTITUTE($A27," ","")&amp;",",'Year Plan'!$BM$7:$BM$46)),--('Year Plan'!$H$7:$H$46&lt;&gt;""),--('Year Plan'!$H$7:$H$46&lt;=AU$3+6),--('Year Plan'!$I$7:$I$46&gt;=AU$3)))</f>
        <v/>
      </c>
      <c r="AV27" s="45" t="str">
        <f aca="false">IF($A27="","",SUMPRODUCT(--ISNUMBER(SEARCH(","&amp;SUBSTITUTE($A27," ","")&amp;",",'Year Plan'!$BM$7:$BM$46)),--('Year Plan'!$H$7:$H$46&lt;&gt;""),--('Year Plan'!$H$7:$H$46&lt;=AV$3+6),--('Year Plan'!$I$7:$I$46&gt;=AV$3)))</f>
        <v/>
      </c>
      <c r="AW27" s="45" t="str">
        <f aca="false">IF($A27="","",SUMPRODUCT(--ISNUMBER(SEARCH(","&amp;SUBSTITUTE($A27," ","")&amp;",",'Year Plan'!$BM$7:$BM$46)),--('Year Plan'!$H$7:$H$46&lt;&gt;""),--('Year Plan'!$H$7:$H$46&lt;=AW$3+6),--('Year Plan'!$I$7:$I$46&gt;=AW$3)))</f>
        <v/>
      </c>
      <c r="AX27" s="45" t="str">
        <f aca="false">IF($A27="","",SUMPRODUCT(--ISNUMBER(SEARCH(","&amp;SUBSTITUTE($A27," ","")&amp;",",'Year Plan'!$BM$7:$BM$46)),--('Year Plan'!$H$7:$H$46&lt;&gt;""),--('Year Plan'!$H$7:$H$46&lt;=AX$3+6),--('Year Plan'!$I$7:$I$46&gt;=AX$3)))</f>
        <v/>
      </c>
      <c r="AY27" s="45" t="str">
        <f aca="false">IF($A27="","",SUMPRODUCT(--ISNUMBER(SEARCH(","&amp;SUBSTITUTE($A27," ","")&amp;",",'Year Plan'!$BM$7:$BM$46)),--('Year Plan'!$H$7:$H$46&lt;&gt;""),--('Year Plan'!$H$7:$H$46&lt;=AY$3+6),--('Year Plan'!$I$7:$I$46&gt;=AY$3)))</f>
        <v/>
      </c>
      <c r="AZ27" s="45" t="str">
        <f aca="false">IF($A27="","",SUMPRODUCT(--ISNUMBER(SEARCH(","&amp;SUBSTITUTE($A27," ","")&amp;",",'Year Plan'!$BM$7:$BM$46)),--('Year Plan'!$H$7:$H$46&lt;&gt;""),--('Year Plan'!$H$7:$H$46&lt;=AZ$3+6),--('Year Plan'!$I$7:$I$46&gt;=AZ$3)))</f>
        <v/>
      </c>
      <c r="BA27" s="45" t="str">
        <f aca="false">IF($A27="","",SUMPRODUCT(--ISNUMBER(SEARCH(","&amp;SUBSTITUTE($A27," ","")&amp;",",'Year Plan'!$BM$7:$BM$46)),--('Year Plan'!$H$7:$H$46&lt;&gt;""),--('Year Plan'!$H$7:$H$46&lt;=BA$3+6),--('Year Plan'!$I$7:$I$46&gt;=BA$3)))</f>
        <v/>
      </c>
      <c r="BB27" s="45" t="str">
        <f aca="false">IF($A27="","",SUMPRODUCT(--ISNUMBER(SEARCH(","&amp;SUBSTITUTE($A27," ","")&amp;",",'Year Plan'!$BM$7:$BM$46)),--('Year Plan'!$H$7:$H$46&lt;&gt;""),--('Year Plan'!$H$7:$H$46&lt;=BB$3+6),--('Year Plan'!$I$7:$I$46&gt;=BB$3)))</f>
        <v/>
      </c>
      <c r="BC27" s="45" t="str">
        <f aca="false">IF($A27="","",SUMPRODUCT(--ISNUMBER(SEARCH(","&amp;SUBSTITUTE($A27," ","")&amp;",",'Year Plan'!$BM$7:$BM$46)),--('Year Plan'!$H$7:$H$46&lt;&gt;""),--('Year Plan'!$H$7:$H$46&lt;=BC$3+6),--('Year Plan'!$I$7:$I$46&gt;=BC$3)))</f>
        <v/>
      </c>
    </row>
    <row r="28" customFormat="false" ht="19.5" hidden="false" customHeight="true" outlineLevel="0" collapsed="false">
      <c r="A28" s="39" t="str">
        <f aca="false">IF(Setup!$B$32="","",Setup!$B$32)</f>
        <v/>
      </c>
      <c r="B28" s="39" t="str">
        <f aca="false">IF(Setup!$B$32="","",Setup!$C$32)</f>
        <v/>
      </c>
      <c r="C28" s="44" t="str">
        <f aca="false">IF($A28="","",SUMPRODUCT(--ISNUMBER(SEARCH(","&amp;SUBSTITUTE($A28," ","")&amp;",",'Year Plan'!$BM$7:$BM$46))))</f>
        <v/>
      </c>
      <c r="D28" s="45" t="str">
        <f aca="false">IF($A28="","",SUMPRODUCT(--ISNUMBER(SEARCH(","&amp;SUBSTITUTE($A28," ","")&amp;",",'Year Plan'!$BM$7:$BM$46)),--('Year Plan'!$H$7:$H$46&lt;&gt;""),--('Year Plan'!$H$7:$H$46&lt;=D$3+6),--('Year Plan'!$I$7:$I$46&gt;=D$3)))</f>
        <v/>
      </c>
      <c r="E28" s="45" t="str">
        <f aca="false">IF($A28="","",SUMPRODUCT(--ISNUMBER(SEARCH(","&amp;SUBSTITUTE($A28," ","")&amp;",",'Year Plan'!$BM$7:$BM$46)),--('Year Plan'!$H$7:$H$46&lt;&gt;""),--('Year Plan'!$H$7:$H$46&lt;=E$3+6),--('Year Plan'!$I$7:$I$46&gt;=E$3)))</f>
        <v/>
      </c>
      <c r="F28" s="45" t="str">
        <f aca="false">IF($A28="","",SUMPRODUCT(--ISNUMBER(SEARCH(","&amp;SUBSTITUTE($A28," ","")&amp;",",'Year Plan'!$BM$7:$BM$46)),--('Year Plan'!$H$7:$H$46&lt;&gt;""),--('Year Plan'!$H$7:$H$46&lt;=F$3+6),--('Year Plan'!$I$7:$I$46&gt;=F$3)))</f>
        <v/>
      </c>
      <c r="G28" s="45" t="str">
        <f aca="false">IF($A28="","",SUMPRODUCT(--ISNUMBER(SEARCH(","&amp;SUBSTITUTE($A28," ","")&amp;",",'Year Plan'!$BM$7:$BM$46)),--('Year Plan'!$H$7:$H$46&lt;&gt;""),--('Year Plan'!$H$7:$H$46&lt;=G$3+6),--('Year Plan'!$I$7:$I$46&gt;=G$3)))</f>
        <v/>
      </c>
      <c r="H28" s="45" t="str">
        <f aca="false">IF($A28="","",SUMPRODUCT(--ISNUMBER(SEARCH(","&amp;SUBSTITUTE($A28," ","")&amp;",",'Year Plan'!$BM$7:$BM$46)),--('Year Plan'!$H$7:$H$46&lt;&gt;""),--('Year Plan'!$H$7:$H$46&lt;=H$3+6),--('Year Plan'!$I$7:$I$46&gt;=H$3)))</f>
        <v/>
      </c>
      <c r="I28" s="45" t="str">
        <f aca="false">IF($A28="","",SUMPRODUCT(--ISNUMBER(SEARCH(","&amp;SUBSTITUTE($A28," ","")&amp;",",'Year Plan'!$BM$7:$BM$46)),--('Year Plan'!$H$7:$H$46&lt;&gt;""),--('Year Plan'!$H$7:$H$46&lt;=I$3+6),--('Year Plan'!$I$7:$I$46&gt;=I$3)))</f>
        <v/>
      </c>
      <c r="J28" s="45" t="str">
        <f aca="false">IF($A28="","",SUMPRODUCT(--ISNUMBER(SEARCH(","&amp;SUBSTITUTE($A28," ","")&amp;",",'Year Plan'!$BM$7:$BM$46)),--('Year Plan'!$H$7:$H$46&lt;&gt;""),--('Year Plan'!$H$7:$H$46&lt;=J$3+6),--('Year Plan'!$I$7:$I$46&gt;=J$3)))</f>
        <v/>
      </c>
      <c r="K28" s="45" t="str">
        <f aca="false">IF($A28="","",SUMPRODUCT(--ISNUMBER(SEARCH(","&amp;SUBSTITUTE($A28," ","")&amp;",",'Year Plan'!$BM$7:$BM$46)),--('Year Plan'!$H$7:$H$46&lt;&gt;""),--('Year Plan'!$H$7:$H$46&lt;=K$3+6),--('Year Plan'!$I$7:$I$46&gt;=K$3)))</f>
        <v/>
      </c>
      <c r="L28" s="45" t="str">
        <f aca="false">IF($A28="","",SUMPRODUCT(--ISNUMBER(SEARCH(","&amp;SUBSTITUTE($A28," ","")&amp;",",'Year Plan'!$BM$7:$BM$46)),--('Year Plan'!$H$7:$H$46&lt;&gt;""),--('Year Plan'!$H$7:$H$46&lt;=L$3+6),--('Year Plan'!$I$7:$I$46&gt;=L$3)))</f>
        <v/>
      </c>
      <c r="M28" s="45" t="str">
        <f aca="false">IF($A28="","",SUMPRODUCT(--ISNUMBER(SEARCH(","&amp;SUBSTITUTE($A28," ","")&amp;",",'Year Plan'!$BM$7:$BM$46)),--('Year Plan'!$H$7:$H$46&lt;&gt;""),--('Year Plan'!$H$7:$H$46&lt;=M$3+6),--('Year Plan'!$I$7:$I$46&gt;=M$3)))</f>
        <v/>
      </c>
      <c r="N28" s="45" t="str">
        <f aca="false">IF($A28="","",SUMPRODUCT(--ISNUMBER(SEARCH(","&amp;SUBSTITUTE($A28," ","")&amp;",",'Year Plan'!$BM$7:$BM$46)),--('Year Plan'!$H$7:$H$46&lt;&gt;""),--('Year Plan'!$H$7:$H$46&lt;=N$3+6),--('Year Plan'!$I$7:$I$46&gt;=N$3)))</f>
        <v/>
      </c>
      <c r="O28" s="45" t="str">
        <f aca="false">IF($A28="","",SUMPRODUCT(--ISNUMBER(SEARCH(","&amp;SUBSTITUTE($A28," ","")&amp;",",'Year Plan'!$BM$7:$BM$46)),--('Year Plan'!$H$7:$H$46&lt;&gt;""),--('Year Plan'!$H$7:$H$46&lt;=O$3+6),--('Year Plan'!$I$7:$I$46&gt;=O$3)))</f>
        <v/>
      </c>
      <c r="P28" s="45" t="str">
        <f aca="false">IF($A28="","",SUMPRODUCT(--ISNUMBER(SEARCH(","&amp;SUBSTITUTE($A28," ","")&amp;",",'Year Plan'!$BM$7:$BM$46)),--('Year Plan'!$H$7:$H$46&lt;&gt;""),--('Year Plan'!$H$7:$H$46&lt;=P$3+6),--('Year Plan'!$I$7:$I$46&gt;=P$3)))</f>
        <v/>
      </c>
      <c r="Q28" s="45" t="str">
        <f aca="false">IF($A28="","",SUMPRODUCT(--ISNUMBER(SEARCH(","&amp;SUBSTITUTE($A28," ","")&amp;",",'Year Plan'!$BM$7:$BM$46)),--('Year Plan'!$H$7:$H$46&lt;&gt;""),--('Year Plan'!$H$7:$H$46&lt;=Q$3+6),--('Year Plan'!$I$7:$I$46&gt;=Q$3)))</f>
        <v/>
      </c>
      <c r="R28" s="45" t="str">
        <f aca="false">IF($A28="","",SUMPRODUCT(--ISNUMBER(SEARCH(","&amp;SUBSTITUTE($A28," ","")&amp;",",'Year Plan'!$BM$7:$BM$46)),--('Year Plan'!$H$7:$H$46&lt;&gt;""),--('Year Plan'!$H$7:$H$46&lt;=R$3+6),--('Year Plan'!$I$7:$I$46&gt;=R$3)))</f>
        <v/>
      </c>
      <c r="S28" s="45" t="str">
        <f aca="false">IF($A28="","",SUMPRODUCT(--ISNUMBER(SEARCH(","&amp;SUBSTITUTE($A28," ","")&amp;",",'Year Plan'!$BM$7:$BM$46)),--('Year Plan'!$H$7:$H$46&lt;&gt;""),--('Year Plan'!$H$7:$H$46&lt;=S$3+6),--('Year Plan'!$I$7:$I$46&gt;=S$3)))</f>
        <v/>
      </c>
      <c r="T28" s="45" t="str">
        <f aca="false">IF($A28="","",SUMPRODUCT(--ISNUMBER(SEARCH(","&amp;SUBSTITUTE($A28," ","")&amp;",",'Year Plan'!$BM$7:$BM$46)),--('Year Plan'!$H$7:$H$46&lt;&gt;""),--('Year Plan'!$H$7:$H$46&lt;=T$3+6),--('Year Plan'!$I$7:$I$46&gt;=T$3)))</f>
        <v/>
      </c>
      <c r="U28" s="45" t="str">
        <f aca="false">IF($A28="","",SUMPRODUCT(--ISNUMBER(SEARCH(","&amp;SUBSTITUTE($A28," ","")&amp;",",'Year Plan'!$BM$7:$BM$46)),--('Year Plan'!$H$7:$H$46&lt;&gt;""),--('Year Plan'!$H$7:$H$46&lt;=U$3+6),--('Year Plan'!$I$7:$I$46&gt;=U$3)))</f>
        <v/>
      </c>
      <c r="V28" s="45" t="str">
        <f aca="false">IF($A28="","",SUMPRODUCT(--ISNUMBER(SEARCH(","&amp;SUBSTITUTE($A28," ","")&amp;",",'Year Plan'!$BM$7:$BM$46)),--('Year Plan'!$H$7:$H$46&lt;&gt;""),--('Year Plan'!$H$7:$H$46&lt;=V$3+6),--('Year Plan'!$I$7:$I$46&gt;=V$3)))</f>
        <v/>
      </c>
      <c r="W28" s="45" t="str">
        <f aca="false">IF($A28="","",SUMPRODUCT(--ISNUMBER(SEARCH(","&amp;SUBSTITUTE($A28," ","")&amp;",",'Year Plan'!$BM$7:$BM$46)),--('Year Plan'!$H$7:$H$46&lt;&gt;""),--('Year Plan'!$H$7:$H$46&lt;=W$3+6),--('Year Plan'!$I$7:$I$46&gt;=W$3)))</f>
        <v/>
      </c>
      <c r="X28" s="45" t="str">
        <f aca="false">IF($A28="","",SUMPRODUCT(--ISNUMBER(SEARCH(","&amp;SUBSTITUTE($A28," ","")&amp;",",'Year Plan'!$BM$7:$BM$46)),--('Year Plan'!$H$7:$H$46&lt;&gt;""),--('Year Plan'!$H$7:$H$46&lt;=X$3+6),--('Year Plan'!$I$7:$I$46&gt;=X$3)))</f>
        <v/>
      </c>
      <c r="Y28" s="45" t="str">
        <f aca="false">IF($A28="","",SUMPRODUCT(--ISNUMBER(SEARCH(","&amp;SUBSTITUTE($A28," ","")&amp;",",'Year Plan'!$BM$7:$BM$46)),--('Year Plan'!$H$7:$H$46&lt;&gt;""),--('Year Plan'!$H$7:$H$46&lt;=Y$3+6),--('Year Plan'!$I$7:$I$46&gt;=Y$3)))</f>
        <v/>
      </c>
      <c r="Z28" s="45" t="str">
        <f aca="false">IF($A28="","",SUMPRODUCT(--ISNUMBER(SEARCH(","&amp;SUBSTITUTE($A28," ","")&amp;",",'Year Plan'!$BM$7:$BM$46)),--('Year Plan'!$H$7:$H$46&lt;&gt;""),--('Year Plan'!$H$7:$H$46&lt;=Z$3+6),--('Year Plan'!$I$7:$I$46&gt;=Z$3)))</f>
        <v/>
      </c>
      <c r="AA28" s="45" t="str">
        <f aca="false">IF($A28="","",SUMPRODUCT(--ISNUMBER(SEARCH(","&amp;SUBSTITUTE($A28," ","")&amp;",",'Year Plan'!$BM$7:$BM$46)),--('Year Plan'!$H$7:$H$46&lt;&gt;""),--('Year Plan'!$H$7:$H$46&lt;=AA$3+6),--('Year Plan'!$I$7:$I$46&gt;=AA$3)))</f>
        <v/>
      </c>
      <c r="AB28" s="45" t="str">
        <f aca="false">IF($A28="","",SUMPRODUCT(--ISNUMBER(SEARCH(","&amp;SUBSTITUTE($A28," ","")&amp;",",'Year Plan'!$BM$7:$BM$46)),--('Year Plan'!$H$7:$H$46&lt;&gt;""),--('Year Plan'!$H$7:$H$46&lt;=AB$3+6),--('Year Plan'!$I$7:$I$46&gt;=AB$3)))</f>
        <v/>
      </c>
      <c r="AC28" s="45" t="str">
        <f aca="false">IF($A28="","",SUMPRODUCT(--ISNUMBER(SEARCH(","&amp;SUBSTITUTE($A28," ","")&amp;",",'Year Plan'!$BM$7:$BM$46)),--('Year Plan'!$H$7:$H$46&lt;&gt;""),--('Year Plan'!$H$7:$H$46&lt;=AC$3+6),--('Year Plan'!$I$7:$I$46&gt;=AC$3)))</f>
        <v/>
      </c>
      <c r="AD28" s="45" t="str">
        <f aca="false">IF($A28="","",SUMPRODUCT(--ISNUMBER(SEARCH(","&amp;SUBSTITUTE($A28," ","")&amp;",",'Year Plan'!$BM$7:$BM$46)),--('Year Plan'!$H$7:$H$46&lt;&gt;""),--('Year Plan'!$H$7:$H$46&lt;=AD$3+6),--('Year Plan'!$I$7:$I$46&gt;=AD$3)))</f>
        <v/>
      </c>
      <c r="AE28" s="45" t="str">
        <f aca="false">IF($A28="","",SUMPRODUCT(--ISNUMBER(SEARCH(","&amp;SUBSTITUTE($A28," ","")&amp;",",'Year Plan'!$BM$7:$BM$46)),--('Year Plan'!$H$7:$H$46&lt;&gt;""),--('Year Plan'!$H$7:$H$46&lt;=AE$3+6),--('Year Plan'!$I$7:$I$46&gt;=AE$3)))</f>
        <v/>
      </c>
      <c r="AF28" s="45" t="str">
        <f aca="false">IF($A28="","",SUMPRODUCT(--ISNUMBER(SEARCH(","&amp;SUBSTITUTE($A28," ","")&amp;",",'Year Plan'!$BM$7:$BM$46)),--('Year Plan'!$H$7:$H$46&lt;&gt;""),--('Year Plan'!$H$7:$H$46&lt;=AF$3+6),--('Year Plan'!$I$7:$I$46&gt;=AF$3)))</f>
        <v/>
      </c>
      <c r="AG28" s="45" t="str">
        <f aca="false">IF($A28="","",SUMPRODUCT(--ISNUMBER(SEARCH(","&amp;SUBSTITUTE($A28," ","")&amp;",",'Year Plan'!$BM$7:$BM$46)),--('Year Plan'!$H$7:$H$46&lt;&gt;""),--('Year Plan'!$H$7:$H$46&lt;=AG$3+6),--('Year Plan'!$I$7:$I$46&gt;=AG$3)))</f>
        <v/>
      </c>
      <c r="AH28" s="45" t="str">
        <f aca="false">IF($A28="","",SUMPRODUCT(--ISNUMBER(SEARCH(","&amp;SUBSTITUTE($A28," ","")&amp;",",'Year Plan'!$BM$7:$BM$46)),--('Year Plan'!$H$7:$H$46&lt;&gt;""),--('Year Plan'!$H$7:$H$46&lt;=AH$3+6),--('Year Plan'!$I$7:$I$46&gt;=AH$3)))</f>
        <v/>
      </c>
      <c r="AI28" s="45" t="str">
        <f aca="false">IF($A28="","",SUMPRODUCT(--ISNUMBER(SEARCH(","&amp;SUBSTITUTE($A28," ","")&amp;",",'Year Plan'!$BM$7:$BM$46)),--('Year Plan'!$H$7:$H$46&lt;&gt;""),--('Year Plan'!$H$7:$H$46&lt;=AI$3+6),--('Year Plan'!$I$7:$I$46&gt;=AI$3)))</f>
        <v/>
      </c>
      <c r="AJ28" s="45" t="str">
        <f aca="false">IF($A28="","",SUMPRODUCT(--ISNUMBER(SEARCH(","&amp;SUBSTITUTE($A28," ","")&amp;",",'Year Plan'!$BM$7:$BM$46)),--('Year Plan'!$H$7:$H$46&lt;&gt;""),--('Year Plan'!$H$7:$H$46&lt;=AJ$3+6),--('Year Plan'!$I$7:$I$46&gt;=AJ$3)))</f>
        <v/>
      </c>
      <c r="AK28" s="45" t="str">
        <f aca="false">IF($A28="","",SUMPRODUCT(--ISNUMBER(SEARCH(","&amp;SUBSTITUTE($A28," ","")&amp;",",'Year Plan'!$BM$7:$BM$46)),--('Year Plan'!$H$7:$H$46&lt;&gt;""),--('Year Plan'!$H$7:$H$46&lt;=AK$3+6),--('Year Plan'!$I$7:$I$46&gt;=AK$3)))</f>
        <v/>
      </c>
      <c r="AL28" s="45" t="str">
        <f aca="false">IF($A28="","",SUMPRODUCT(--ISNUMBER(SEARCH(","&amp;SUBSTITUTE($A28," ","")&amp;",",'Year Plan'!$BM$7:$BM$46)),--('Year Plan'!$H$7:$H$46&lt;&gt;""),--('Year Plan'!$H$7:$H$46&lt;=AL$3+6),--('Year Plan'!$I$7:$I$46&gt;=AL$3)))</f>
        <v/>
      </c>
      <c r="AM28" s="45" t="str">
        <f aca="false">IF($A28="","",SUMPRODUCT(--ISNUMBER(SEARCH(","&amp;SUBSTITUTE($A28," ","")&amp;",",'Year Plan'!$BM$7:$BM$46)),--('Year Plan'!$H$7:$H$46&lt;&gt;""),--('Year Plan'!$H$7:$H$46&lt;=AM$3+6),--('Year Plan'!$I$7:$I$46&gt;=AM$3)))</f>
        <v/>
      </c>
      <c r="AN28" s="45" t="str">
        <f aca="false">IF($A28="","",SUMPRODUCT(--ISNUMBER(SEARCH(","&amp;SUBSTITUTE($A28," ","")&amp;",",'Year Plan'!$BM$7:$BM$46)),--('Year Plan'!$H$7:$H$46&lt;&gt;""),--('Year Plan'!$H$7:$H$46&lt;=AN$3+6),--('Year Plan'!$I$7:$I$46&gt;=AN$3)))</f>
        <v/>
      </c>
      <c r="AO28" s="45" t="str">
        <f aca="false">IF($A28="","",SUMPRODUCT(--ISNUMBER(SEARCH(","&amp;SUBSTITUTE($A28," ","")&amp;",",'Year Plan'!$BM$7:$BM$46)),--('Year Plan'!$H$7:$H$46&lt;&gt;""),--('Year Plan'!$H$7:$H$46&lt;=AO$3+6),--('Year Plan'!$I$7:$I$46&gt;=AO$3)))</f>
        <v/>
      </c>
      <c r="AP28" s="45" t="str">
        <f aca="false">IF($A28="","",SUMPRODUCT(--ISNUMBER(SEARCH(","&amp;SUBSTITUTE($A28," ","")&amp;",",'Year Plan'!$BM$7:$BM$46)),--('Year Plan'!$H$7:$H$46&lt;&gt;""),--('Year Plan'!$H$7:$H$46&lt;=AP$3+6),--('Year Plan'!$I$7:$I$46&gt;=AP$3)))</f>
        <v/>
      </c>
      <c r="AQ28" s="45" t="str">
        <f aca="false">IF($A28="","",SUMPRODUCT(--ISNUMBER(SEARCH(","&amp;SUBSTITUTE($A28," ","")&amp;",",'Year Plan'!$BM$7:$BM$46)),--('Year Plan'!$H$7:$H$46&lt;&gt;""),--('Year Plan'!$H$7:$H$46&lt;=AQ$3+6),--('Year Plan'!$I$7:$I$46&gt;=AQ$3)))</f>
        <v/>
      </c>
      <c r="AR28" s="45" t="str">
        <f aca="false">IF($A28="","",SUMPRODUCT(--ISNUMBER(SEARCH(","&amp;SUBSTITUTE($A28," ","")&amp;",",'Year Plan'!$BM$7:$BM$46)),--('Year Plan'!$H$7:$H$46&lt;&gt;""),--('Year Plan'!$H$7:$H$46&lt;=AR$3+6),--('Year Plan'!$I$7:$I$46&gt;=AR$3)))</f>
        <v/>
      </c>
      <c r="AS28" s="45" t="str">
        <f aca="false">IF($A28="","",SUMPRODUCT(--ISNUMBER(SEARCH(","&amp;SUBSTITUTE($A28," ","")&amp;",",'Year Plan'!$BM$7:$BM$46)),--('Year Plan'!$H$7:$H$46&lt;&gt;""),--('Year Plan'!$H$7:$H$46&lt;=AS$3+6),--('Year Plan'!$I$7:$I$46&gt;=AS$3)))</f>
        <v/>
      </c>
      <c r="AT28" s="45" t="str">
        <f aca="false">IF($A28="","",SUMPRODUCT(--ISNUMBER(SEARCH(","&amp;SUBSTITUTE($A28," ","")&amp;",",'Year Plan'!$BM$7:$BM$46)),--('Year Plan'!$H$7:$H$46&lt;&gt;""),--('Year Plan'!$H$7:$H$46&lt;=AT$3+6),--('Year Plan'!$I$7:$I$46&gt;=AT$3)))</f>
        <v/>
      </c>
      <c r="AU28" s="45" t="str">
        <f aca="false">IF($A28="","",SUMPRODUCT(--ISNUMBER(SEARCH(","&amp;SUBSTITUTE($A28," ","")&amp;",",'Year Plan'!$BM$7:$BM$46)),--('Year Plan'!$H$7:$H$46&lt;&gt;""),--('Year Plan'!$H$7:$H$46&lt;=AU$3+6),--('Year Plan'!$I$7:$I$46&gt;=AU$3)))</f>
        <v/>
      </c>
      <c r="AV28" s="45" t="str">
        <f aca="false">IF($A28="","",SUMPRODUCT(--ISNUMBER(SEARCH(","&amp;SUBSTITUTE($A28," ","")&amp;",",'Year Plan'!$BM$7:$BM$46)),--('Year Plan'!$H$7:$H$46&lt;&gt;""),--('Year Plan'!$H$7:$H$46&lt;=AV$3+6),--('Year Plan'!$I$7:$I$46&gt;=AV$3)))</f>
        <v/>
      </c>
      <c r="AW28" s="45" t="str">
        <f aca="false">IF($A28="","",SUMPRODUCT(--ISNUMBER(SEARCH(","&amp;SUBSTITUTE($A28," ","")&amp;",",'Year Plan'!$BM$7:$BM$46)),--('Year Plan'!$H$7:$H$46&lt;&gt;""),--('Year Plan'!$H$7:$H$46&lt;=AW$3+6),--('Year Plan'!$I$7:$I$46&gt;=AW$3)))</f>
        <v/>
      </c>
      <c r="AX28" s="45" t="str">
        <f aca="false">IF($A28="","",SUMPRODUCT(--ISNUMBER(SEARCH(","&amp;SUBSTITUTE($A28," ","")&amp;",",'Year Plan'!$BM$7:$BM$46)),--('Year Plan'!$H$7:$H$46&lt;&gt;""),--('Year Plan'!$H$7:$H$46&lt;=AX$3+6),--('Year Plan'!$I$7:$I$46&gt;=AX$3)))</f>
        <v/>
      </c>
      <c r="AY28" s="45" t="str">
        <f aca="false">IF($A28="","",SUMPRODUCT(--ISNUMBER(SEARCH(","&amp;SUBSTITUTE($A28," ","")&amp;",",'Year Plan'!$BM$7:$BM$46)),--('Year Plan'!$H$7:$H$46&lt;&gt;""),--('Year Plan'!$H$7:$H$46&lt;=AY$3+6),--('Year Plan'!$I$7:$I$46&gt;=AY$3)))</f>
        <v/>
      </c>
      <c r="AZ28" s="45" t="str">
        <f aca="false">IF($A28="","",SUMPRODUCT(--ISNUMBER(SEARCH(","&amp;SUBSTITUTE($A28," ","")&amp;",",'Year Plan'!$BM$7:$BM$46)),--('Year Plan'!$H$7:$H$46&lt;&gt;""),--('Year Plan'!$H$7:$H$46&lt;=AZ$3+6),--('Year Plan'!$I$7:$I$46&gt;=AZ$3)))</f>
        <v/>
      </c>
      <c r="BA28" s="45" t="str">
        <f aca="false">IF($A28="","",SUMPRODUCT(--ISNUMBER(SEARCH(","&amp;SUBSTITUTE($A28," ","")&amp;",",'Year Plan'!$BM$7:$BM$46)),--('Year Plan'!$H$7:$H$46&lt;&gt;""),--('Year Plan'!$H$7:$H$46&lt;=BA$3+6),--('Year Plan'!$I$7:$I$46&gt;=BA$3)))</f>
        <v/>
      </c>
      <c r="BB28" s="45" t="str">
        <f aca="false">IF($A28="","",SUMPRODUCT(--ISNUMBER(SEARCH(","&amp;SUBSTITUTE($A28," ","")&amp;",",'Year Plan'!$BM$7:$BM$46)),--('Year Plan'!$H$7:$H$46&lt;&gt;""),--('Year Plan'!$H$7:$H$46&lt;=BB$3+6),--('Year Plan'!$I$7:$I$46&gt;=BB$3)))</f>
        <v/>
      </c>
      <c r="BC28" s="45" t="str">
        <f aca="false">IF($A28="","",SUMPRODUCT(--ISNUMBER(SEARCH(","&amp;SUBSTITUTE($A28," ","")&amp;",",'Year Plan'!$BM$7:$BM$46)),--('Year Plan'!$H$7:$H$46&lt;&gt;""),--('Year Plan'!$H$7:$H$46&lt;=BC$3+6),--('Year Plan'!$I$7:$I$46&gt;=BC$3)))</f>
        <v/>
      </c>
    </row>
    <row r="29" customFormat="false" ht="19.5" hidden="false" customHeight="true" outlineLevel="0" collapsed="false">
      <c r="A29" s="39" t="str">
        <f aca="false">IF(Setup!$B$33="","",Setup!$B$33)</f>
        <v/>
      </c>
      <c r="B29" s="39" t="str">
        <f aca="false">IF(Setup!$B$33="","",Setup!$C$33)</f>
        <v/>
      </c>
      <c r="C29" s="44" t="str">
        <f aca="false">IF($A29="","",SUMPRODUCT(--ISNUMBER(SEARCH(","&amp;SUBSTITUTE($A29," ","")&amp;",",'Year Plan'!$BM$7:$BM$46))))</f>
        <v/>
      </c>
      <c r="D29" s="45" t="str">
        <f aca="false">IF($A29="","",SUMPRODUCT(--ISNUMBER(SEARCH(","&amp;SUBSTITUTE($A29," ","")&amp;",",'Year Plan'!$BM$7:$BM$46)),--('Year Plan'!$H$7:$H$46&lt;&gt;""),--('Year Plan'!$H$7:$H$46&lt;=D$3+6),--('Year Plan'!$I$7:$I$46&gt;=D$3)))</f>
        <v/>
      </c>
      <c r="E29" s="45" t="str">
        <f aca="false">IF($A29="","",SUMPRODUCT(--ISNUMBER(SEARCH(","&amp;SUBSTITUTE($A29," ","")&amp;",",'Year Plan'!$BM$7:$BM$46)),--('Year Plan'!$H$7:$H$46&lt;&gt;""),--('Year Plan'!$H$7:$H$46&lt;=E$3+6),--('Year Plan'!$I$7:$I$46&gt;=E$3)))</f>
        <v/>
      </c>
      <c r="F29" s="45" t="str">
        <f aca="false">IF($A29="","",SUMPRODUCT(--ISNUMBER(SEARCH(","&amp;SUBSTITUTE($A29," ","")&amp;",",'Year Plan'!$BM$7:$BM$46)),--('Year Plan'!$H$7:$H$46&lt;&gt;""),--('Year Plan'!$H$7:$H$46&lt;=F$3+6),--('Year Plan'!$I$7:$I$46&gt;=F$3)))</f>
        <v/>
      </c>
      <c r="G29" s="45" t="str">
        <f aca="false">IF($A29="","",SUMPRODUCT(--ISNUMBER(SEARCH(","&amp;SUBSTITUTE($A29," ","")&amp;",",'Year Plan'!$BM$7:$BM$46)),--('Year Plan'!$H$7:$H$46&lt;&gt;""),--('Year Plan'!$H$7:$H$46&lt;=G$3+6),--('Year Plan'!$I$7:$I$46&gt;=G$3)))</f>
        <v/>
      </c>
      <c r="H29" s="45" t="str">
        <f aca="false">IF($A29="","",SUMPRODUCT(--ISNUMBER(SEARCH(","&amp;SUBSTITUTE($A29," ","")&amp;",",'Year Plan'!$BM$7:$BM$46)),--('Year Plan'!$H$7:$H$46&lt;&gt;""),--('Year Plan'!$H$7:$H$46&lt;=H$3+6),--('Year Plan'!$I$7:$I$46&gt;=H$3)))</f>
        <v/>
      </c>
      <c r="I29" s="45" t="str">
        <f aca="false">IF($A29="","",SUMPRODUCT(--ISNUMBER(SEARCH(","&amp;SUBSTITUTE($A29," ","")&amp;",",'Year Plan'!$BM$7:$BM$46)),--('Year Plan'!$H$7:$H$46&lt;&gt;""),--('Year Plan'!$H$7:$H$46&lt;=I$3+6),--('Year Plan'!$I$7:$I$46&gt;=I$3)))</f>
        <v/>
      </c>
      <c r="J29" s="45" t="str">
        <f aca="false">IF($A29="","",SUMPRODUCT(--ISNUMBER(SEARCH(","&amp;SUBSTITUTE($A29," ","")&amp;",",'Year Plan'!$BM$7:$BM$46)),--('Year Plan'!$H$7:$H$46&lt;&gt;""),--('Year Plan'!$H$7:$H$46&lt;=J$3+6),--('Year Plan'!$I$7:$I$46&gt;=J$3)))</f>
        <v/>
      </c>
      <c r="K29" s="45" t="str">
        <f aca="false">IF($A29="","",SUMPRODUCT(--ISNUMBER(SEARCH(","&amp;SUBSTITUTE($A29," ","")&amp;",",'Year Plan'!$BM$7:$BM$46)),--('Year Plan'!$H$7:$H$46&lt;&gt;""),--('Year Plan'!$H$7:$H$46&lt;=K$3+6),--('Year Plan'!$I$7:$I$46&gt;=K$3)))</f>
        <v/>
      </c>
      <c r="L29" s="45" t="str">
        <f aca="false">IF($A29="","",SUMPRODUCT(--ISNUMBER(SEARCH(","&amp;SUBSTITUTE($A29," ","")&amp;",",'Year Plan'!$BM$7:$BM$46)),--('Year Plan'!$H$7:$H$46&lt;&gt;""),--('Year Plan'!$H$7:$H$46&lt;=L$3+6),--('Year Plan'!$I$7:$I$46&gt;=L$3)))</f>
        <v/>
      </c>
      <c r="M29" s="45" t="str">
        <f aca="false">IF($A29="","",SUMPRODUCT(--ISNUMBER(SEARCH(","&amp;SUBSTITUTE($A29," ","")&amp;",",'Year Plan'!$BM$7:$BM$46)),--('Year Plan'!$H$7:$H$46&lt;&gt;""),--('Year Plan'!$H$7:$H$46&lt;=M$3+6),--('Year Plan'!$I$7:$I$46&gt;=M$3)))</f>
        <v/>
      </c>
      <c r="N29" s="45" t="str">
        <f aca="false">IF($A29="","",SUMPRODUCT(--ISNUMBER(SEARCH(","&amp;SUBSTITUTE($A29," ","")&amp;",",'Year Plan'!$BM$7:$BM$46)),--('Year Plan'!$H$7:$H$46&lt;&gt;""),--('Year Plan'!$H$7:$H$46&lt;=N$3+6),--('Year Plan'!$I$7:$I$46&gt;=N$3)))</f>
        <v/>
      </c>
      <c r="O29" s="45" t="str">
        <f aca="false">IF($A29="","",SUMPRODUCT(--ISNUMBER(SEARCH(","&amp;SUBSTITUTE($A29," ","")&amp;",",'Year Plan'!$BM$7:$BM$46)),--('Year Plan'!$H$7:$H$46&lt;&gt;""),--('Year Plan'!$H$7:$H$46&lt;=O$3+6),--('Year Plan'!$I$7:$I$46&gt;=O$3)))</f>
        <v/>
      </c>
      <c r="P29" s="45" t="str">
        <f aca="false">IF($A29="","",SUMPRODUCT(--ISNUMBER(SEARCH(","&amp;SUBSTITUTE($A29," ","")&amp;",",'Year Plan'!$BM$7:$BM$46)),--('Year Plan'!$H$7:$H$46&lt;&gt;""),--('Year Plan'!$H$7:$H$46&lt;=P$3+6),--('Year Plan'!$I$7:$I$46&gt;=P$3)))</f>
        <v/>
      </c>
      <c r="Q29" s="45" t="str">
        <f aca="false">IF($A29="","",SUMPRODUCT(--ISNUMBER(SEARCH(","&amp;SUBSTITUTE($A29," ","")&amp;",",'Year Plan'!$BM$7:$BM$46)),--('Year Plan'!$H$7:$H$46&lt;&gt;""),--('Year Plan'!$H$7:$H$46&lt;=Q$3+6),--('Year Plan'!$I$7:$I$46&gt;=Q$3)))</f>
        <v/>
      </c>
      <c r="R29" s="45" t="str">
        <f aca="false">IF($A29="","",SUMPRODUCT(--ISNUMBER(SEARCH(","&amp;SUBSTITUTE($A29," ","")&amp;",",'Year Plan'!$BM$7:$BM$46)),--('Year Plan'!$H$7:$H$46&lt;&gt;""),--('Year Plan'!$H$7:$H$46&lt;=R$3+6),--('Year Plan'!$I$7:$I$46&gt;=R$3)))</f>
        <v/>
      </c>
      <c r="S29" s="45" t="str">
        <f aca="false">IF($A29="","",SUMPRODUCT(--ISNUMBER(SEARCH(","&amp;SUBSTITUTE($A29," ","")&amp;",",'Year Plan'!$BM$7:$BM$46)),--('Year Plan'!$H$7:$H$46&lt;&gt;""),--('Year Plan'!$H$7:$H$46&lt;=S$3+6),--('Year Plan'!$I$7:$I$46&gt;=S$3)))</f>
        <v/>
      </c>
      <c r="T29" s="45" t="str">
        <f aca="false">IF($A29="","",SUMPRODUCT(--ISNUMBER(SEARCH(","&amp;SUBSTITUTE($A29," ","")&amp;",",'Year Plan'!$BM$7:$BM$46)),--('Year Plan'!$H$7:$H$46&lt;&gt;""),--('Year Plan'!$H$7:$H$46&lt;=T$3+6),--('Year Plan'!$I$7:$I$46&gt;=T$3)))</f>
        <v/>
      </c>
      <c r="U29" s="45" t="str">
        <f aca="false">IF($A29="","",SUMPRODUCT(--ISNUMBER(SEARCH(","&amp;SUBSTITUTE($A29," ","")&amp;",",'Year Plan'!$BM$7:$BM$46)),--('Year Plan'!$H$7:$H$46&lt;&gt;""),--('Year Plan'!$H$7:$H$46&lt;=U$3+6),--('Year Plan'!$I$7:$I$46&gt;=U$3)))</f>
        <v/>
      </c>
      <c r="V29" s="45" t="str">
        <f aca="false">IF($A29="","",SUMPRODUCT(--ISNUMBER(SEARCH(","&amp;SUBSTITUTE($A29," ","")&amp;",",'Year Plan'!$BM$7:$BM$46)),--('Year Plan'!$H$7:$H$46&lt;&gt;""),--('Year Plan'!$H$7:$H$46&lt;=V$3+6),--('Year Plan'!$I$7:$I$46&gt;=V$3)))</f>
        <v/>
      </c>
      <c r="W29" s="45" t="str">
        <f aca="false">IF($A29="","",SUMPRODUCT(--ISNUMBER(SEARCH(","&amp;SUBSTITUTE($A29," ","")&amp;",",'Year Plan'!$BM$7:$BM$46)),--('Year Plan'!$H$7:$H$46&lt;&gt;""),--('Year Plan'!$H$7:$H$46&lt;=W$3+6),--('Year Plan'!$I$7:$I$46&gt;=W$3)))</f>
        <v/>
      </c>
      <c r="X29" s="45" t="str">
        <f aca="false">IF($A29="","",SUMPRODUCT(--ISNUMBER(SEARCH(","&amp;SUBSTITUTE($A29," ","")&amp;",",'Year Plan'!$BM$7:$BM$46)),--('Year Plan'!$H$7:$H$46&lt;&gt;""),--('Year Plan'!$H$7:$H$46&lt;=X$3+6),--('Year Plan'!$I$7:$I$46&gt;=X$3)))</f>
        <v/>
      </c>
      <c r="Y29" s="45" t="str">
        <f aca="false">IF($A29="","",SUMPRODUCT(--ISNUMBER(SEARCH(","&amp;SUBSTITUTE($A29," ","")&amp;",",'Year Plan'!$BM$7:$BM$46)),--('Year Plan'!$H$7:$H$46&lt;&gt;""),--('Year Plan'!$H$7:$H$46&lt;=Y$3+6),--('Year Plan'!$I$7:$I$46&gt;=Y$3)))</f>
        <v/>
      </c>
      <c r="Z29" s="45" t="str">
        <f aca="false">IF($A29="","",SUMPRODUCT(--ISNUMBER(SEARCH(","&amp;SUBSTITUTE($A29," ","")&amp;",",'Year Plan'!$BM$7:$BM$46)),--('Year Plan'!$H$7:$H$46&lt;&gt;""),--('Year Plan'!$H$7:$H$46&lt;=Z$3+6),--('Year Plan'!$I$7:$I$46&gt;=Z$3)))</f>
        <v/>
      </c>
      <c r="AA29" s="45" t="str">
        <f aca="false">IF($A29="","",SUMPRODUCT(--ISNUMBER(SEARCH(","&amp;SUBSTITUTE($A29," ","")&amp;",",'Year Plan'!$BM$7:$BM$46)),--('Year Plan'!$H$7:$H$46&lt;&gt;""),--('Year Plan'!$H$7:$H$46&lt;=AA$3+6),--('Year Plan'!$I$7:$I$46&gt;=AA$3)))</f>
        <v/>
      </c>
      <c r="AB29" s="45" t="str">
        <f aca="false">IF($A29="","",SUMPRODUCT(--ISNUMBER(SEARCH(","&amp;SUBSTITUTE($A29," ","")&amp;",",'Year Plan'!$BM$7:$BM$46)),--('Year Plan'!$H$7:$H$46&lt;&gt;""),--('Year Plan'!$H$7:$H$46&lt;=AB$3+6),--('Year Plan'!$I$7:$I$46&gt;=AB$3)))</f>
        <v/>
      </c>
      <c r="AC29" s="45" t="str">
        <f aca="false">IF($A29="","",SUMPRODUCT(--ISNUMBER(SEARCH(","&amp;SUBSTITUTE($A29," ","")&amp;",",'Year Plan'!$BM$7:$BM$46)),--('Year Plan'!$H$7:$H$46&lt;&gt;""),--('Year Plan'!$H$7:$H$46&lt;=AC$3+6),--('Year Plan'!$I$7:$I$46&gt;=AC$3)))</f>
        <v/>
      </c>
      <c r="AD29" s="45" t="str">
        <f aca="false">IF($A29="","",SUMPRODUCT(--ISNUMBER(SEARCH(","&amp;SUBSTITUTE($A29," ","")&amp;",",'Year Plan'!$BM$7:$BM$46)),--('Year Plan'!$H$7:$H$46&lt;&gt;""),--('Year Plan'!$H$7:$H$46&lt;=AD$3+6),--('Year Plan'!$I$7:$I$46&gt;=AD$3)))</f>
        <v/>
      </c>
      <c r="AE29" s="45" t="str">
        <f aca="false">IF($A29="","",SUMPRODUCT(--ISNUMBER(SEARCH(","&amp;SUBSTITUTE($A29," ","")&amp;",",'Year Plan'!$BM$7:$BM$46)),--('Year Plan'!$H$7:$H$46&lt;&gt;""),--('Year Plan'!$H$7:$H$46&lt;=AE$3+6),--('Year Plan'!$I$7:$I$46&gt;=AE$3)))</f>
        <v/>
      </c>
      <c r="AF29" s="45" t="str">
        <f aca="false">IF($A29="","",SUMPRODUCT(--ISNUMBER(SEARCH(","&amp;SUBSTITUTE($A29," ","")&amp;",",'Year Plan'!$BM$7:$BM$46)),--('Year Plan'!$H$7:$H$46&lt;&gt;""),--('Year Plan'!$H$7:$H$46&lt;=AF$3+6),--('Year Plan'!$I$7:$I$46&gt;=AF$3)))</f>
        <v/>
      </c>
      <c r="AG29" s="45" t="str">
        <f aca="false">IF($A29="","",SUMPRODUCT(--ISNUMBER(SEARCH(","&amp;SUBSTITUTE($A29," ","")&amp;",",'Year Plan'!$BM$7:$BM$46)),--('Year Plan'!$H$7:$H$46&lt;&gt;""),--('Year Plan'!$H$7:$H$46&lt;=AG$3+6),--('Year Plan'!$I$7:$I$46&gt;=AG$3)))</f>
        <v/>
      </c>
      <c r="AH29" s="45" t="str">
        <f aca="false">IF($A29="","",SUMPRODUCT(--ISNUMBER(SEARCH(","&amp;SUBSTITUTE($A29," ","")&amp;",",'Year Plan'!$BM$7:$BM$46)),--('Year Plan'!$H$7:$H$46&lt;&gt;""),--('Year Plan'!$H$7:$H$46&lt;=AH$3+6),--('Year Plan'!$I$7:$I$46&gt;=AH$3)))</f>
        <v/>
      </c>
      <c r="AI29" s="45" t="str">
        <f aca="false">IF($A29="","",SUMPRODUCT(--ISNUMBER(SEARCH(","&amp;SUBSTITUTE($A29," ","")&amp;",",'Year Plan'!$BM$7:$BM$46)),--('Year Plan'!$H$7:$H$46&lt;&gt;""),--('Year Plan'!$H$7:$H$46&lt;=AI$3+6),--('Year Plan'!$I$7:$I$46&gt;=AI$3)))</f>
        <v/>
      </c>
      <c r="AJ29" s="45" t="str">
        <f aca="false">IF($A29="","",SUMPRODUCT(--ISNUMBER(SEARCH(","&amp;SUBSTITUTE($A29," ","")&amp;",",'Year Plan'!$BM$7:$BM$46)),--('Year Plan'!$H$7:$H$46&lt;&gt;""),--('Year Plan'!$H$7:$H$46&lt;=AJ$3+6),--('Year Plan'!$I$7:$I$46&gt;=AJ$3)))</f>
        <v/>
      </c>
      <c r="AK29" s="45" t="str">
        <f aca="false">IF($A29="","",SUMPRODUCT(--ISNUMBER(SEARCH(","&amp;SUBSTITUTE($A29," ","")&amp;",",'Year Plan'!$BM$7:$BM$46)),--('Year Plan'!$H$7:$H$46&lt;&gt;""),--('Year Plan'!$H$7:$H$46&lt;=AK$3+6),--('Year Plan'!$I$7:$I$46&gt;=AK$3)))</f>
        <v/>
      </c>
      <c r="AL29" s="45" t="str">
        <f aca="false">IF($A29="","",SUMPRODUCT(--ISNUMBER(SEARCH(","&amp;SUBSTITUTE($A29," ","")&amp;",",'Year Plan'!$BM$7:$BM$46)),--('Year Plan'!$H$7:$H$46&lt;&gt;""),--('Year Plan'!$H$7:$H$46&lt;=AL$3+6),--('Year Plan'!$I$7:$I$46&gt;=AL$3)))</f>
        <v/>
      </c>
      <c r="AM29" s="45" t="str">
        <f aca="false">IF($A29="","",SUMPRODUCT(--ISNUMBER(SEARCH(","&amp;SUBSTITUTE($A29," ","")&amp;",",'Year Plan'!$BM$7:$BM$46)),--('Year Plan'!$H$7:$H$46&lt;&gt;""),--('Year Plan'!$H$7:$H$46&lt;=AM$3+6),--('Year Plan'!$I$7:$I$46&gt;=AM$3)))</f>
        <v/>
      </c>
      <c r="AN29" s="45" t="str">
        <f aca="false">IF($A29="","",SUMPRODUCT(--ISNUMBER(SEARCH(","&amp;SUBSTITUTE($A29," ","")&amp;",",'Year Plan'!$BM$7:$BM$46)),--('Year Plan'!$H$7:$H$46&lt;&gt;""),--('Year Plan'!$H$7:$H$46&lt;=AN$3+6),--('Year Plan'!$I$7:$I$46&gt;=AN$3)))</f>
        <v/>
      </c>
      <c r="AO29" s="45" t="str">
        <f aca="false">IF($A29="","",SUMPRODUCT(--ISNUMBER(SEARCH(","&amp;SUBSTITUTE($A29," ","")&amp;",",'Year Plan'!$BM$7:$BM$46)),--('Year Plan'!$H$7:$H$46&lt;&gt;""),--('Year Plan'!$H$7:$H$46&lt;=AO$3+6),--('Year Plan'!$I$7:$I$46&gt;=AO$3)))</f>
        <v/>
      </c>
      <c r="AP29" s="45" t="str">
        <f aca="false">IF($A29="","",SUMPRODUCT(--ISNUMBER(SEARCH(","&amp;SUBSTITUTE($A29," ","")&amp;",",'Year Plan'!$BM$7:$BM$46)),--('Year Plan'!$H$7:$H$46&lt;&gt;""),--('Year Plan'!$H$7:$H$46&lt;=AP$3+6),--('Year Plan'!$I$7:$I$46&gt;=AP$3)))</f>
        <v/>
      </c>
      <c r="AQ29" s="45" t="str">
        <f aca="false">IF($A29="","",SUMPRODUCT(--ISNUMBER(SEARCH(","&amp;SUBSTITUTE($A29," ","")&amp;",",'Year Plan'!$BM$7:$BM$46)),--('Year Plan'!$H$7:$H$46&lt;&gt;""),--('Year Plan'!$H$7:$H$46&lt;=AQ$3+6),--('Year Plan'!$I$7:$I$46&gt;=AQ$3)))</f>
        <v/>
      </c>
      <c r="AR29" s="45" t="str">
        <f aca="false">IF($A29="","",SUMPRODUCT(--ISNUMBER(SEARCH(","&amp;SUBSTITUTE($A29," ","")&amp;",",'Year Plan'!$BM$7:$BM$46)),--('Year Plan'!$H$7:$H$46&lt;&gt;""),--('Year Plan'!$H$7:$H$46&lt;=AR$3+6),--('Year Plan'!$I$7:$I$46&gt;=AR$3)))</f>
        <v/>
      </c>
      <c r="AS29" s="45" t="str">
        <f aca="false">IF($A29="","",SUMPRODUCT(--ISNUMBER(SEARCH(","&amp;SUBSTITUTE($A29," ","")&amp;",",'Year Plan'!$BM$7:$BM$46)),--('Year Plan'!$H$7:$H$46&lt;&gt;""),--('Year Plan'!$H$7:$H$46&lt;=AS$3+6),--('Year Plan'!$I$7:$I$46&gt;=AS$3)))</f>
        <v/>
      </c>
      <c r="AT29" s="45" t="str">
        <f aca="false">IF($A29="","",SUMPRODUCT(--ISNUMBER(SEARCH(","&amp;SUBSTITUTE($A29," ","")&amp;",",'Year Plan'!$BM$7:$BM$46)),--('Year Plan'!$H$7:$H$46&lt;&gt;""),--('Year Plan'!$H$7:$H$46&lt;=AT$3+6),--('Year Plan'!$I$7:$I$46&gt;=AT$3)))</f>
        <v/>
      </c>
      <c r="AU29" s="45" t="str">
        <f aca="false">IF($A29="","",SUMPRODUCT(--ISNUMBER(SEARCH(","&amp;SUBSTITUTE($A29," ","")&amp;",",'Year Plan'!$BM$7:$BM$46)),--('Year Plan'!$H$7:$H$46&lt;&gt;""),--('Year Plan'!$H$7:$H$46&lt;=AU$3+6),--('Year Plan'!$I$7:$I$46&gt;=AU$3)))</f>
        <v/>
      </c>
      <c r="AV29" s="45" t="str">
        <f aca="false">IF($A29="","",SUMPRODUCT(--ISNUMBER(SEARCH(","&amp;SUBSTITUTE($A29," ","")&amp;",",'Year Plan'!$BM$7:$BM$46)),--('Year Plan'!$H$7:$H$46&lt;&gt;""),--('Year Plan'!$H$7:$H$46&lt;=AV$3+6),--('Year Plan'!$I$7:$I$46&gt;=AV$3)))</f>
        <v/>
      </c>
      <c r="AW29" s="45" t="str">
        <f aca="false">IF($A29="","",SUMPRODUCT(--ISNUMBER(SEARCH(","&amp;SUBSTITUTE($A29," ","")&amp;",",'Year Plan'!$BM$7:$BM$46)),--('Year Plan'!$H$7:$H$46&lt;&gt;""),--('Year Plan'!$H$7:$H$46&lt;=AW$3+6),--('Year Plan'!$I$7:$I$46&gt;=AW$3)))</f>
        <v/>
      </c>
      <c r="AX29" s="45" t="str">
        <f aca="false">IF($A29="","",SUMPRODUCT(--ISNUMBER(SEARCH(","&amp;SUBSTITUTE($A29," ","")&amp;",",'Year Plan'!$BM$7:$BM$46)),--('Year Plan'!$H$7:$H$46&lt;&gt;""),--('Year Plan'!$H$7:$H$46&lt;=AX$3+6),--('Year Plan'!$I$7:$I$46&gt;=AX$3)))</f>
        <v/>
      </c>
      <c r="AY29" s="45" t="str">
        <f aca="false">IF($A29="","",SUMPRODUCT(--ISNUMBER(SEARCH(","&amp;SUBSTITUTE($A29," ","")&amp;",",'Year Plan'!$BM$7:$BM$46)),--('Year Plan'!$H$7:$H$46&lt;&gt;""),--('Year Plan'!$H$7:$H$46&lt;=AY$3+6),--('Year Plan'!$I$7:$I$46&gt;=AY$3)))</f>
        <v/>
      </c>
      <c r="AZ29" s="45" t="str">
        <f aca="false">IF($A29="","",SUMPRODUCT(--ISNUMBER(SEARCH(","&amp;SUBSTITUTE($A29," ","")&amp;",",'Year Plan'!$BM$7:$BM$46)),--('Year Plan'!$H$7:$H$46&lt;&gt;""),--('Year Plan'!$H$7:$H$46&lt;=AZ$3+6),--('Year Plan'!$I$7:$I$46&gt;=AZ$3)))</f>
        <v/>
      </c>
      <c r="BA29" s="45" t="str">
        <f aca="false">IF($A29="","",SUMPRODUCT(--ISNUMBER(SEARCH(","&amp;SUBSTITUTE($A29," ","")&amp;",",'Year Plan'!$BM$7:$BM$46)),--('Year Plan'!$H$7:$H$46&lt;&gt;""),--('Year Plan'!$H$7:$H$46&lt;=BA$3+6),--('Year Plan'!$I$7:$I$46&gt;=BA$3)))</f>
        <v/>
      </c>
      <c r="BB29" s="45" t="str">
        <f aca="false">IF($A29="","",SUMPRODUCT(--ISNUMBER(SEARCH(","&amp;SUBSTITUTE($A29," ","")&amp;",",'Year Plan'!$BM$7:$BM$46)),--('Year Plan'!$H$7:$H$46&lt;&gt;""),--('Year Plan'!$H$7:$H$46&lt;=BB$3+6),--('Year Plan'!$I$7:$I$46&gt;=BB$3)))</f>
        <v/>
      </c>
      <c r="BC29" s="45" t="str">
        <f aca="false">IF($A29="","",SUMPRODUCT(--ISNUMBER(SEARCH(","&amp;SUBSTITUTE($A29," ","")&amp;",",'Year Plan'!$BM$7:$BM$46)),--('Year Plan'!$H$7:$H$46&lt;&gt;""),--('Year Plan'!$H$7:$H$46&lt;=BC$3+6),--('Year Plan'!$I$7:$I$46&gt;=BC$3)))</f>
        <v/>
      </c>
    </row>
    <row r="30" customFormat="false" ht="19.5" hidden="false" customHeight="true" outlineLevel="0" collapsed="false">
      <c r="A30" s="39" t="str">
        <f aca="false">IF(Setup!$B$34="","",Setup!$B$34)</f>
        <v/>
      </c>
      <c r="B30" s="39" t="str">
        <f aca="false">IF(Setup!$B$34="","",Setup!$C$34)</f>
        <v/>
      </c>
      <c r="C30" s="44" t="str">
        <f aca="false">IF($A30="","",SUMPRODUCT(--ISNUMBER(SEARCH(","&amp;SUBSTITUTE($A30," ","")&amp;",",'Year Plan'!$BM$7:$BM$46))))</f>
        <v/>
      </c>
      <c r="D30" s="45" t="str">
        <f aca="false">IF($A30="","",SUMPRODUCT(--ISNUMBER(SEARCH(","&amp;SUBSTITUTE($A30," ","")&amp;",",'Year Plan'!$BM$7:$BM$46)),--('Year Plan'!$H$7:$H$46&lt;&gt;""),--('Year Plan'!$H$7:$H$46&lt;=D$3+6),--('Year Plan'!$I$7:$I$46&gt;=D$3)))</f>
        <v/>
      </c>
      <c r="E30" s="45" t="str">
        <f aca="false">IF($A30="","",SUMPRODUCT(--ISNUMBER(SEARCH(","&amp;SUBSTITUTE($A30," ","")&amp;",",'Year Plan'!$BM$7:$BM$46)),--('Year Plan'!$H$7:$H$46&lt;&gt;""),--('Year Plan'!$H$7:$H$46&lt;=E$3+6),--('Year Plan'!$I$7:$I$46&gt;=E$3)))</f>
        <v/>
      </c>
      <c r="F30" s="45" t="str">
        <f aca="false">IF($A30="","",SUMPRODUCT(--ISNUMBER(SEARCH(","&amp;SUBSTITUTE($A30," ","")&amp;",",'Year Plan'!$BM$7:$BM$46)),--('Year Plan'!$H$7:$H$46&lt;&gt;""),--('Year Plan'!$H$7:$H$46&lt;=F$3+6),--('Year Plan'!$I$7:$I$46&gt;=F$3)))</f>
        <v/>
      </c>
      <c r="G30" s="45" t="str">
        <f aca="false">IF($A30="","",SUMPRODUCT(--ISNUMBER(SEARCH(","&amp;SUBSTITUTE($A30," ","")&amp;",",'Year Plan'!$BM$7:$BM$46)),--('Year Plan'!$H$7:$H$46&lt;&gt;""),--('Year Plan'!$H$7:$H$46&lt;=G$3+6),--('Year Plan'!$I$7:$I$46&gt;=G$3)))</f>
        <v/>
      </c>
      <c r="H30" s="45" t="str">
        <f aca="false">IF($A30="","",SUMPRODUCT(--ISNUMBER(SEARCH(","&amp;SUBSTITUTE($A30," ","")&amp;",",'Year Plan'!$BM$7:$BM$46)),--('Year Plan'!$H$7:$H$46&lt;&gt;""),--('Year Plan'!$H$7:$H$46&lt;=H$3+6),--('Year Plan'!$I$7:$I$46&gt;=H$3)))</f>
        <v/>
      </c>
      <c r="I30" s="45" t="str">
        <f aca="false">IF($A30="","",SUMPRODUCT(--ISNUMBER(SEARCH(","&amp;SUBSTITUTE($A30," ","")&amp;",",'Year Plan'!$BM$7:$BM$46)),--('Year Plan'!$H$7:$H$46&lt;&gt;""),--('Year Plan'!$H$7:$H$46&lt;=I$3+6),--('Year Plan'!$I$7:$I$46&gt;=I$3)))</f>
        <v/>
      </c>
      <c r="J30" s="45" t="str">
        <f aca="false">IF($A30="","",SUMPRODUCT(--ISNUMBER(SEARCH(","&amp;SUBSTITUTE($A30," ","")&amp;",",'Year Plan'!$BM$7:$BM$46)),--('Year Plan'!$H$7:$H$46&lt;&gt;""),--('Year Plan'!$H$7:$H$46&lt;=J$3+6),--('Year Plan'!$I$7:$I$46&gt;=J$3)))</f>
        <v/>
      </c>
      <c r="K30" s="45" t="str">
        <f aca="false">IF($A30="","",SUMPRODUCT(--ISNUMBER(SEARCH(","&amp;SUBSTITUTE($A30," ","")&amp;",",'Year Plan'!$BM$7:$BM$46)),--('Year Plan'!$H$7:$H$46&lt;&gt;""),--('Year Plan'!$H$7:$H$46&lt;=K$3+6),--('Year Plan'!$I$7:$I$46&gt;=K$3)))</f>
        <v/>
      </c>
      <c r="L30" s="45" t="str">
        <f aca="false">IF($A30="","",SUMPRODUCT(--ISNUMBER(SEARCH(","&amp;SUBSTITUTE($A30," ","")&amp;",",'Year Plan'!$BM$7:$BM$46)),--('Year Plan'!$H$7:$H$46&lt;&gt;""),--('Year Plan'!$H$7:$H$46&lt;=L$3+6),--('Year Plan'!$I$7:$I$46&gt;=L$3)))</f>
        <v/>
      </c>
      <c r="M30" s="45" t="str">
        <f aca="false">IF($A30="","",SUMPRODUCT(--ISNUMBER(SEARCH(","&amp;SUBSTITUTE($A30," ","")&amp;",",'Year Plan'!$BM$7:$BM$46)),--('Year Plan'!$H$7:$H$46&lt;&gt;""),--('Year Plan'!$H$7:$H$46&lt;=M$3+6),--('Year Plan'!$I$7:$I$46&gt;=M$3)))</f>
        <v/>
      </c>
      <c r="N30" s="45" t="str">
        <f aca="false">IF($A30="","",SUMPRODUCT(--ISNUMBER(SEARCH(","&amp;SUBSTITUTE($A30," ","")&amp;",",'Year Plan'!$BM$7:$BM$46)),--('Year Plan'!$H$7:$H$46&lt;&gt;""),--('Year Plan'!$H$7:$H$46&lt;=N$3+6),--('Year Plan'!$I$7:$I$46&gt;=N$3)))</f>
        <v/>
      </c>
      <c r="O30" s="45" t="str">
        <f aca="false">IF($A30="","",SUMPRODUCT(--ISNUMBER(SEARCH(","&amp;SUBSTITUTE($A30," ","")&amp;",",'Year Plan'!$BM$7:$BM$46)),--('Year Plan'!$H$7:$H$46&lt;&gt;""),--('Year Plan'!$H$7:$H$46&lt;=O$3+6),--('Year Plan'!$I$7:$I$46&gt;=O$3)))</f>
        <v/>
      </c>
      <c r="P30" s="45" t="str">
        <f aca="false">IF($A30="","",SUMPRODUCT(--ISNUMBER(SEARCH(","&amp;SUBSTITUTE($A30," ","")&amp;",",'Year Plan'!$BM$7:$BM$46)),--('Year Plan'!$H$7:$H$46&lt;&gt;""),--('Year Plan'!$H$7:$H$46&lt;=P$3+6),--('Year Plan'!$I$7:$I$46&gt;=P$3)))</f>
        <v/>
      </c>
      <c r="Q30" s="45" t="str">
        <f aca="false">IF($A30="","",SUMPRODUCT(--ISNUMBER(SEARCH(","&amp;SUBSTITUTE($A30," ","")&amp;",",'Year Plan'!$BM$7:$BM$46)),--('Year Plan'!$H$7:$H$46&lt;&gt;""),--('Year Plan'!$H$7:$H$46&lt;=Q$3+6),--('Year Plan'!$I$7:$I$46&gt;=Q$3)))</f>
        <v/>
      </c>
      <c r="R30" s="45" t="str">
        <f aca="false">IF($A30="","",SUMPRODUCT(--ISNUMBER(SEARCH(","&amp;SUBSTITUTE($A30," ","")&amp;",",'Year Plan'!$BM$7:$BM$46)),--('Year Plan'!$H$7:$H$46&lt;&gt;""),--('Year Plan'!$H$7:$H$46&lt;=R$3+6),--('Year Plan'!$I$7:$I$46&gt;=R$3)))</f>
        <v/>
      </c>
      <c r="S30" s="45" t="str">
        <f aca="false">IF($A30="","",SUMPRODUCT(--ISNUMBER(SEARCH(","&amp;SUBSTITUTE($A30," ","")&amp;",",'Year Plan'!$BM$7:$BM$46)),--('Year Plan'!$H$7:$H$46&lt;&gt;""),--('Year Plan'!$H$7:$H$46&lt;=S$3+6),--('Year Plan'!$I$7:$I$46&gt;=S$3)))</f>
        <v/>
      </c>
      <c r="T30" s="45" t="str">
        <f aca="false">IF($A30="","",SUMPRODUCT(--ISNUMBER(SEARCH(","&amp;SUBSTITUTE($A30," ","")&amp;",",'Year Plan'!$BM$7:$BM$46)),--('Year Plan'!$H$7:$H$46&lt;&gt;""),--('Year Plan'!$H$7:$H$46&lt;=T$3+6),--('Year Plan'!$I$7:$I$46&gt;=T$3)))</f>
        <v/>
      </c>
      <c r="U30" s="45" t="str">
        <f aca="false">IF($A30="","",SUMPRODUCT(--ISNUMBER(SEARCH(","&amp;SUBSTITUTE($A30," ","")&amp;",",'Year Plan'!$BM$7:$BM$46)),--('Year Plan'!$H$7:$H$46&lt;&gt;""),--('Year Plan'!$H$7:$H$46&lt;=U$3+6),--('Year Plan'!$I$7:$I$46&gt;=U$3)))</f>
        <v/>
      </c>
      <c r="V30" s="45" t="str">
        <f aca="false">IF($A30="","",SUMPRODUCT(--ISNUMBER(SEARCH(","&amp;SUBSTITUTE($A30," ","")&amp;",",'Year Plan'!$BM$7:$BM$46)),--('Year Plan'!$H$7:$H$46&lt;&gt;""),--('Year Plan'!$H$7:$H$46&lt;=V$3+6),--('Year Plan'!$I$7:$I$46&gt;=V$3)))</f>
        <v/>
      </c>
      <c r="W30" s="45" t="str">
        <f aca="false">IF($A30="","",SUMPRODUCT(--ISNUMBER(SEARCH(","&amp;SUBSTITUTE($A30," ","")&amp;",",'Year Plan'!$BM$7:$BM$46)),--('Year Plan'!$H$7:$H$46&lt;&gt;""),--('Year Plan'!$H$7:$H$46&lt;=W$3+6),--('Year Plan'!$I$7:$I$46&gt;=W$3)))</f>
        <v/>
      </c>
      <c r="X30" s="45" t="str">
        <f aca="false">IF($A30="","",SUMPRODUCT(--ISNUMBER(SEARCH(","&amp;SUBSTITUTE($A30," ","")&amp;",",'Year Plan'!$BM$7:$BM$46)),--('Year Plan'!$H$7:$H$46&lt;&gt;""),--('Year Plan'!$H$7:$H$46&lt;=X$3+6),--('Year Plan'!$I$7:$I$46&gt;=X$3)))</f>
        <v/>
      </c>
      <c r="Y30" s="45" t="str">
        <f aca="false">IF($A30="","",SUMPRODUCT(--ISNUMBER(SEARCH(","&amp;SUBSTITUTE($A30," ","")&amp;",",'Year Plan'!$BM$7:$BM$46)),--('Year Plan'!$H$7:$H$46&lt;&gt;""),--('Year Plan'!$H$7:$H$46&lt;=Y$3+6),--('Year Plan'!$I$7:$I$46&gt;=Y$3)))</f>
        <v/>
      </c>
      <c r="Z30" s="45" t="str">
        <f aca="false">IF($A30="","",SUMPRODUCT(--ISNUMBER(SEARCH(","&amp;SUBSTITUTE($A30," ","")&amp;",",'Year Plan'!$BM$7:$BM$46)),--('Year Plan'!$H$7:$H$46&lt;&gt;""),--('Year Plan'!$H$7:$H$46&lt;=Z$3+6),--('Year Plan'!$I$7:$I$46&gt;=Z$3)))</f>
        <v/>
      </c>
      <c r="AA30" s="45" t="str">
        <f aca="false">IF($A30="","",SUMPRODUCT(--ISNUMBER(SEARCH(","&amp;SUBSTITUTE($A30," ","")&amp;",",'Year Plan'!$BM$7:$BM$46)),--('Year Plan'!$H$7:$H$46&lt;&gt;""),--('Year Plan'!$H$7:$H$46&lt;=AA$3+6),--('Year Plan'!$I$7:$I$46&gt;=AA$3)))</f>
        <v/>
      </c>
      <c r="AB30" s="45" t="str">
        <f aca="false">IF($A30="","",SUMPRODUCT(--ISNUMBER(SEARCH(","&amp;SUBSTITUTE($A30," ","")&amp;",",'Year Plan'!$BM$7:$BM$46)),--('Year Plan'!$H$7:$H$46&lt;&gt;""),--('Year Plan'!$H$7:$H$46&lt;=AB$3+6),--('Year Plan'!$I$7:$I$46&gt;=AB$3)))</f>
        <v/>
      </c>
      <c r="AC30" s="45" t="str">
        <f aca="false">IF($A30="","",SUMPRODUCT(--ISNUMBER(SEARCH(","&amp;SUBSTITUTE($A30," ","")&amp;",",'Year Plan'!$BM$7:$BM$46)),--('Year Plan'!$H$7:$H$46&lt;&gt;""),--('Year Plan'!$H$7:$H$46&lt;=AC$3+6),--('Year Plan'!$I$7:$I$46&gt;=AC$3)))</f>
        <v/>
      </c>
      <c r="AD30" s="45" t="str">
        <f aca="false">IF($A30="","",SUMPRODUCT(--ISNUMBER(SEARCH(","&amp;SUBSTITUTE($A30," ","")&amp;",",'Year Plan'!$BM$7:$BM$46)),--('Year Plan'!$H$7:$H$46&lt;&gt;""),--('Year Plan'!$H$7:$H$46&lt;=AD$3+6),--('Year Plan'!$I$7:$I$46&gt;=AD$3)))</f>
        <v/>
      </c>
      <c r="AE30" s="45" t="str">
        <f aca="false">IF($A30="","",SUMPRODUCT(--ISNUMBER(SEARCH(","&amp;SUBSTITUTE($A30," ","")&amp;",",'Year Plan'!$BM$7:$BM$46)),--('Year Plan'!$H$7:$H$46&lt;&gt;""),--('Year Plan'!$H$7:$H$46&lt;=AE$3+6),--('Year Plan'!$I$7:$I$46&gt;=AE$3)))</f>
        <v/>
      </c>
      <c r="AF30" s="45" t="str">
        <f aca="false">IF($A30="","",SUMPRODUCT(--ISNUMBER(SEARCH(","&amp;SUBSTITUTE($A30," ","")&amp;",",'Year Plan'!$BM$7:$BM$46)),--('Year Plan'!$H$7:$H$46&lt;&gt;""),--('Year Plan'!$H$7:$H$46&lt;=AF$3+6),--('Year Plan'!$I$7:$I$46&gt;=AF$3)))</f>
        <v/>
      </c>
      <c r="AG30" s="45" t="str">
        <f aca="false">IF($A30="","",SUMPRODUCT(--ISNUMBER(SEARCH(","&amp;SUBSTITUTE($A30," ","")&amp;",",'Year Plan'!$BM$7:$BM$46)),--('Year Plan'!$H$7:$H$46&lt;&gt;""),--('Year Plan'!$H$7:$H$46&lt;=AG$3+6),--('Year Plan'!$I$7:$I$46&gt;=AG$3)))</f>
        <v/>
      </c>
      <c r="AH30" s="45" t="str">
        <f aca="false">IF($A30="","",SUMPRODUCT(--ISNUMBER(SEARCH(","&amp;SUBSTITUTE($A30," ","")&amp;",",'Year Plan'!$BM$7:$BM$46)),--('Year Plan'!$H$7:$H$46&lt;&gt;""),--('Year Plan'!$H$7:$H$46&lt;=AH$3+6),--('Year Plan'!$I$7:$I$46&gt;=AH$3)))</f>
        <v/>
      </c>
      <c r="AI30" s="45" t="str">
        <f aca="false">IF($A30="","",SUMPRODUCT(--ISNUMBER(SEARCH(","&amp;SUBSTITUTE($A30," ","")&amp;",",'Year Plan'!$BM$7:$BM$46)),--('Year Plan'!$H$7:$H$46&lt;&gt;""),--('Year Plan'!$H$7:$H$46&lt;=AI$3+6),--('Year Plan'!$I$7:$I$46&gt;=AI$3)))</f>
        <v/>
      </c>
      <c r="AJ30" s="45" t="str">
        <f aca="false">IF($A30="","",SUMPRODUCT(--ISNUMBER(SEARCH(","&amp;SUBSTITUTE($A30," ","")&amp;",",'Year Plan'!$BM$7:$BM$46)),--('Year Plan'!$H$7:$H$46&lt;&gt;""),--('Year Plan'!$H$7:$H$46&lt;=AJ$3+6),--('Year Plan'!$I$7:$I$46&gt;=AJ$3)))</f>
        <v/>
      </c>
      <c r="AK30" s="45" t="str">
        <f aca="false">IF($A30="","",SUMPRODUCT(--ISNUMBER(SEARCH(","&amp;SUBSTITUTE($A30," ","")&amp;",",'Year Plan'!$BM$7:$BM$46)),--('Year Plan'!$H$7:$H$46&lt;&gt;""),--('Year Plan'!$H$7:$H$46&lt;=AK$3+6),--('Year Plan'!$I$7:$I$46&gt;=AK$3)))</f>
        <v/>
      </c>
      <c r="AL30" s="45" t="str">
        <f aca="false">IF($A30="","",SUMPRODUCT(--ISNUMBER(SEARCH(","&amp;SUBSTITUTE($A30," ","")&amp;",",'Year Plan'!$BM$7:$BM$46)),--('Year Plan'!$H$7:$H$46&lt;&gt;""),--('Year Plan'!$H$7:$H$46&lt;=AL$3+6),--('Year Plan'!$I$7:$I$46&gt;=AL$3)))</f>
        <v/>
      </c>
      <c r="AM30" s="45" t="str">
        <f aca="false">IF($A30="","",SUMPRODUCT(--ISNUMBER(SEARCH(","&amp;SUBSTITUTE($A30," ","")&amp;",",'Year Plan'!$BM$7:$BM$46)),--('Year Plan'!$H$7:$H$46&lt;&gt;""),--('Year Plan'!$H$7:$H$46&lt;=AM$3+6),--('Year Plan'!$I$7:$I$46&gt;=AM$3)))</f>
        <v/>
      </c>
      <c r="AN30" s="45" t="str">
        <f aca="false">IF($A30="","",SUMPRODUCT(--ISNUMBER(SEARCH(","&amp;SUBSTITUTE($A30," ","")&amp;",",'Year Plan'!$BM$7:$BM$46)),--('Year Plan'!$H$7:$H$46&lt;&gt;""),--('Year Plan'!$H$7:$H$46&lt;=AN$3+6),--('Year Plan'!$I$7:$I$46&gt;=AN$3)))</f>
        <v/>
      </c>
      <c r="AO30" s="45" t="str">
        <f aca="false">IF($A30="","",SUMPRODUCT(--ISNUMBER(SEARCH(","&amp;SUBSTITUTE($A30," ","")&amp;",",'Year Plan'!$BM$7:$BM$46)),--('Year Plan'!$H$7:$H$46&lt;&gt;""),--('Year Plan'!$H$7:$H$46&lt;=AO$3+6),--('Year Plan'!$I$7:$I$46&gt;=AO$3)))</f>
        <v/>
      </c>
      <c r="AP30" s="45" t="str">
        <f aca="false">IF($A30="","",SUMPRODUCT(--ISNUMBER(SEARCH(","&amp;SUBSTITUTE($A30," ","")&amp;",",'Year Plan'!$BM$7:$BM$46)),--('Year Plan'!$H$7:$H$46&lt;&gt;""),--('Year Plan'!$H$7:$H$46&lt;=AP$3+6),--('Year Plan'!$I$7:$I$46&gt;=AP$3)))</f>
        <v/>
      </c>
      <c r="AQ30" s="45" t="str">
        <f aca="false">IF($A30="","",SUMPRODUCT(--ISNUMBER(SEARCH(","&amp;SUBSTITUTE($A30," ","")&amp;",",'Year Plan'!$BM$7:$BM$46)),--('Year Plan'!$H$7:$H$46&lt;&gt;""),--('Year Plan'!$H$7:$H$46&lt;=AQ$3+6),--('Year Plan'!$I$7:$I$46&gt;=AQ$3)))</f>
        <v/>
      </c>
      <c r="AR30" s="45" t="str">
        <f aca="false">IF($A30="","",SUMPRODUCT(--ISNUMBER(SEARCH(","&amp;SUBSTITUTE($A30," ","")&amp;",",'Year Plan'!$BM$7:$BM$46)),--('Year Plan'!$H$7:$H$46&lt;&gt;""),--('Year Plan'!$H$7:$H$46&lt;=AR$3+6),--('Year Plan'!$I$7:$I$46&gt;=AR$3)))</f>
        <v/>
      </c>
      <c r="AS30" s="45" t="str">
        <f aca="false">IF($A30="","",SUMPRODUCT(--ISNUMBER(SEARCH(","&amp;SUBSTITUTE($A30," ","")&amp;",",'Year Plan'!$BM$7:$BM$46)),--('Year Plan'!$H$7:$H$46&lt;&gt;""),--('Year Plan'!$H$7:$H$46&lt;=AS$3+6),--('Year Plan'!$I$7:$I$46&gt;=AS$3)))</f>
        <v/>
      </c>
      <c r="AT30" s="45" t="str">
        <f aca="false">IF($A30="","",SUMPRODUCT(--ISNUMBER(SEARCH(","&amp;SUBSTITUTE($A30," ","")&amp;",",'Year Plan'!$BM$7:$BM$46)),--('Year Plan'!$H$7:$H$46&lt;&gt;""),--('Year Plan'!$H$7:$H$46&lt;=AT$3+6),--('Year Plan'!$I$7:$I$46&gt;=AT$3)))</f>
        <v/>
      </c>
      <c r="AU30" s="45" t="str">
        <f aca="false">IF($A30="","",SUMPRODUCT(--ISNUMBER(SEARCH(","&amp;SUBSTITUTE($A30," ","")&amp;",",'Year Plan'!$BM$7:$BM$46)),--('Year Plan'!$H$7:$H$46&lt;&gt;""),--('Year Plan'!$H$7:$H$46&lt;=AU$3+6),--('Year Plan'!$I$7:$I$46&gt;=AU$3)))</f>
        <v/>
      </c>
      <c r="AV30" s="45" t="str">
        <f aca="false">IF($A30="","",SUMPRODUCT(--ISNUMBER(SEARCH(","&amp;SUBSTITUTE($A30," ","")&amp;",",'Year Plan'!$BM$7:$BM$46)),--('Year Plan'!$H$7:$H$46&lt;&gt;""),--('Year Plan'!$H$7:$H$46&lt;=AV$3+6),--('Year Plan'!$I$7:$I$46&gt;=AV$3)))</f>
        <v/>
      </c>
      <c r="AW30" s="45" t="str">
        <f aca="false">IF($A30="","",SUMPRODUCT(--ISNUMBER(SEARCH(","&amp;SUBSTITUTE($A30," ","")&amp;",",'Year Plan'!$BM$7:$BM$46)),--('Year Plan'!$H$7:$H$46&lt;&gt;""),--('Year Plan'!$H$7:$H$46&lt;=AW$3+6),--('Year Plan'!$I$7:$I$46&gt;=AW$3)))</f>
        <v/>
      </c>
      <c r="AX30" s="45" t="str">
        <f aca="false">IF($A30="","",SUMPRODUCT(--ISNUMBER(SEARCH(","&amp;SUBSTITUTE($A30," ","")&amp;",",'Year Plan'!$BM$7:$BM$46)),--('Year Plan'!$H$7:$H$46&lt;&gt;""),--('Year Plan'!$H$7:$H$46&lt;=AX$3+6),--('Year Plan'!$I$7:$I$46&gt;=AX$3)))</f>
        <v/>
      </c>
      <c r="AY30" s="45" t="str">
        <f aca="false">IF($A30="","",SUMPRODUCT(--ISNUMBER(SEARCH(","&amp;SUBSTITUTE($A30," ","")&amp;",",'Year Plan'!$BM$7:$BM$46)),--('Year Plan'!$H$7:$H$46&lt;&gt;""),--('Year Plan'!$H$7:$H$46&lt;=AY$3+6),--('Year Plan'!$I$7:$I$46&gt;=AY$3)))</f>
        <v/>
      </c>
      <c r="AZ30" s="45" t="str">
        <f aca="false">IF($A30="","",SUMPRODUCT(--ISNUMBER(SEARCH(","&amp;SUBSTITUTE($A30," ","")&amp;",",'Year Plan'!$BM$7:$BM$46)),--('Year Plan'!$H$7:$H$46&lt;&gt;""),--('Year Plan'!$H$7:$H$46&lt;=AZ$3+6),--('Year Plan'!$I$7:$I$46&gt;=AZ$3)))</f>
        <v/>
      </c>
      <c r="BA30" s="45" t="str">
        <f aca="false">IF($A30="","",SUMPRODUCT(--ISNUMBER(SEARCH(","&amp;SUBSTITUTE($A30," ","")&amp;",",'Year Plan'!$BM$7:$BM$46)),--('Year Plan'!$H$7:$H$46&lt;&gt;""),--('Year Plan'!$H$7:$H$46&lt;=BA$3+6),--('Year Plan'!$I$7:$I$46&gt;=BA$3)))</f>
        <v/>
      </c>
      <c r="BB30" s="45" t="str">
        <f aca="false">IF($A30="","",SUMPRODUCT(--ISNUMBER(SEARCH(","&amp;SUBSTITUTE($A30," ","")&amp;",",'Year Plan'!$BM$7:$BM$46)),--('Year Plan'!$H$7:$H$46&lt;&gt;""),--('Year Plan'!$H$7:$H$46&lt;=BB$3+6),--('Year Plan'!$I$7:$I$46&gt;=BB$3)))</f>
        <v/>
      </c>
      <c r="BC30" s="45" t="str">
        <f aca="false">IF($A30="","",SUMPRODUCT(--ISNUMBER(SEARCH(","&amp;SUBSTITUTE($A30," ","")&amp;",",'Year Plan'!$BM$7:$BM$46)),--('Year Plan'!$H$7:$H$46&lt;&gt;""),--('Year Plan'!$H$7:$H$46&lt;=BC$3+6),--('Year Plan'!$I$7:$I$46&gt;=BC$3)))</f>
        <v/>
      </c>
    </row>
    <row r="31" customFormat="false" ht="19.5" hidden="false" customHeight="true" outlineLevel="0" collapsed="false">
      <c r="A31" s="39" t="str">
        <f aca="false">IF(Setup!$B$35="","",Setup!$B$35)</f>
        <v/>
      </c>
      <c r="B31" s="39" t="str">
        <f aca="false">IF(Setup!$B$35="","",Setup!$C$35)</f>
        <v/>
      </c>
      <c r="C31" s="44" t="str">
        <f aca="false">IF($A31="","",SUMPRODUCT(--ISNUMBER(SEARCH(","&amp;SUBSTITUTE($A31," ","")&amp;",",'Year Plan'!$BM$7:$BM$46))))</f>
        <v/>
      </c>
      <c r="D31" s="45" t="str">
        <f aca="false">IF($A31="","",SUMPRODUCT(--ISNUMBER(SEARCH(","&amp;SUBSTITUTE($A31," ","")&amp;",",'Year Plan'!$BM$7:$BM$46)),--('Year Plan'!$H$7:$H$46&lt;&gt;""),--('Year Plan'!$H$7:$H$46&lt;=D$3+6),--('Year Plan'!$I$7:$I$46&gt;=D$3)))</f>
        <v/>
      </c>
      <c r="E31" s="45" t="str">
        <f aca="false">IF($A31="","",SUMPRODUCT(--ISNUMBER(SEARCH(","&amp;SUBSTITUTE($A31," ","")&amp;",",'Year Plan'!$BM$7:$BM$46)),--('Year Plan'!$H$7:$H$46&lt;&gt;""),--('Year Plan'!$H$7:$H$46&lt;=E$3+6),--('Year Plan'!$I$7:$I$46&gt;=E$3)))</f>
        <v/>
      </c>
      <c r="F31" s="45" t="str">
        <f aca="false">IF($A31="","",SUMPRODUCT(--ISNUMBER(SEARCH(","&amp;SUBSTITUTE($A31," ","")&amp;",",'Year Plan'!$BM$7:$BM$46)),--('Year Plan'!$H$7:$H$46&lt;&gt;""),--('Year Plan'!$H$7:$H$46&lt;=F$3+6),--('Year Plan'!$I$7:$I$46&gt;=F$3)))</f>
        <v/>
      </c>
      <c r="G31" s="45" t="str">
        <f aca="false">IF($A31="","",SUMPRODUCT(--ISNUMBER(SEARCH(","&amp;SUBSTITUTE($A31," ","")&amp;",",'Year Plan'!$BM$7:$BM$46)),--('Year Plan'!$H$7:$H$46&lt;&gt;""),--('Year Plan'!$H$7:$H$46&lt;=G$3+6),--('Year Plan'!$I$7:$I$46&gt;=G$3)))</f>
        <v/>
      </c>
      <c r="H31" s="45" t="str">
        <f aca="false">IF($A31="","",SUMPRODUCT(--ISNUMBER(SEARCH(","&amp;SUBSTITUTE($A31," ","")&amp;",",'Year Plan'!$BM$7:$BM$46)),--('Year Plan'!$H$7:$H$46&lt;&gt;""),--('Year Plan'!$H$7:$H$46&lt;=H$3+6),--('Year Plan'!$I$7:$I$46&gt;=H$3)))</f>
        <v/>
      </c>
      <c r="I31" s="45" t="str">
        <f aca="false">IF($A31="","",SUMPRODUCT(--ISNUMBER(SEARCH(","&amp;SUBSTITUTE($A31," ","")&amp;",",'Year Plan'!$BM$7:$BM$46)),--('Year Plan'!$H$7:$H$46&lt;&gt;""),--('Year Plan'!$H$7:$H$46&lt;=I$3+6),--('Year Plan'!$I$7:$I$46&gt;=I$3)))</f>
        <v/>
      </c>
      <c r="J31" s="45" t="str">
        <f aca="false">IF($A31="","",SUMPRODUCT(--ISNUMBER(SEARCH(","&amp;SUBSTITUTE($A31," ","")&amp;",",'Year Plan'!$BM$7:$BM$46)),--('Year Plan'!$H$7:$H$46&lt;&gt;""),--('Year Plan'!$H$7:$H$46&lt;=J$3+6),--('Year Plan'!$I$7:$I$46&gt;=J$3)))</f>
        <v/>
      </c>
      <c r="K31" s="45" t="str">
        <f aca="false">IF($A31="","",SUMPRODUCT(--ISNUMBER(SEARCH(","&amp;SUBSTITUTE($A31," ","")&amp;",",'Year Plan'!$BM$7:$BM$46)),--('Year Plan'!$H$7:$H$46&lt;&gt;""),--('Year Plan'!$H$7:$H$46&lt;=K$3+6),--('Year Plan'!$I$7:$I$46&gt;=K$3)))</f>
        <v/>
      </c>
      <c r="L31" s="45" t="str">
        <f aca="false">IF($A31="","",SUMPRODUCT(--ISNUMBER(SEARCH(","&amp;SUBSTITUTE($A31," ","")&amp;",",'Year Plan'!$BM$7:$BM$46)),--('Year Plan'!$H$7:$H$46&lt;&gt;""),--('Year Plan'!$H$7:$H$46&lt;=L$3+6),--('Year Plan'!$I$7:$I$46&gt;=L$3)))</f>
        <v/>
      </c>
      <c r="M31" s="45" t="str">
        <f aca="false">IF($A31="","",SUMPRODUCT(--ISNUMBER(SEARCH(","&amp;SUBSTITUTE($A31," ","")&amp;",",'Year Plan'!$BM$7:$BM$46)),--('Year Plan'!$H$7:$H$46&lt;&gt;""),--('Year Plan'!$H$7:$H$46&lt;=M$3+6),--('Year Plan'!$I$7:$I$46&gt;=M$3)))</f>
        <v/>
      </c>
      <c r="N31" s="45" t="str">
        <f aca="false">IF($A31="","",SUMPRODUCT(--ISNUMBER(SEARCH(","&amp;SUBSTITUTE($A31," ","")&amp;",",'Year Plan'!$BM$7:$BM$46)),--('Year Plan'!$H$7:$H$46&lt;&gt;""),--('Year Plan'!$H$7:$H$46&lt;=N$3+6),--('Year Plan'!$I$7:$I$46&gt;=N$3)))</f>
        <v/>
      </c>
      <c r="O31" s="45" t="str">
        <f aca="false">IF($A31="","",SUMPRODUCT(--ISNUMBER(SEARCH(","&amp;SUBSTITUTE($A31," ","")&amp;",",'Year Plan'!$BM$7:$BM$46)),--('Year Plan'!$H$7:$H$46&lt;&gt;""),--('Year Plan'!$H$7:$H$46&lt;=O$3+6),--('Year Plan'!$I$7:$I$46&gt;=O$3)))</f>
        <v/>
      </c>
      <c r="P31" s="45" t="str">
        <f aca="false">IF($A31="","",SUMPRODUCT(--ISNUMBER(SEARCH(","&amp;SUBSTITUTE($A31," ","")&amp;",",'Year Plan'!$BM$7:$BM$46)),--('Year Plan'!$H$7:$H$46&lt;&gt;""),--('Year Plan'!$H$7:$H$46&lt;=P$3+6),--('Year Plan'!$I$7:$I$46&gt;=P$3)))</f>
        <v/>
      </c>
      <c r="Q31" s="45" t="str">
        <f aca="false">IF($A31="","",SUMPRODUCT(--ISNUMBER(SEARCH(","&amp;SUBSTITUTE($A31," ","")&amp;",",'Year Plan'!$BM$7:$BM$46)),--('Year Plan'!$H$7:$H$46&lt;&gt;""),--('Year Plan'!$H$7:$H$46&lt;=Q$3+6),--('Year Plan'!$I$7:$I$46&gt;=Q$3)))</f>
        <v/>
      </c>
      <c r="R31" s="45" t="str">
        <f aca="false">IF($A31="","",SUMPRODUCT(--ISNUMBER(SEARCH(","&amp;SUBSTITUTE($A31," ","")&amp;",",'Year Plan'!$BM$7:$BM$46)),--('Year Plan'!$H$7:$H$46&lt;&gt;""),--('Year Plan'!$H$7:$H$46&lt;=R$3+6),--('Year Plan'!$I$7:$I$46&gt;=R$3)))</f>
        <v/>
      </c>
      <c r="S31" s="45" t="str">
        <f aca="false">IF($A31="","",SUMPRODUCT(--ISNUMBER(SEARCH(","&amp;SUBSTITUTE($A31," ","")&amp;",",'Year Plan'!$BM$7:$BM$46)),--('Year Plan'!$H$7:$H$46&lt;&gt;""),--('Year Plan'!$H$7:$H$46&lt;=S$3+6),--('Year Plan'!$I$7:$I$46&gt;=S$3)))</f>
        <v/>
      </c>
      <c r="T31" s="45" t="str">
        <f aca="false">IF($A31="","",SUMPRODUCT(--ISNUMBER(SEARCH(","&amp;SUBSTITUTE($A31," ","")&amp;",",'Year Plan'!$BM$7:$BM$46)),--('Year Plan'!$H$7:$H$46&lt;&gt;""),--('Year Plan'!$H$7:$H$46&lt;=T$3+6),--('Year Plan'!$I$7:$I$46&gt;=T$3)))</f>
        <v/>
      </c>
      <c r="U31" s="45" t="str">
        <f aca="false">IF($A31="","",SUMPRODUCT(--ISNUMBER(SEARCH(","&amp;SUBSTITUTE($A31," ","")&amp;",",'Year Plan'!$BM$7:$BM$46)),--('Year Plan'!$H$7:$H$46&lt;&gt;""),--('Year Plan'!$H$7:$H$46&lt;=U$3+6),--('Year Plan'!$I$7:$I$46&gt;=U$3)))</f>
        <v/>
      </c>
      <c r="V31" s="45" t="str">
        <f aca="false">IF($A31="","",SUMPRODUCT(--ISNUMBER(SEARCH(","&amp;SUBSTITUTE($A31," ","")&amp;",",'Year Plan'!$BM$7:$BM$46)),--('Year Plan'!$H$7:$H$46&lt;&gt;""),--('Year Plan'!$H$7:$H$46&lt;=V$3+6),--('Year Plan'!$I$7:$I$46&gt;=V$3)))</f>
        <v/>
      </c>
      <c r="W31" s="45" t="str">
        <f aca="false">IF($A31="","",SUMPRODUCT(--ISNUMBER(SEARCH(","&amp;SUBSTITUTE($A31," ","")&amp;",",'Year Plan'!$BM$7:$BM$46)),--('Year Plan'!$H$7:$H$46&lt;&gt;""),--('Year Plan'!$H$7:$H$46&lt;=W$3+6),--('Year Plan'!$I$7:$I$46&gt;=W$3)))</f>
        <v/>
      </c>
      <c r="X31" s="45" t="str">
        <f aca="false">IF($A31="","",SUMPRODUCT(--ISNUMBER(SEARCH(","&amp;SUBSTITUTE($A31," ","")&amp;",",'Year Plan'!$BM$7:$BM$46)),--('Year Plan'!$H$7:$H$46&lt;&gt;""),--('Year Plan'!$H$7:$H$46&lt;=X$3+6),--('Year Plan'!$I$7:$I$46&gt;=X$3)))</f>
        <v/>
      </c>
      <c r="Y31" s="45" t="str">
        <f aca="false">IF($A31="","",SUMPRODUCT(--ISNUMBER(SEARCH(","&amp;SUBSTITUTE($A31," ","")&amp;",",'Year Plan'!$BM$7:$BM$46)),--('Year Plan'!$H$7:$H$46&lt;&gt;""),--('Year Plan'!$H$7:$H$46&lt;=Y$3+6),--('Year Plan'!$I$7:$I$46&gt;=Y$3)))</f>
        <v/>
      </c>
      <c r="Z31" s="45" t="str">
        <f aca="false">IF($A31="","",SUMPRODUCT(--ISNUMBER(SEARCH(","&amp;SUBSTITUTE($A31," ","")&amp;",",'Year Plan'!$BM$7:$BM$46)),--('Year Plan'!$H$7:$H$46&lt;&gt;""),--('Year Plan'!$H$7:$H$46&lt;=Z$3+6),--('Year Plan'!$I$7:$I$46&gt;=Z$3)))</f>
        <v/>
      </c>
      <c r="AA31" s="45" t="str">
        <f aca="false">IF($A31="","",SUMPRODUCT(--ISNUMBER(SEARCH(","&amp;SUBSTITUTE($A31," ","")&amp;",",'Year Plan'!$BM$7:$BM$46)),--('Year Plan'!$H$7:$H$46&lt;&gt;""),--('Year Plan'!$H$7:$H$46&lt;=AA$3+6),--('Year Plan'!$I$7:$I$46&gt;=AA$3)))</f>
        <v/>
      </c>
      <c r="AB31" s="45" t="str">
        <f aca="false">IF($A31="","",SUMPRODUCT(--ISNUMBER(SEARCH(","&amp;SUBSTITUTE($A31," ","")&amp;",",'Year Plan'!$BM$7:$BM$46)),--('Year Plan'!$H$7:$H$46&lt;&gt;""),--('Year Plan'!$H$7:$H$46&lt;=AB$3+6),--('Year Plan'!$I$7:$I$46&gt;=AB$3)))</f>
        <v/>
      </c>
      <c r="AC31" s="45" t="str">
        <f aca="false">IF($A31="","",SUMPRODUCT(--ISNUMBER(SEARCH(","&amp;SUBSTITUTE($A31," ","")&amp;",",'Year Plan'!$BM$7:$BM$46)),--('Year Plan'!$H$7:$H$46&lt;&gt;""),--('Year Plan'!$H$7:$H$46&lt;=AC$3+6),--('Year Plan'!$I$7:$I$46&gt;=AC$3)))</f>
        <v/>
      </c>
      <c r="AD31" s="45" t="str">
        <f aca="false">IF($A31="","",SUMPRODUCT(--ISNUMBER(SEARCH(","&amp;SUBSTITUTE($A31," ","")&amp;",",'Year Plan'!$BM$7:$BM$46)),--('Year Plan'!$H$7:$H$46&lt;&gt;""),--('Year Plan'!$H$7:$H$46&lt;=AD$3+6),--('Year Plan'!$I$7:$I$46&gt;=AD$3)))</f>
        <v/>
      </c>
      <c r="AE31" s="45" t="str">
        <f aca="false">IF($A31="","",SUMPRODUCT(--ISNUMBER(SEARCH(","&amp;SUBSTITUTE($A31," ","")&amp;",",'Year Plan'!$BM$7:$BM$46)),--('Year Plan'!$H$7:$H$46&lt;&gt;""),--('Year Plan'!$H$7:$H$46&lt;=AE$3+6),--('Year Plan'!$I$7:$I$46&gt;=AE$3)))</f>
        <v/>
      </c>
      <c r="AF31" s="45" t="str">
        <f aca="false">IF($A31="","",SUMPRODUCT(--ISNUMBER(SEARCH(","&amp;SUBSTITUTE($A31," ","")&amp;",",'Year Plan'!$BM$7:$BM$46)),--('Year Plan'!$H$7:$H$46&lt;&gt;""),--('Year Plan'!$H$7:$H$46&lt;=AF$3+6),--('Year Plan'!$I$7:$I$46&gt;=AF$3)))</f>
        <v/>
      </c>
      <c r="AG31" s="45" t="str">
        <f aca="false">IF($A31="","",SUMPRODUCT(--ISNUMBER(SEARCH(","&amp;SUBSTITUTE($A31," ","")&amp;",",'Year Plan'!$BM$7:$BM$46)),--('Year Plan'!$H$7:$H$46&lt;&gt;""),--('Year Plan'!$H$7:$H$46&lt;=AG$3+6),--('Year Plan'!$I$7:$I$46&gt;=AG$3)))</f>
        <v/>
      </c>
      <c r="AH31" s="45" t="str">
        <f aca="false">IF($A31="","",SUMPRODUCT(--ISNUMBER(SEARCH(","&amp;SUBSTITUTE($A31," ","")&amp;",",'Year Plan'!$BM$7:$BM$46)),--('Year Plan'!$H$7:$H$46&lt;&gt;""),--('Year Plan'!$H$7:$H$46&lt;=AH$3+6),--('Year Plan'!$I$7:$I$46&gt;=AH$3)))</f>
        <v/>
      </c>
      <c r="AI31" s="45" t="str">
        <f aca="false">IF($A31="","",SUMPRODUCT(--ISNUMBER(SEARCH(","&amp;SUBSTITUTE($A31," ","")&amp;",",'Year Plan'!$BM$7:$BM$46)),--('Year Plan'!$H$7:$H$46&lt;&gt;""),--('Year Plan'!$H$7:$H$46&lt;=AI$3+6),--('Year Plan'!$I$7:$I$46&gt;=AI$3)))</f>
        <v/>
      </c>
      <c r="AJ31" s="45" t="str">
        <f aca="false">IF($A31="","",SUMPRODUCT(--ISNUMBER(SEARCH(","&amp;SUBSTITUTE($A31," ","")&amp;",",'Year Plan'!$BM$7:$BM$46)),--('Year Plan'!$H$7:$H$46&lt;&gt;""),--('Year Plan'!$H$7:$H$46&lt;=AJ$3+6),--('Year Plan'!$I$7:$I$46&gt;=AJ$3)))</f>
        <v/>
      </c>
      <c r="AK31" s="45" t="str">
        <f aca="false">IF($A31="","",SUMPRODUCT(--ISNUMBER(SEARCH(","&amp;SUBSTITUTE($A31," ","")&amp;",",'Year Plan'!$BM$7:$BM$46)),--('Year Plan'!$H$7:$H$46&lt;&gt;""),--('Year Plan'!$H$7:$H$46&lt;=AK$3+6),--('Year Plan'!$I$7:$I$46&gt;=AK$3)))</f>
        <v/>
      </c>
      <c r="AL31" s="45" t="str">
        <f aca="false">IF($A31="","",SUMPRODUCT(--ISNUMBER(SEARCH(","&amp;SUBSTITUTE($A31," ","")&amp;",",'Year Plan'!$BM$7:$BM$46)),--('Year Plan'!$H$7:$H$46&lt;&gt;""),--('Year Plan'!$H$7:$H$46&lt;=AL$3+6),--('Year Plan'!$I$7:$I$46&gt;=AL$3)))</f>
        <v/>
      </c>
      <c r="AM31" s="45" t="str">
        <f aca="false">IF($A31="","",SUMPRODUCT(--ISNUMBER(SEARCH(","&amp;SUBSTITUTE($A31," ","")&amp;",",'Year Plan'!$BM$7:$BM$46)),--('Year Plan'!$H$7:$H$46&lt;&gt;""),--('Year Plan'!$H$7:$H$46&lt;=AM$3+6),--('Year Plan'!$I$7:$I$46&gt;=AM$3)))</f>
        <v/>
      </c>
      <c r="AN31" s="45" t="str">
        <f aca="false">IF($A31="","",SUMPRODUCT(--ISNUMBER(SEARCH(","&amp;SUBSTITUTE($A31," ","")&amp;",",'Year Plan'!$BM$7:$BM$46)),--('Year Plan'!$H$7:$H$46&lt;&gt;""),--('Year Plan'!$H$7:$H$46&lt;=AN$3+6),--('Year Plan'!$I$7:$I$46&gt;=AN$3)))</f>
        <v/>
      </c>
      <c r="AO31" s="45" t="str">
        <f aca="false">IF($A31="","",SUMPRODUCT(--ISNUMBER(SEARCH(","&amp;SUBSTITUTE($A31," ","")&amp;",",'Year Plan'!$BM$7:$BM$46)),--('Year Plan'!$H$7:$H$46&lt;&gt;""),--('Year Plan'!$H$7:$H$46&lt;=AO$3+6),--('Year Plan'!$I$7:$I$46&gt;=AO$3)))</f>
        <v/>
      </c>
      <c r="AP31" s="45" t="str">
        <f aca="false">IF($A31="","",SUMPRODUCT(--ISNUMBER(SEARCH(","&amp;SUBSTITUTE($A31," ","")&amp;",",'Year Plan'!$BM$7:$BM$46)),--('Year Plan'!$H$7:$H$46&lt;&gt;""),--('Year Plan'!$H$7:$H$46&lt;=AP$3+6),--('Year Plan'!$I$7:$I$46&gt;=AP$3)))</f>
        <v/>
      </c>
      <c r="AQ31" s="45" t="str">
        <f aca="false">IF($A31="","",SUMPRODUCT(--ISNUMBER(SEARCH(","&amp;SUBSTITUTE($A31," ","")&amp;",",'Year Plan'!$BM$7:$BM$46)),--('Year Plan'!$H$7:$H$46&lt;&gt;""),--('Year Plan'!$H$7:$H$46&lt;=AQ$3+6),--('Year Plan'!$I$7:$I$46&gt;=AQ$3)))</f>
        <v/>
      </c>
      <c r="AR31" s="45" t="str">
        <f aca="false">IF($A31="","",SUMPRODUCT(--ISNUMBER(SEARCH(","&amp;SUBSTITUTE($A31," ","")&amp;",",'Year Plan'!$BM$7:$BM$46)),--('Year Plan'!$H$7:$H$46&lt;&gt;""),--('Year Plan'!$H$7:$H$46&lt;=AR$3+6),--('Year Plan'!$I$7:$I$46&gt;=AR$3)))</f>
        <v/>
      </c>
      <c r="AS31" s="45" t="str">
        <f aca="false">IF($A31="","",SUMPRODUCT(--ISNUMBER(SEARCH(","&amp;SUBSTITUTE($A31," ","")&amp;",",'Year Plan'!$BM$7:$BM$46)),--('Year Plan'!$H$7:$H$46&lt;&gt;""),--('Year Plan'!$H$7:$H$46&lt;=AS$3+6),--('Year Plan'!$I$7:$I$46&gt;=AS$3)))</f>
        <v/>
      </c>
      <c r="AT31" s="45" t="str">
        <f aca="false">IF($A31="","",SUMPRODUCT(--ISNUMBER(SEARCH(","&amp;SUBSTITUTE($A31," ","")&amp;",",'Year Plan'!$BM$7:$BM$46)),--('Year Plan'!$H$7:$H$46&lt;&gt;""),--('Year Plan'!$H$7:$H$46&lt;=AT$3+6),--('Year Plan'!$I$7:$I$46&gt;=AT$3)))</f>
        <v/>
      </c>
      <c r="AU31" s="45" t="str">
        <f aca="false">IF($A31="","",SUMPRODUCT(--ISNUMBER(SEARCH(","&amp;SUBSTITUTE($A31," ","")&amp;",",'Year Plan'!$BM$7:$BM$46)),--('Year Plan'!$H$7:$H$46&lt;&gt;""),--('Year Plan'!$H$7:$H$46&lt;=AU$3+6),--('Year Plan'!$I$7:$I$46&gt;=AU$3)))</f>
        <v/>
      </c>
      <c r="AV31" s="45" t="str">
        <f aca="false">IF($A31="","",SUMPRODUCT(--ISNUMBER(SEARCH(","&amp;SUBSTITUTE($A31," ","")&amp;",",'Year Plan'!$BM$7:$BM$46)),--('Year Plan'!$H$7:$H$46&lt;&gt;""),--('Year Plan'!$H$7:$H$46&lt;=AV$3+6),--('Year Plan'!$I$7:$I$46&gt;=AV$3)))</f>
        <v/>
      </c>
      <c r="AW31" s="45" t="str">
        <f aca="false">IF($A31="","",SUMPRODUCT(--ISNUMBER(SEARCH(","&amp;SUBSTITUTE($A31," ","")&amp;",",'Year Plan'!$BM$7:$BM$46)),--('Year Plan'!$H$7:$H$46&lt;&gt;""),--('Year Plan'!$H$7:$H$46&lt;=AW$3+6),--('Year Plan'!$I$7:$I$46&gt;=AW$3)))</f>
        <v/>
      </c>
      <c r="AX31" s="45" t="str">
        <f aca="false">IF($A31="","",SUMPRODUCT(--ISNUMBER(SEARCH(","&amp;SUBSTITUTE($A31," ","")&amp;",",'Year Plan'!$BM$7:$BM$46)),--('Year Plan'!$H$7:$H$46&lt;&gt;""),--('Year Plan'!$H$7:$H$46&lt;=AX$3+6),--('Year Plan'!$I$7:$I$46&gt;=AX$3)))</f>
        <v/>
      </c>
      <c r="AY31" s="45" t="str">
        <f aca="false">IF($A31="","",SUMPRODUCT(--ISNUMBER(SEARCH(","&amp;SUBSTITUTE($A31," ","")&amp;",",'Year Plan'!$BM$7:$BM$46)),--('Year Plan'!$H$7:$H$46&lt;&gt;""),--('Year Plan'!$H$7:$H$46&lt;=AY$3+6),--('Year Plan'!$I$7:$I$46&gt;=AY$3)))</f>
        <v/>
      </c>
      <c r="AZ31" s="45" t="str">
        <f aca="false">IF($A31="","",SUMPRODUCT(--ISNUMBER(SEARCH(","&amp;SUBSTITUTE($A31," ","")&amp;",",'Year Plan'!$BM$7:$BM$46)),--('Year Plan'!$H$7:$H$46&lt;&gt;""),--('Year Plan'!$H$7:$H$46&lt;=AZ$3+6),--('Year Plan'!$I$7:$I$46&gt;=AZ$3)))</f>
        <v/>
      </c>
      <c r="BA31" s="45" t="str">
        <f aca="false">IF($A31="","",SUMPRODUCT(--ISNUMBER(SEARCH(","&amp;SUBSTITUTE($A31," ","")&amp;",",'Year Plan'!$BM$7:$BM$46)),--('Year Plan'!$H$7:$H$46&lt;&gt;""),--('Year Plan'!$H$7:$H$46&lt;=BA$3+6),--('Year Plan'!$I$7:$I$46&gt;=BA$3)))</f>
        <v/>
      </c>
      <c r="BB31" s="45" t="str">
        <f aca="false">IF($A31="","",SUMPRODUCT(--ISNUMBER(SEARCH(","&amp;SUBSTITUTE($A31," ","")&amp;",",'Year Plan'!$BM$7:$BM$46)),--('Year Plan'!$H$7:$H$46&lt;&gt;""),--('Year Plan'!$H$7:$H$46&lt;=BB$3+6),--('Year Plan'!$I$7:$I$46&gt;=BB$3)))</f>
        <v/>
      </c>
      <c r="BC31" s="45" t="str">
        <f aca="false">IF($A31="","",SUMPRODUCT(--ISNUMBER(SEARCH(","&amp;SUBSTITUTE($A31," ","")&amp;",",'Year Plan'!$BM$7:$BM$46)),--('Year Plan'!$H$7:$H$46&lt;&gt;""),--('Year Plan'!$H$7:$H$46&lt;=BC$3+6),--('Year Plan'!$I$7:$I$46&gt;=BC$3)))</f>
        <v/>
      </c>
    </row>
    <row r="32" customFormat="false" ht="19.5" hidden="false" customHeight="true" outlineLevel="0" collapsed="false">
      <c r="A32" s="39" t="str">
        <f aca="false">IF(Setup!$B$36="","",Setup!$B$36)</f>
        <v/>
      </c>
      <c r="B32" s="39" t="str">
        <f aca="false">IF(Setup!$B$36="","",Setup!$C$36)</f>
        <v/>
      </c>
      <c r="C32" s="44" t="str">
        <f aca="false">IF($A32="","",SUMPRODUCT(--ISNUMBER(SEARCH(","&amp;SUBSTITUTE($A32," ","")&amp;",",'Year Plan'!$BM$7:$BM$46))))</f>
        <v/>
      </c>
      <c r="D32" s="45" t="str">
        <f aca="false">IF($A32="","",SUMPRODUCT(--ISNUMBER(SEARCH(","&amp;SUBSTITUTE($A32," ","")&amp;",",'Year Plan'!$BM$7:$BM$46)),--('Year Plan'!$H$7:$H$46&lt;&gt;""),--('Year Plan'!$H$7:$H$46&lt;=D$3+6),--('Year Plan'!$I$7:$I$46&gt;=D$3)))</f>
        <v/>
      </c>
      <c r="E32" s="45" t="str">
        <f aca="false">IF($A32="","",SUMPRODUCT(--ISNUMBER(SEARCH(","&amp;SUBSTITUTE($A32," ","")&amp;",",'Year Plan'!$BM$7:$BM$46)),--('Year Plan'!$H$7:$H$46&lt;&gt;""),--('Year Plan'!$H$7:$H$46&lt;=E$3+6),--('Year Plan'!$I$7:$I$46&gt;=E$3)))</f>
        <v/>
      </c>
      <c r="F32" s="45" t="str">
        <f aca="false">IF($A32="","",SUMPRODUCT(--ISNUMBER(SEARCH(","&amp;SUBSTITUTE($A32," ","")&amp;",",'Year Plan'!$BM$7:$BM$46)),--('Year Plan'!$H$7:$H$46&lt;&gt;""),--('Year Plan'!$H$7:$H$46&lt;=F$3+6),--('Year Plan'!$I$7:$I$46&gt;=F$3)))</f>
        <v/>
      </c>
      <c r="G32" s="45" t="str">
        <f aca="false">IF($A32="","",SUMPRODUCT(--ISNUMBER(SEARCH(","&amp;SUBSTITUTE($A32," ","")&amp;",",'Year Plan'!$BM$7:$BM$46)),--('Year Plan'!$H$7:$H$46&lt;&gt;""),--('Year Plan'!$H$7:$H$46&lt;=G$3+6),--('Year Plan'!$I$7:$I$46&gt;=G$3)))</f>
        <v/>
      </c>
      <c r="H32" s="45" t="str">
        <f aca="false">IF($A32="","",SUMPRODUCT(--ISNUMBER(SEARCH(","&amp;SUBSTITUTE($A32," ","")&amp;",",'Year Plan'!$BM$7:$BM$46)),--('Year Plan'!$H$7:$H$46&lt;&gt;""),--('Year Plan'!$H$7:$H$46&lt;=H$3+6),--('Year Plan'!$I$7:$I$46&gt;=H$3)))</f>
        <v/>
      </c>
      <c r="I32" s="45" t="str">
        <f aca="false">IF($A32="","",SUMPRODUCT(--ISNUMBER(SEARCH(","&amp;SUBSTITUTE($A32," ","")&amp;",",'Year Plan'!$BM$7:$BM$46)),--('Year Plan'!$H$7:$H$46&lt;&gt;""),--('Year Plan'!$H$7:$H$46&lt;=I$3+6),--('Year Plan'!$I$7:$I$46&gt;=I$3)))</f>
        <v/>
      </c>
      <c r="J32" s="45" t="str">
        <f aca="false">IF($A32="","",SUMPRODUCT(--ISNUMBER(SEARCH(","&amp;SUBSTITUTE($A32," ","")&amp;",",'Year Plan'!$BM$7:$BM$46)),--('Year Plan'!$H$7:$H$46&lt;&gt;""),--('Year Plan'!$H$7:$H$46&lt;=J$3+6),--('Year Plan'!$I$7:$I$46&gt;=J$3)))</f>
        <v/>
      </c>
      <c r="K32" s="45" t="str">
        <f aca="false">IF($A32="","",SUMPRODUCT(--ISNUMBER(SEARCH(","&amp;SUBSTITUTE($A32," ","")&amp;",",'Year Plan'!$BM$7:$BM$46)),--('Year Plan'!$H$7:$H$46&lt;&gt;""),--('Year Plan'!$H$7:$H$46&lt;=K$3+6),--('Year Plan'!$I$7:$I$46&gt;=K$3)))</f>
        <v/>
      </c>
      <c r="L32" s="45" t="str">
        <f aca="false">IF($A32="","",SUMPRODUCT(--ISNUMBER(SEARCH(","&amp;SUBSTITUTE($A32," ","")&amp;",",'Year Plan'!$BM$7:$BM$46)),--('Year Plan'!$H$7:$H$46&lt;&gt;""),--('Year Plan'!$H$7:$H$46&lt;=L$3+6),--('Year Plan'!$I$7:$I$46&gt;=L$3)))</f>
        <v/>
      </c>
      <c r="M32" s="45" t="str">
        <f aca="false">IF($A32="","",SUMPRODUCT(--ISNUMBER(SEARCH(","&amp;SUBSTITUTE($A32," ","")&amp;",",'Year Plan'!$BM$7:$BM$46)),--('Year Plan'!$H$7:$H$46&lt;&gt;""),--('Year Plan'!$H$7:$H$46&lt;=M$3+6),--('Year Plan'!$I$7:$I$46&gt;=M$3)))</f>
        <v/>
      </c>
      <c r="N32" s="45" t="str">
        <f aca="false">IF($A32="","",SUMPRODUCT(--ISNUMBER(SEARCH(","&amp;SUBSTITUTE($A32," ","")&amp;",",'Year Plan'!$BM$7:$BM$46)),--('Year Plan'!$H$7:$H$46&lt;&gt;""),--('Year Plan'!$H$7:$H$46&lt;=N$3+6),--('Year Plan'!$I$7:$I$46&gt;=N$3)))</f>
        <v/>
      </c>
      <c r="O32" s="45" t="str">
        <f aca="false">IF($A32="","",SUMPRODUCT(--ISNUMBER(SEARCH(","&amp;SUBSTITUTE($A32," ","")&amp;",",'Year Plan'!$BM$7:$BM$46)),--('Year Plan'!$H$7:$H$46&lt;&gt;""),--('Year Plan'!$H$7:$H$46&lt;=O$3+6),--('Year Plan'!$I$7:$I$46&gt;=O$3)))</f>
        <v/>
      </c>
      <c r="P32" s="45" t="str">
        <f aca="false">IF($A32="","",SUMPRODUCT(--ISNUMBER(SEARCH(","&amp;SUBSTITUTE($A32," ","")&amp;",",'Year Plan'!$BM$7:$BM$46)),--('Year Plan'!$H$7:$H$46&lt;&gt;""),--('Year Plan'!$H$7:$H$46&lt;=P$3+6),--('Year Plan'!$I$7:$I$46&gt;=P$3)))</f>
        <v/>
      </c>
      <c r="Q32" s="45" t="str">
        <f aca="false">IF($A32="","",SUMPRODUCT(--ISNUMBER(SEARCH(","&amp;SUBSTITUTE($A32," ","")&amp;",",'Year Plan'!$BM$7:$BM$46)),--('Year Plan'!$H$7:$H$46&lt;&gt;""),--('Year Plan'!$H$7:$H$46&lt;=Q$3+6),--('Year Plan'!$I$7:$I$46&gt;=Q$3)))</f>
        <v/>
      </c>
      <c r="R32" s="45" t="str">
        <f aca="false">IF($A32="","",SUMPRODUCT(--ISNUMBER(SEARCH(","&amp;SUBSTITUTE($A32," ","")&amp;",",'Year Plan'!$BM$7:$BM$46)),--('Year Plan'!$H$7:$H$46&lt;&gt;""),--('Year Plan'!$H$7:$H$46&lt;=R$3+6),--('Year Plan'!$I$7:$I$46&gt;=R$3)))</f>
        <v/>
      </c>
      <c r="S32" s="45" t="str">
        <f aca="false">IF($A32="","",SUMPRODUCT(--ISNUMBER(SEARCH(","&amp;SUBSTITUTE($A32," ","")&amp;",",'Year Plan'!$BM$7:$BM$46)),--('Year Plan'!$H$7:$H$46&lt;&gt;""),--('Year Plan'!$H$7:$H$46&lt;=S$3+6),--('Year Plan'!$I$7:$I$46&gt;=S$3)))</f>
        <v/>
      </c>
      <c r="T32" s="45" t="str">
        <f aca="false">IF($A32="","",SUMPRODUCT(--ISNUMBER(SEARCH(","&amp;SUBSTITUTE($A32," ","")&amp;",",'Year Plan'!$BM$7:$BM$46)),--('Year Plan'!$H$7:$H$46&lt;&gt;""),--('Year Plan'!$H$7:$H$46&lt;=T$3+6),--('Year Plan'!$I$7:$I$46&gt;=T$3)))</f>
        <v/>
      </c>
      <c r="U32" s="45" t="str">
        <f aca="false">IF($A32="","",SUMPRODUCT(--ISNUMBER(SEARCH(","&amp;SUBSTITUTE($A32," ","")&amp;",",'Year Plan'!$BM$7:$BM$46)),--('Year Plan'!$H$7:$H$46&lt;&gt;""),--('Year Plan'!$H$7:$H$46&lt;=U$3+6),--('Year Plan'!$I$7:$I$46&gt;=U$3)))</f>
        <v/>
      </c>
      <c r="V32" s="45" t="str">
        <f aca="false">IF($A32="","",SUMPRODUCT(--ISNUMBER(SEARCH(","&amp;SUBSTITUTE($A32," ","")&amp;",",'Year Plan'!$BM$7:$BM$46)),--('Year Plan'!$H$7:$H$46&lt;&gt;""),--('Year Plan'!$H$7:$H$46&lt;=V$3+6),--('Year Plan'!$I$7:$I$46&gt;=V$3)))</f>
        <v/>
      </c>
      <c r="W32" s="45" t="str">
        <f aca="false">IF($A32="","",SUMPRODUCT(--ISNUMBER(SEARCH(","&amp;SUBSTITUTE($A32," ","")&amp;",",'Year Plan'!$BM$7:$BM$46)),--('Year Plan'!$H$7:$H$46&lt;&gt;""),--('Year Plan'!$H$7:$H$46&lt;=W$3+6),--('Year Plan'!$I$7:$I$46&gt;=W$3)))</f>
        <v/>
      </c>
      <c r="X32" s="45" t="str">
        <f aca="false">IF($A32="","",SUMPRODUCT(--ISNUMBER(SEARCH(","&amp;SUBSTITUTE($A32," ","")&amp;",",'Year Plan'!$BM$7:$BM$46)),--('Year Plan'!$H$7:$H$46&lt;&gt;""),--('Year Plan'!$H$7:$H$46&lt;=X$3+6),--('Year Plan'!$I$7:$I$46&gt;=X$3)))</f>
        <v/>
      </c>
      <c r="Y32" s="45" t="str">
        <f aca="false">IF($A32="","",SUMPRODUCT(--ISNUMBER(SEARCH(","&amp;SUBSTITUTE($A32," ","")&amp;",",'Year Plan'!$BM$7:$BM$46)),--('Year Plan'!$H$7:$H$46&lt;&gt;""),--('Year Plan'!$H$7:$H$46&lt;=Y$3+6),--('Year Plan'!$I$7:$I$46&gt;=Y$3)))</f>
        <v/>
      </c>
      <c r="Z32" s="45" t="str">
        <f aca="false">IF($A32="","",SUMPRODUCT(--ISNUMBER(SEARCH(","&amp;SUBSTITUTE($A32," ","")&amp;",",'Year Plan'!$BM$7:$BM$46)),--('Year Plan'!$H$7:$H$46&lt;&gt;""),--('Year Plan'!$H$7:$H$46&lt;=Z$3+6),--('Year Plan'!$I$7:$I$46&gt;=Z$3)))</f>
        <v/>
      </c>
      <c r="AA32" s="45" t="str">
        <f aca="false">IF($A32="","",SUMPRODUCT(--ISNUMBER(SEARCH(","&amp;SUBSTITUTE($A32," ","")&amp;",",'Year Plan'!$BM$7:$BM$46)),--('Year Plan'!$H$7:$H$46&lt;&gt;""),--('Year Plan'!$H$7:$H$46&lt;=AA$3+6),--('Year Plan'!$I$7:$I$46&gt;=AA$3)))</f>
        <v/>
      </c>
      <c r="AB32" s="45" t="str">
        <f aca="false">IF($A32="","",SUMPRODUCT(--ISNUMBER(SEARCH(","&amp;SUBSTITUTE($A32," ","")&amp;",",'Year Plan'!$BM$7:$BM$46)),--('Year Plan'!$H$7:$H$46&lt;&gt;""),--('Year Plan'!$H$7:$H$46&lt;=AB$3+6),--('Year Plan'!$I$7:$I$46&gt;=AB$3)))</f>
        <v/>
      </c>
      <c r="AC32" s="45" t="str">
        <f aca="false">IF($A32="","",SUMPRODUCT(--ISNUMBER(SEARCH(","&amp;SUBSTITUTE($A32," ","")&amp;",",'Year Plan'!$BM$7:$BM$46)),--('Year Plan'!$H$7:$H$46&lt;&gt;""),--('Year Plan'!$H$7:$H$46&lt;=AC$3+6),--('Year Plan'!$I$7:$I$46&gt;=AC$3)))</f>
        <v/>
      </c>
      <c r="AD32" s="45" t="str">
        <f aca="false">IF($A32="","",SUMPRODUCT(--ISNUMBER(SEARCH(","&amp;SUBSTITUTE($A32," ","")&amp;",",'Year Plan'!$BM$7:$BM$46)),--('Year Plan'!$H$7:$H$46&lt;&gt;""),--('Year Plan'!$H$7:$H$46&lt;=AD$3+6),--('Year Plan'!$I$7:$I$46&gt;=AD$3)))</f>
        <v/>
      </c>
      <c r="AE32" s="45" t="str">
        <f aca="false">IF($A32="","",SUMPRODUCT(--ISNUMBER(SEARCH(","&amp;SUBSTITUTE($A32," ","")&amp;",",'Year Plan'!$BM$7:$BM$46)),--('Year Plan'!$H$7:$H$46&lt;&gt;""),--('Year Plan'!$H$7:$H$46&lt;=AE$3+6),--('Year Plan'!$I$7:$I$46&gt;=AE$3)))</f>
        <v/>
      </c>
      <c r="AF32" s="45" t="str">
        <f aca="false">IF($A32="","",SUMPRODUCT(--ISNUMBER(SEARCH(","&amp;SUBSTITUTE($A32," ","")&amp;",",'Year Plan'!$BM$7:$BM$46)),--('Year Plan'!$H$7:$H$46&lt;&gt;""),--('Year Plan'!$H$7:$H$46&lt;=AF$3+6),--('Year Plan'!$I$7:$I$46&gt;=AF$3)))</f>
        <v/>
      </c>
      <c r="AG32" s="45" t="str">
        <f aca="false">IF($A32="","",SUMPRODUCT(--ISNUMBER(SEARCH(","&amp;SUBSTITUTE($A32," ","")&amp;",",'Year Plan'!$BM$7:$BM$46)),--('Year Plan'!$H$7:$H$46&lt;&gt;""),--('Year Plan'!$H$7:$H$46&lt;=AG$3+6),--('Year Plan'!$I$7:$I$46&gt;=AG$3)))</f>
        <v/>
      </c>
      <c r="AH32" s="45" t="str">
        <f aca="false">IF($A32="","",SUMPRODUCT(--ISNUMBER(SEARCH(","&amp;SUBSTITUTE($A32," ","")&amp;",",'Year Plan'!$BM$7:$BM$46)),--('Year Plan'!$H$7:$H$46&lt;&gt;""),--('Year Plan'!$H$7:$H$46&lt;=AH$3+6),--('Year Plan'!$I$7:$I$46&gt;=AH$3)))</f>
        <v/>
      </c>
      <c r="AI32" s="45" t="str">
        <f aca="false">IF($A32="","",SUMPRODUCT(--ISNUMBER(SEARCH(","&amp;SUBSTITUTE($A32," ","")&amp;",",'Year Plan'!$BM$7:$BM$46)),--('Year Plan'!$H$7:$H$46&lt;&gt;""),--('Year Plan'!$H$7:$H$46&lt;=AI$3+6),--('Year Plan'!$I$7:$I$46&gt;=AI$3)))</f>
        <v/>
      </c>
      <c r="AJ32" s="45" t="str">
        <f aca="false">IF($A32="","",SUMPRODUCT(--ISNUMBER(SEARCH(","&amp;SUBSTITUTE($A32," ","")&amp;",",'Year Plan'!$BM$7:$BM$46)),--('Year Plan'!$H$7:$H$46&lt;&gt;""),--('Year Plan'!$H$7:$H$46&lt;=AJ$3+6),--('Year Plan'!$I$7:$I$46&gt;=AJ$3)))</f>
        <v/>
      </c>
      <c r="AK32" s="45" t="str">
        <f aca="false">IF($A32="","",SUMPRODUCT(--ISNUMBER(SEARCH(","&amp;SUBSTITUTE($A32," ","")&amp;",",'Year Plan'!$BM$7:$BM$46)),--('Year Plan'!$H$7:$H$46&lt;&gt;""),--('Year Plan'!$H$7:$H$46&lt;=AK$3+6),--('Year Plan'!$I$7:$I$46&gt;=AK$3)))</f>
        <v/>
      </c>
      <c r="AL32" s="45" t="str">
        <f aca="false">IF($A32="","",SUMPRODUCT(--ISNUMBER(SEARCH(","&amp;SUBSTITUTE($A32," ","")&amp;",",'Year Plan'!$BM$7:$BM$46)),--('Year Plan'!$H$7:$H$46&lt;&gt;""),--('Year Plan'!$H$7:$H$46&lt;=AL$3+6),--('Year Plan'!$I$7:$I$46&gt;=AL$3)))</f>
        <v/>
      </c>
      <c r="AM32" s="45" t="str">
        <f aca="false">IF($A32="","",SUMPRODUCT(--ISNUMBER(SEARCH(","&amp;SUBSTITUTE($A32," ","")&amp;",",'Year Plan'!$BM$7:$BM$46)),--('Year Plan'!$H$7:$H$46&lt;&gt;""),--('Year Plan'!$H$7:$H$46&lt;=AM$3+6),--('Year Plan'!$I$7:$I$46&gt;=AM$3)))</f>
        <v/>
      </c>
      <c r="AN32" s="45" t="str">
        <f aca="false">IF($A32="","",SUMPRODUCT(--ISNUMBER(SEARCH(","&amp;SUBSTITUTE($A32," ","")&amp;",",'Year Plan'!$BM$7:$BM$46)),--('Year Plan'!$H$7:$H$46&lt;&gt;""),--('Year Plan'!$H$7:$H$46&lt;=AN$3+6),--('Year Plan'!$I$7:$I$46&gt;=AN$3)))</f>
        <v/>
      </c>
      <c r="AO32" s="45" t="str">
        <f aca="false">IF($A32="","",SUMPRODUCT(--ISNUMBER(SEARCH(","&amp;SUBSTITUTE($A32," ","")&amp;",",'Year Plan'!$BM$7:$BM$46)),--('Year Plan'!$H$7:$H$46&lt;&gt;""),--('Year Plan'!$H$7:$H$46&lt;=AO$3+6),--('Year Plan'!$I$7:$I$46&gt;=AO$3)))</f>
        <v/>
      </c>
      <c r="AP32" s="45" t="str">
        <f aca="false">IF($A32="","",SUMPRODUCT(--ISNUMBER(SEARCH(","&amp;SUBSTITUTE($A32," ","")&amp;",",'Year Plan'!$BM$7:$BM$46)),--('Year Plan'!$H$7:$H$46&lt;&gt;""),--('Year Plan'!$H$7:$H$46&lt;=AP$3+6),--('Year Plan'!$I$7:$I$46&gt;=AP$3)))</f>
        <v/>
      </c>
      <c r="AQ32" s="45" t="str">
        <f aca="false">IF($A32="","",SUMPRODUCT(--ISNUMBER(SEARCH(","&amp;SUBSTITUTE($A32," ","")&amp;",",'Year Plan'!$BM$7:$BM$46)),--('Year Plan'!$H$7:$H$46&lt;&gt;""),--('Year Plan'!$H$7:$H$46&lt;=AQ$3+6),--('Year Plan'!$I$7:$I$46&gt;=AQ$3)))</f>
        <v/>
      </c>
      <c r="AR32" s="45" t="str">
        <f aca="false">IF($A32="","",SUMPRODUCT(--ISNUMBER(SEARCH(","&amp;SUBSTITUTE($A32," ","")&amp;",",'Year Plan'!$BM$7:$BM$46)),--('Year Plan'!$H$7:$H$46&lt;&gt;""),--('Year Plan'!$H$7:$H$46&lt;=AR$3+6),--('Year Plan'!$I$7:$I$46&gt;=AR$3)))</f>
        <v/>
      </c>
      <c r="AS32" s="45" t="str">
        <f aca="false">IF($A32="","",SUMPRODUCT(--ISNUMBER(SEARCH(","&amp;SUBSTITUTE($A32," ","")&amp;",",'Year Plan'!$BM$7:$BM$46)),--('Year Plan'!$H$7:$H$46&lt;&gt;""),--('Year Plan'!$H$7:$H$46&lt;=AS$3+6),--('Year Plan'!$I$7:$I$46&gt;=AS$3)))</f>
        <v/>
      </c>
      <c r="AT32" s="45" t="str">
        <f aca="false">IF($A32="","",SUMPRODUCT(--ISNUMBER(SEARCH(","&amp;SUBSTITUTE($A32," ","")&amp;",",'Year Plan'!$BM$7:$BM$46)),--('Year Plan'!$H$7:$H$46&lt;&gt;""),--('Year Plan'!$H$7:$H$46&lt;=AT$3+6),--('Year Plan'!$I$7:$I$46&gt;=AT$3)))</f>
        <v/>
      </c>
      <c r="AU32" s="45" t="str">
        <f aca="false">IF($A32="","",SUMPRODUCT(--ISNUMBER(SEARCH(","&amp;SUBSTITUTE($A32," ","")&amp;",",'Year Plan'!$BM$7:$BM$46)),--('Year Plan'!$H$7:$H$46&lt;&gt;""),--('Year Plan'!$H$7:$H$46&lt;=AU$3+6),--('Year Plan'!$I$7:$I$46&gt;=AU$3)))</f>
        <v/>
      </c>
      <c r="AV32" s="45" t="str">
        <f aca="false">IF($A32="","",SUMPRODUCT(--ISNUMBER(SEARCH(","&amp;SUBSTITUTE($A32," ","")&amp;",",'Year Plan'!$BM$7:$BM$46)),--('Year Plan'!$H$7:$H$46&lt;&gt;""),--('Year Plan'!$H$7:$H$46&lt;=AV$3+6),--('Year Plan'!$I$7:$I$46&gt;=AV$3)))</f>
        <v/>
      </c>
      <c r="AW32" s="45" t="str">
        <f aca="false">IF($A32="","",SUMPRODUCT(--ISNUMBER(SEARCH(","&amp;SUBSTITUTE($A32," ","")&amp;",",'Year Plan'!$BM$7:$BM$46)),--('Year Plan'!$H$7:$H$46&lt;&gt;""),--('Year Plan'!$H$7:$H$46&lt;=AW$3+6),--('Year Plan'!$I$7:$I$46&gt;=AW$3)))</f>
        <v/>
      </c>
      <c r="AX32" s="45" t="str">
        <f aca="false">IF($A32="","",SUMPRODUCT(--ISNUMBER(SEARCH(","&amp;SUBSTITUTE($A32," ","")&amp;",",'Year Plan'!$BM$7:$BM$46)),--('Year Plan'!$H$7:$H$46&lt;&gt;""),--('Year Plan'!$H$7:$H$46&lt;=AX$3+6),--('Year Plan'!$I$7:$I$46&gt;=AX$3)))</f>
        <v/>
      </c>
      <c r="AY32" s="45" t="str">
        <f aca="false">IF($A32="","",SUMPRODUCT(--ISNUMBER(SEARCH(","&amp;SUBSTITUTE($A32," ","")&amp;",",'Year Plan'!$BM$7:$BM$46)),--('Year Plan'!$H$7:$H$46&lt;&gt;""),--('Year Plan'!$H$7:$H$46&lt;=AY$3+6),--('Year Plan'!$I$7:$I$46&gt;=AY$3)))</f>
        <v/>
      </c>
      <c r="AZ32" s="45" t="str">
        <f aca="false">IF($A32="","",SUMPRODUCT(--ISNUMBER(SEARCH(","&amp;SUBSTITUTE($A32," ","")&amp;",",'Year Plan'!$BM$7:$BM$46)),--('Year Plan'!$H$7:$H$46&lt;&gt;""),--('Year Plan'!$H$7:$H$46&lt;=AZ$3+6),--('Year Plan'!$I$7:$I$46&gt;=AZ$3)))</f>
        <v/>
      </c>
      <c r="BA32" s="45" t="str">
        <f aca="false">IF($A32="","",SUMPRODUCT(--ISNUMBER(SEARCH(","&amp;SUBSTITUTE($A32," ","")&amp;",",'Year Plan'!$BM$7:$BM$46)),--('Year Plan'!$H$7:$H$46&lt;&gt;""),--('Year Plan'!$H$7:$H$46&lt;=BA$3+6),--('Year Plan'!$I$7:$I$46&gt;=BA$3)))</f>
        <v/>
      </c>
      <c r="BB32" s="45" t="str">
        <f aca="false">IF($A32="","",SUMPRODUCT(--ISNUMBER(SEARCH(","&amp;SUBSTITUTE($A32," ","")&amp;",",'Year Plan'!$BM$7:$BM$46)),--('Year Plan'!$H$7:$H$46&lt;&gt;""),--('Year Plan'!$H$7:$H$46&lt;=BB$3+6),--('Year Plan'!$I$7:$I$46&gt;=BB$3)))</f>
        <v/>
      </c>
      <c r="BC32" s="45" t="str">
        <f aca="false">IF($A32="","",SUMPRODUCT(--ISNUMBER(SEARCH(","&amp;SUBSTITUTE($A32," ","")&amp;",",'Year Plan'!$BM$7:$BM$46)),--('Year Plan'!$H$7:$H$46&lt;&gt;""),--('Year Plan'!$H$7:$H$46&lt;=BC$3+6),--('Year Plan'!$I$7:$I$46&gt;=BC$3)))</f>
        <v/>
      </c>
    </row>
    <row r="33" customFormat="false" ht="19.5" hidden="false" customHeight="true" outlineLevel="0" collapsed="false">
      <c r="A33" s="39" t="str">
        <f aca="false">IF(Setup!$B$37="","",Setup!$B$37)</f>
        <v/>
      </c>
      <c r="B33" s="39" t="str">
        <f aca="false">IF(Setup!$B$37="","",Setup!$C$37)</f>
        <v/>
      </c>
      <c r="C33" s="44" t="str">
        <f aca="false">IF($A33="","",SUMPRODUCT(--ISNUMBER(SEARCH(","&amp;SUBSTITUTE($A33," ","")&amp;",",'Year Plan'!$BM$7:$BM$46))))</f>
        <v/>
      </c>
      <c r="D33" s="45" t="str">
        <f aca="false">IF($A33="","",SUMPRODUCT(--ISNUMBER(SEARCH(","&amp;SUBSTITUTE($A33," ","")&amp;",",'Year Plan'!$BM$7:$BM$46)),--('Year Plan'!$H$7:$H$46&lt;&gt;""),--('Year Plan'!$H$7:$H$46&lt;=D$3+6),--('Year Plan'!$I$7:$I$46&gt;=D$3)))</f>
        <v/>
      </c>
      <c r="E33" s="45" t="str">
        <f aca="false">IF($A33="","",SUMPRODUCT(--ISNUMBER(SEARCH(","&amp;SUBSTITUTE($A33," ","")&amp;",",'Year Plan'!$BM$7:$BM$46)),--('Year Plan'!$H$7:$H$46&lt;&gt;""),--('Year Plan'!$H$7:$H$46&lt;=E$3+6),--('Year Plan'!$I$7:$I$46&gt;=E$3)))</f>
        <v/>
      </c>
      <c r="F33" s="45" t="str">
        <f aca="false">IF($A33="","",SUMPRODUCT(--ISNUMBER(SEARCH(","&amp;SUBSTITUTE($A33," ","")&amp;",",'Year Plan'!$BM$7:$BM$46)),--('Year Plan'!$H$7:$H$46&lt;&gt;""),--('Year Plan'!$H$7:$H$46&lt;=F$3+6),--('Year Plan'!$I$7:$I$46&gt;=F$3)))</f>
        <v/>
      </c>
      <c r="G33" s="45" t="str">
        <f aca="false">IF($A33="","",SUMPRODUCT(--ISNUMBER(SEARCH(","&amp;SUBSTITUTE($A33," ","")&amp;",",'Year Plan'!$BM$7:$BM$46)),--('Year Plan'!$H$7:$H$46&lt;&gt;""),--('Year Plan'!$H$7:$H$46&lt;=G$3+6),--('Year Plan'!$I$7:$I$46&gt;=G$3)))</f>
        <v/>
      </c>
      <c r="H33" s="45" t="str">
        <f aca="false">IF($A33="","",SUMPRODUCT(--ISNUMBER(SEARCH(","&amp;SUBSTITUTE($A33," ","")&amp;",",'Year Plan'!$BM$7:$BM$46)),--('Year Plan'!$H$7:$H$46&lt;&gt;""),--('Year Plan'!$H$7:$H$46&lt;=H$3+6),--('Year Plan'!$I$7:$I$46&gt;=H$3)))</f>
        <v/>
      </c>
      <c r="I33" s="45" t="str">
        <f aca="false">IF($A33="","",SUMPRODUCT(--ISNUMBER(SEARCH(","&amp;SUBSTITUTE($A33," ","")&amp;",",'Year Plan'!$BM$7:$BM$46)),--('Year Plan'!$H$7:$H$46&lt;&gt;""),--('Year Plan'!$H$7:$H$46&lt;=I$3+6),--('Year Plan'!$I$7:$I$46&gt;=I$3)))</f>
        <v/>
      </c>
      <c r="J33" s="45" t="str">
        <f aca="false">IF($A33="","",SUMPRODUCT(--ISNUMBER(SEARCH(","&amp;SUBSTITUTE($A33," ","")&amp;",",'Year Plan'!$BM$7:$BM$46)),--('Year Plan'!$H$7:$H$46&lt;&gt;""),--('Year Plan'!$H$7:$H$46&lt;=J$3+6),--('Year Plan'!$I$7:$I$46&gt;=J$3)))</f>
        <v/>
      </c>
      <c r="K33" s="45" t="str">
        <f aca="false">IF($A33="","",SUMPRODUCT(--ISNUMBER(SEARCH(","&amp;SUBSTITUTE($A33," ","")&amp;",",'Year Plan'!$BM$7:$BM$46)),--('Year Plan'!$H$7:$H$46&lt;&gt;""),--('Year Plan'!$H$7:$H$46&lt;=K$3+6),--('Year Plan'!$I$7:$I$46&gt;=K$3)))</f>
        <v/>
      </c>
      <c r="L33" s="45" t="str">
        <f aca="false">IF($A33="","",SUMPRODUCT(--ISNUMBER(SEARCH(","&amp;SUBSTITUTE($A33," ","")&amp;",",'Year Plan'!$BM$7:$BM$46)),--('Year Plan'!$H$7:$H$46&lt;&gt;""),--('Year Plan'!$H$7:$H$46&lt;=L$3+6),--('Year Plan'!$I$7:$I$46&gt;=L$3)))</f>
        <v/>
      </c>
      <c r="M33" s="45" t="str">
        <f aca="false">IF($A33="","",SUMPRODUCT(--ISNUMBER(SEARCH(","&amp;SUBSTITUTE($A33," ","")&amp;",",'Year Plan'!$BM$7:$BM$46)),--('Year Plan'!$H$7:$H$46&lt;&gt;""),--('Year Plan'!$H$7:$H$46&lt;=M$3+6),--('Year Plan'!$I$7:$I$46&gt;=M$3)))</f>
        <v/>
      </c>
      <c r="N33" s="45" t="str">
        <f aca="false">IF($A33="","",SUMPRODUCT(--ISNUMBER(SEARCH(","&amp;SUBSTITUTE($A33," ","")&amp;",",'Year Plan'!$BM$7:$BM$46)),--('Year Plan'!$H$7:$H$46&lt;&gt;""),--('Year Plan'!$H$7:$H$46&lt;=N$3+6),--('Year Plan'!$I$7:$I$46&gt;=N$3)))</f>
        <v/>
      </c>
      <c r="O33" s="45" t="str">
        <f aca="false">IF($A33="","",SUMPRODUCT(--ISNUMBER(SEARCH(","&amp;SUBSTITUTE($A33," ","")&amp;",",'Year Plan'!$BM$7:$BM$46)),--('Year Plan'!$H$7:$H$46&lt;&gt;""),--('Year Plan'!$H$7:$H$46&lt;=O$3+6),--('Year Plan'!$I$7:$I$46&gt;=O$3)))</f>
        <v/>
      </c>
      <c r="P33" s="45" t="str">
        <f aca="false">IF($A33="","",SUMPRODUCT(--ISNUMBER(SEARCH(","&amp;SUBSTITUTE($A33," ","")&amp;",",'Year Plan'!$BM$7:$BM$46)),--('Year Plan'!$H$7:$H$46&lt;&gt;""),--('Year Plan'!$H$7:$H$46&lt;=P$3+6),--('Year Plan'!$I$7:$I$46&gt;=P$3)))</f>
        <v/>
      </c>
      <c r="Q33" s="45" t="str">
        <f aca="false">IF($A33="","",SUMPRODUCT(--ISNUMBER(SEARCH(","&amp;SUBSTITUTE($A33," ","")&amp;",",'Year Plan'!$BM$7:$BM$46)),--('Year Plan'!$H$7:$H$46&lt;&gt;""),--('Year Plan'!$H$7:$H$46&lt;=Q$3+6),--('Year Plan'!$I$7:$I$46&gt;=Q$3)))</f>
        <v/>
      </c>
      <c r="R33" s="45" t="str">
        <f aca="false">IF($A33="","",SUMPRODUCT(--ISNUMBER(SEARCH(","&amp;SUBSTITUTE($A33," ","")&amp;",",'Year Plan'!$BM$7:$BM$46)),--('Year Plan'!$H$7:$H$46&lt;&gt;""),--('Year Plan'!$H$7:$H$46&lt;=R$3+6),--('Year Plan'!$I$7:$I$46&gt;=R$3)))</f>
        <v/>
      </c>
      <c r="S33" s="45" t="str">
        <f aca="false">IF($A33="","",SUMPRODUCT(--ISNUMBER(SEARCH(","&amp;SUBSTITUTE($A33," ","")&amp;",",'Year Plan'!$BM$7:$BM$46)),--('Year Plan'!$H$7:$H$46&lt;&gt;""),--('Year Plan'!$H$7:$H$46&lt;=S$3+6),--('Year Plan'!$I$7:$I$46&gt;=S$3)))</f>
        <v/>
      </c>
      <c r="T33" s="45" t="str">
        <f aca="false">IF($A33="","",SUMPRODUCT(--ISNUMBER(SEARCH(","&amp;SUBSTITUTE($A33," ","")&amp;",",'Year Plan'!$BM$7:$BM$46)),--('Year Plan'!$H$7:$H$46&lt;&gt;""),--('Year Plan'!$H$7:$H$46&lt;=T$3+6),--('Year Plan'!$I$7:$I$46&gt;=T$3)))</f>
        <v/>
      </c>
      <c r="U33" s="45" t="str">
        <f aca="false">IF($A33="","",SUMPRODUCT(--ISNUMBER(SEARCH(","&amp;SUBSTITUTE($A33," ","")&amp;",",'Year Plan'!$BM$7:$BM$46)),--('Year Plan'!$H$7:$H$46&lt;&gt;""),--('Year Plan'!$H$7:$H$46&lt;=U$3+6),--('Year Plan'!$I$7:$I$46&gt;=U$3)))</f>
        <v/>
      </c>
      <c r="V33" s="45" t="str">
        <f aca="false">IF($A33="","",SUMPRODUCT(--ISNUMBER(SEARCH(","&amp;SUBSTITUTE($A33," ","")&amp;",",'Year Plan'!$BM$7:$BM$46)),--('Year Plan'!$H$7:$H$46&lt;&gt;""),--('Year Plan'!$H$7:$H$46&lt;=V$3+6),--('Year Plan'!$I$7:$I$46&gt;=V$3)))</f>
        <v/>
      </c>
      <c r="W33" s="45" t="str">
        <f aca="false">IF($A33="","",SUMPRODUCT(--ISNUMBER(SEARCH(","&amp;SUBSTITUTE($A33," ","")&amp;",",'Year Plan'!$BM$7:$BM$46)),--('Year Plan'!$H$7:$H$46&lt;&gt;""),--('Year Plan'!$H$7:$H$46&lt;=W$3+6),--('Year Plan'!$I$7:$I$46&gt;=W$3)))</f>
        <v/>
      </c>
      <c r="X33" s="45" t="str">
        <f aca="false">IF($A33="","",SUMPRODUCT(--ISNUMBER(SEARCH(","&amp;SUBSTITUTE($A33," ","")&amp;",",'Year Plan'!$BM$7:$BM$46)),--('Year Plan'!$H$7:$H$46&lt;&gt;""),--('Year Plan'!$H$7:$H$46&lt;=X$3+6),--('Year Plan'!$I$7:$I$46&gt;=X$3)))</f>
        <v/>
      </c>
      <c r="Y33" s="45" t="str">
        <f aca="false">IF($A33="","",SUMPRODUCT(--ISNUMBER(SEARCH(","&amp;SUBSTITUTE($A33," ","")&amp;",",'Year Plan'!$BM$7:$BM$46)),--('Year Plan'!$H$7:$H$46&lt;&gt;""),--('Year Plan'!$H$7:$H$46&lt;=Y$3+6),--('Year Plan'!$I$7:$I$46&gt;=Y$3)))</f>
        <v/>
      </c>
      <c r="Z33" s="45" t="str">
        <f aca="false">IF($A33="","",SUMPRODUCT(--ISNUMBER(SEARCH(","&amp;SUBSTITUTE($A33," ","")&amp;",",'Year Plan'!$BM$7:$BM$46)),--('Year Plan'!$H$7:$H$46&lt;&gt;""),--('Year Plan'!$H$7:$H$46&lt;=Z$3+6),--('Year Plan'!$I$7:$I$46&gt;=Z$3)))</f>
        <v/>
      </c>
      <c r="AA33" s="45" t="str">
        <f aca="false">IF($A33="","",SUMPRODUCT(--ISNUMBER(SEARCH(","&amp;SUBSTITUTE($A33," ","")&amp;",",'Year Plan'!$BM$7:$BM$46)),--('Year Plan'!$H$7:$H$46&lt;&gt;""),--('Year Plan'!$H$7:$H$46&lt;=AA$3+6),--('Year Plan'!$I$7:$I$46&gt;=AA$3)))</f>
        <v/>
      </c>
      <c r="AB33" s="45" t="str">
        <f aca="false">IF($A33="","",SUMPRODUCT(--ISNUMBER(SEARCH(","&amp;SUBSTITUTE($A33," ","")&amp;",",'Year Plan'!$BM$7:$BM$46)),--('Year Plan'!$H$7:$H$46&lt;&gt;""),--('Year Plan'!$H$7:$H$46&lt;=AB$3+6),--('Year Plan'!$I$7:$I$46&gt;=AB$3)))</f>
        <v/>
      </c>
      <c r="AC33" s="45" t="str">
        <f aca="false">IF($A33="","",SUMPRODUCT(--ISNUMBER(SEARCH(","&amp;SUBSTITUTE($A33," ","")&amp;",",'Year Plan'!$BM$7:$BM$46)),--('Year Plan'!$H$7:$H$46&lt;&gt;""),--('Year Plan'!$H$7:$H$46&lt;=AC$3+6),--('Year Plan'!$I$7:$I$46&gt;=AC$3)))</f>
        <v/>
      </c>
      <c r="AD33" s="45" t="str">
        <f aca="false">IF($A33="","",SUMPRODUCT(--ISNUMBER(SEARCH(","&amp;SUBSTITUTE($A33," ","")&amp;",",'Year Plan'!$BM$7:$BM$46)),--('Year Plan'!$H$7:$H$46&lt;&gt;""),--('Year Plan'!$H$7:$H$46&lt;=AD$3+6),--('Year Plan'!$I$7:$I$46&gt;=AD$3)))</f>
        <v/>
      </c>
      <c r="AE33" s="45" t="str">
        <f aca="false">IF($A33="","",SUMPRODUCT(--ISNUMBER(SEARCH(","&amp;SUBSTITUTE($A33," ","")&amp;",",'Year Plan'!$BM$7:$BM$46)),--('Year Plan'!$H$7:$H$46&lt;&gt;""),--('Year Plan'!$H$7:$H$46&lt;=AE$3+6),--('Year Plan'!$I$7:$I$46&gt;=AE$3)))</f>
        <v/>
      </c>
      <c r="AF33" s="45" t="str">
        <f aca="false">IF($A33="","",SUMPRODUCT(--ISNUMBER(SEARCH(","&amp;SUBSTITUTE($A33," ","")&amp;",",'Year Plan'!$BM$7:$BM$46)),--('Year Plan'!$H$7:$H$46&lt;&gt;""),--('Year Plan'!$H$7:$H$46&lt;=AF$3+6),--('Year Plan'!$I$7:$I$46&gt;=AF$3)))</f>
        <v/>
      </c>
      <c r="AG33" s="45" t="str">
        <f aca="false">IF($A33="","",SUMPRODUCT(--ISNUMBER(SEARCH(","&amp;SUBSTITUTE($A33," ","")&amp;",",'Year Plan'!$BM$7:$BM$46)),--('Year Plan'!$H$7:$H$46&lt;&gt;""),--('Year Plan'!$H$7:$H$46&lt;=AG$3+6),--('Year Plan'!$I$7:$I$46&gt;=AG$3)))</f>
        <v/>
      </c>
      <c r="AH33" s="45" t="str">
        <f aca="false">IF($A33="","",SUMPRODUCT(--ISNUMBER(SEARCH(","&amp;SUBSTITUTE($A33," ","")&amp;",",'Year Plan'!$BM$7:$BM$46)),--('Year Plan'!$H$7:$H$46&lt;&gt;""),--('Year Plan'!$H$7:$H$46&lt;=AH$3+6),--('Year Plan'!$I$7:$I$46&gt;=AH$3)))</f>
        <v/>
      </c>
      <c r="AI33" s="45" t="str">
        <f aca="false">IF($A33="","",SUMPRODUCT(--ISNUMBER(SEARCH(","&amp;SUBSTITUTE($A33," ","")&amp;",",'Year Plan'!$BM$7:$BM$46)),--('Year Plan'!$H$7:$H$46&lt;&gt;""),--('Year Plan'!$H$7:$H$46&lt;=AI$3+6),--('Year Plan'!$I$7:$I$46&gt;=AI$3)))</f>
        <v/>
      </c>
      <c r="AJ33" s="45" t="str">
        <f aca="false">IF($A33="","",SUMPRODUCT(--ISNUMBER(SEARCH(","&amp;SUBSTITUTE($A33," ","")&amp;",",'Year Plan'!$BM$7:$BM$46)),--('Year Plan'!$H$7:$H$46&lt;&gt;""),--('Year Plan'!$H$7:$H$46&lt;=AJ$3+6),--('Year Plan'!$I$7:$I$46&gt;=AJ$3)))</f>
        <v/>
      </c>
      <c r="AK33" s="45" t="str">
        <f aca="false">IF($A33="","",SUMPRODUCT(--ISNUMBER(SEARCH(","&amp;SUBSTITUTE($A33," ","")&amp;",",'Year Plan'!$BM$7:$BM$46)),--('Year Plan'!$H$7:$H$46&lt;&gt;""),--('Year Plan'!$H$7:$H$46&lt;=AK$3+6),--('Year Plan'!$I$7:$I$46&gt;=AK$3)))</f>
        <v/>
      </c>
      <c r="AL33" s="45" t="str">
        <f aca="false">IF($A33="","",SUMPRODUCT(--ISNUMBER(SEARCH(","&amp;SUBSTITUTE($A33," ","")&amp;",",'Year Plan'!$BM$7:$BM$46)),--('Year Plan'!$H$7:$H$46&lt;&gt;""),--('Year Plan'!$H$7:$H$46&lt;=AL$3+6),--('Year Plan'!$I$7:$I$46&gt;=AL$3)))</f>
        <v/>
      </c>
      <c r="AM33" s="45" t="str">
        <f aca="false">IF($A33="","",SUMPRODUCT(--ISNUMBER(SEARCH(","&amp;SUBSTITUTE($A33," ","")&amp;",",'Year Plan'!$BM$7:$BM$46)),--('Year Plan'!$H$7:$H$46&lt;&gt;""),--('Year Plan'!$H$7:$H$46&lt;=AM$3+6),--('Year Plan'!$I$7:$I$46&gt;=AM$3)))</f>
        <v/>
      </c>
      <c r="AN33" s="45" t="str">
        <f aca="false">IF($A33="","",SUMPRODUCT(--ISNUMBER(SEARCH(","&amp;SUBSTITUTE($A33," ","")&amp;",",'Year Plan'!$BM$7:$BM$46)),--('Year Plan'!$H$7:$H$46&lt;&gt;""),--('Year Plan'!$H$7:$H$46&lt;=AN$3+6),--('Year Plan'!$I$7:$I$46&gt;=AN$3)))</f>
        <v/>
      </c>
      <c r="AO33" s="45" t="str">
        <f aca="false">IF($A33="","",SUMPRODUCT(--ISNUMBER(SEARCH(","&amp;SUBSTITUTE($A33," ","")&amp;",",'Year Plan'!$BM$7:$BM$46)),--('Year Plan'!$H$7:$H$46&lt;&gt;""),--('Year Plan'!$H$7:$H$46&lt;=AO$3+6),--('Year Plan'!$I$7:$I$46&gt;=AO$3)))</f>
        <v/>
      </c>
      <c r="AP33" s="45" t="str">
        <f aca="false">IF($A33="","",SUMPRODUCT(--ISNUMBER(SEARCH(","&amp;SUBSTITUTE($A33," ","")&amp;",",'Year Plan'!$BM$7:$BM$46)),--('Year Plan'!$H$7:$H$46&lt;&gt;""),--('Year Plan'!$H$7:$H$46&lt;=AP$3+6),--('Year Plan'!$I$7:$I$46&gt;=AP$3)))</f>
        <v/>
      </c>
      <c r="AQ33" s="45" t="str">
        <f aca="false">IF($A33="","",SUMPRODUCT(--ISNUMBER(SEARCH(","&amp;SUBSTITUTE($A33," ","")&amp;",",'Year Plan'!$BM$7:$BM$46)),--('Year Plan'!$H$7:$H$46&lt;&gt;""),--('Year Plan'!$H$7:$H$46&lt;=AQ$3+6),--('Year Plan'!$I$7:$I$46&gt;=AQ$3)))</f>
        <v/>
      </c>
      <c r="AR33" s="45" t="str">
        <f aca="false">IF($A33="","",SUMPRODUCT(--ISNUMBER(SEARCH(","&amp;SUBSTITUTE($A33," ","")&amp;",",'Year Plan'!$BM$7:$BM$46)),--('Year Plan'!$H$7:$H$46&lt;&gt;""),--('Year Plan'!$H$7:$H$46&lt;=AR$3+6),--('Year Plan'!$I$7:$I$46&gt;=AR$3)))</f>
        <v/>
      </c>
      <c r="AS33" s="45" t="str">
        <f aca="false">IF($A33="","",SUMPRODUCT(--ISNUMBER(SEARCH(","&amp;SUBSTITUTE($A33," ","")&amp;",",'Year Plan'!$BM$7:$BM$46)),--('Year Plan'!$H$7:$H$46&lt;&gt;""),--('Year Plan'!$H$7:$H$46&lt;=AS$3+6),--('Year Plan'!$I$7:$I$46&gt;=AS$3)))</f>
        <v/>
      </c>
      <c r="AT33" s="45" t="str">
        <f aca="false">IF($A33="","",SUMPRODUCT(--ISNUMBER(SEARCH(","&amp;SUBSTITUTE($A33," ","")&amp;",",'Year Plan'!$BM$7:$BM$46)),--('Year Plan'!$H$7:$H$46&lt;&gt;""),--('Year Plan'!$H$7:$H$46&lt;=AT$3+6),--('Year Plan'!$I$7:$I$46&gt;=AT$3)))</f>
        <v/>
      </c>
      <c r="AU33" s="45" t="str">
        <f aca="false">IF($A33="","",SUMPRODUCT(--ISNUMBER(SEARCH(","&amp;SUBSTITUTE($A33," ","")&amp;",",'Year Plan'!$BM$7:$BM$46)),--('Year Plan'!$H$7:$H$46&lt;&gt;""),--('Year Plan'!$H$7:$H$46&lt;=AU$3+6),--('Year Plan'!$I$7:$I$46&gt;=AU$3)))</f>
        <v/>
      </c>
      <c r="AV33" s="45" t="str">
        <f aca="false">IF($A33="","",SUMPRODUCT(--ISNUMBER(SEARCH(","&amp;SUBSTITUTE($A33," ","")&amp;",",'Year Plan'!$BM$7:$BM$46)),--('Year Plan'!$H$7:$H$46&lt;&gt;""),--('Year Plan'!$H$7:$H$46&lt;=AV$3+6),--('Year Plan'!$I$7:$I$46&gt;=AV$3)))</f>
        <v/>
      </c>
      <c r="AW33" s="45" t="str">
        <f aca="false">IF($A33="","",SUMPRODUCT(--ISNUMBER(SEARCH(","&amp;SUBSTITUTE($A33," ","")&amp;",",'Year Plan'!$BM$7:$BM$46)),--('Year Plan'!$H$7:$H$46&lt;&gt;""),--('Year Plan'!$H$7:$H$46&lt;=AW$3+6),--('Year Plan'!$I$7:$I$46&gt;=AW$3)))</f>
        <v/>
      </c>
      <c r="AX33" s="45" t="str">
        <f aca="false">IF($A33="","",SUMPRODUCT(--ISNUMBER(SEARCH(","&amp;SUBSTITUTE($A33," ","")&amp;",",'Year Plan'!$BM$7:$BM$46)),--('Year Plan'!$H$7:$H$46&lt;&gt;""),--('Year Plan'!$H$7:$H$46&lt;=AX$3+6),--('Year Plan'!$I$7:$I$46&gt;=AX$3)))</f>
        <v/>
      </c>
      <c r="AY33" s="45" t="str">
        <f aca="false">IF($A33="","",SUMPRODUCT(--ISNUMBER(SEARCH(","&amp;SUBSTITUTE($A33," ","")&amp;",",'Year Plan'!$BM$7:$BM$46)),--('Year Plan'!$H$7:$H$46&lt;&gt;""),--('Year Plan'!$H$7:$H$46&lt;=AY$3+6),--('Year Plan'!$I$7:$I$46&gt;=AY$3)))</f>
        <v/>
      </c>
      <c r="AZ33" s="45" t="str">
        <f aca="false">IF($A33="","",SUMPRODUCT(--ISNUMBER(SEARCH(","&amp;SUBSTITUTE($A33," ","")&amp;",",'Year Plan'!$BM$7:$BM$46)),--('Year Plan'!$H$7:$H$46&lt;&gt;""),--('Year Plan'!$H$7:$H$46&lt;=AZ$3+6),--('Year Plan'!$I$7:$I$46&gt;=AZ$3)))</f>
        <v/>
      </c>
      <c r="BA33" s="45" t="str">
        <f aca="false">IF($A33="","",SUMPRODUCT(--ISNUMBER(SEARCH(","&amp;SUBSTITUTE($A33," ","")&amp;",",'Year Plan'!$BM$7:$BM$46)),--('Year Plan'!$H$7:$H$46&lt;&gt;""),--('Year Plan'!$H$7:$H$46&lt;=BA$3+6),--('Year Plan'!$I$7:$I$46&gt;=BA$3)))</f>
        <v/>
      </c>
      <c r="BB33" s="45" t="str">
        <f aca="false">IF($A33="","",SUMPRODUCT(--ISNUMBER(SEARCH(","&amp;SUBSTITUTE($A33," ","")&amp;",",'Year Plan'!$BM$7:$BM$46)),--('Year Plan'!$H$7:$H$46&lt;&gt;""),--('Year Plan'!$H$7:$H$46&lt;=BB$3+6),--('Year Plan'!$I$7:$I$46&gt;=BB$3)))</f>
        <v/>
      </c>
      <c r="BC33" s="45" t="str">
        <f aca="false">IF($A33="","",SUMPRODUCT(--ISNUMBER(SEARCH(","&amp;SUBSTITUTE($A33," ","")&amp;",",'Year Plan'!$BM$7:$BM$46)),--('Year Plan'!$H$7:$H$46&lt;&gt;""),--('Year Plan'!$H$7:$H$46&lt;=BC$3+6),--('Year Plan'!$I$7:$I$46&gt;=BC$3)))</f>
        <v/>
      </c>
    </row>
    <row r="34" customFormat="false" ht="19.5" hidden="false" customHeight="true" outlineLevel="0" collapsed="false">
      <c r="A34" s="39" t="str">
        <f aca="false">IF(Setup!$B$38="","",Setup!$B$38)</f>
        <v/>
      </c>
      <c r="B34" s="39" t="str">
        <f aca="false">IF(Setup!$B$38="","",Setup!$C$38)</f>
        <v/>
      </c>
      <c r="C34" s="44" t="str">
        <f aca="false">IF($A34="","",SUMPRODUCT(--ISNUMBER(SEARCH(","&amp;SUBSTITUTE($A34," ","")&amp;",",'Year Plan'!$BM$7:$BM$46))))</f>
        <v/>
      </c>
      <c r="D34" s="45" t="str">
        <f aca="false">IF($A34="","",SUMPRODUCT(--ISNUMBER(SEARCH(","&amp;SUBSTITUTE($A34," ","")&amp;",",'Year Plan'!$BM$7:$BM$46)),--('Year Plan'!$H$7:$H$46&lt;&gt;""),--('Year Plan'!$H$7:$H$46&lt;=D$3+6),--('Year Plan'!$I$7:$I$46&gt;=D$3)))</f>
        <v/>
      </c>
      <c r="E34" s="45" t="str">
        <f aca="false">IF($A34="","",SUMPRODUCT(--ISNUMBER(SEARCH(","&amp;SUBSTITUTE($A34," ","")&amp;",",'Year Plan'!$BM$7:$BM$46)),--('Year Plan'!$H$7:$H$46&lt;&gt;""),--('Year Plan'!$H$7:$H$46&lt;=E$3+6),--('Year Plan'!$I$7:$I$46&gt;=E$3)))</f>
        <v/>
      </c>
      <c r="F34" s="45" t="str">
        <f aca="false">IF($A34="","",SUMPRODUCT(--ISNUMBER(SEARCH(","&amp;SUBSTITUTE($A34," ","")&amp;",",'Year Plan'!$BM$7:$BM$46)),--('Year Plan'!$H$7:$H$46&lt;&gt;""),--('Year Plan'!$H$7:$H$46&lt;=F$3+6),--('Year Plan'!$I$7:$I$46&gt;=F$3)))</f>
        <v/>
      </c>
      <c r="G34" s="45" t="str">
        <f aca="false">IF($A34="","",SUMPRODUCT(--ISNUMBER(SEARCH(","&amp;SUBSTITUTE($A34," ","")&amp;",",'Year Plan'!$BM$7:$BM$46)),--('Year Plan'!$H$7:$H$46&lt;&gt;""),--('Year Plan'!$H$7:$H$46&lt;=G$3+6),--('Year Plan'!$I$7:$I$46&gt;=G$3)))</f>
        <v/>
      </c>
      <c r="H34" s="45" t="str">
        <f aca="false">IF($A34="","",SUMPRODUCT(--ISNUMBER(SEARCH(","&amp;SUBSTITUTE($A34," ","")&amp;",",'Year Plan'!$BM$7:$BM$46)),--('Year Plan'!$H$7:$H$46&lt;&gt;""),--('Year Plan'!$H$7:$H$46&lt;=H$3+6),--('Year Plan'!$I$7:$I$46&gt;=H$3)))</f>
        <v/>
      </c>
      <c r="I34" s="45" t="str">
        <f aca="false">IF($A34="","",SUMPRODUCT(--ISNUMBER(SEARCH(","&amp;SUBSTITUTE($A34," ","")&amp;",",'Year Plan'!$BM$7:$BM$46)),--('Year Plan'!$H$7:$H$46&lt;&gt;""),--('Year Plan'!$H$7:$H$46&lt;=I$3+6),--('Year Plan'!$I$7:$I$46&gt;=I$3)))</f>
        <v/>
      </c>
      <c r="J34" s="45" t="str">
        <f aca="false">IF($A34="","",SUMPRODUCT(--ISNUMBER(SEARCH(","&amp;SUBSTITUTE($A34," ","")&amp;",",'Year Plan'!$BM$7:$BM$46)),--('Year Plan'!$H$7:$H$46&lt;&gt;""),--('Year Plan'!$H$7:$H$46&lt;=J$3+6),--('Year Plan'!$I$7:$I$46&gt;=J$3)))</f>
        <v/>
      </c>
      <c r="K34" s="45" t="str">
        <f aca="false">IF($A34="","",SUMPRODUCT(--ISNUMBER(SEARCH(","&amp;SUBSTITUTE($A34," ","")&amp;",",'Year Plan'!$BM$7:$BM$46)),--('Year Plan'!$H$7:$H$46&lt;&gt;""),--('Year Plan'!$H$7:$H$46&lt;=K$3+6),--('Year Plan'!$I$7:$I$46&gt;=K$3)))</f>
        <v/>
      </c>
      <c r="L34" s="45" t="str">
        <f aca="false">IF($A34="","",SUMPRODUCT(--ISNUMBER(SEARCH(","&amp;SUBSTITUTE($A34," ","")&amp;",",'Year Plan'!$BM$7:$BM$46)),--('Year Plan'!$H$7:$H$46&lt;&gt;""),--('Year Plan'!$H$7:$H$46&lt;=L$3+6),--('Year Plan'!$I$7:$I$46&gt;=L$3)))</f>
        <v/>
      </c>
      <c r="M34" s="45" t="str">
        <f aca="false">IF($A34="","",SUMPRODUCT(--ISNUMBER(SEARCH(","&amp;SUBSTITUTE($A34," ","")&amp;",",'Year Plan'!$BM$7:$BM$46)),--('Year Plan'!$H$7:$H$46&lt;&gt;""),--('Year Plan'!$H$7:$H$46&lt;=M$3+6),--('Year Plan'!$I$7:$I$46&gt;=M$3)))</f>
        <v/>
      </c>
      <c r="N34" s="45" t="str">
        <f aca="false">IF($A34="","",SUMPRODUCT(--ISNUMBER(SEARCH(","&amp;SUBSTITUTE($A34," ","")&amp;",",'Year Plan'!$BM$7:$BM$46)),--('Year Plan'!$H$7:$H$46&lt;&gt;""),--('Year Plan'!$H$7:$H$46&lt;=N$3+6),--('Year Plan'!$I$7:$I$46&gt;=N$3)))</f>
        <v/>
      </c>
      <c r="O34" s="45" t="str">
        <f aca="false">IF($A34="","",SUMPRODUCT(--ISNUMBER(SEARCH(","&amp;SUBSTITUTE($A34," ","")&amp;",",'Year Plan'!$BM$7:$BM$46)),--('Year Plan'!$H$7:$H$46&lt;&gt;""),--('Year Plan'!$H$7:$H$46&lt;=O$3+6),--('Year Plan'!$I$7:$I$46&gt;=O$3)))</f>
        <v/>
      </c>
      <c r="P34" s="45" t="str">
        <f aca="false">IF($A34="","",SUMPRODUCT(--ISNUMBER(SEARCH(","&amp;SUBSTITUTE($A34," ","")&amp;",",'Year Plan'!$BM$7:$BM$46)),--('Year Plan'!$H$7:$H$46&lt;&gt;""),--('Year Plan'!$H$7:$H$46&lt;=P$3+6),--('Year Plan'!$I$7:$I$46&gt;=P$3)))</f>
        <v/>
      </c>
      <c r="Q34" s="45" t="str">
        <f aca="false">IF($A34="","",SUMPRODUCT(--ISNUMBER(SEARCH(","&amp;SUBSTITUTE($A34," ","")&amp;",",'Year Plan'!$BM$7:$BM$46)),--('Year Plan'!$H$7:$H$46&lt;&gt;""),--('Year Plan'!$H$7:$H$46&lt;=Q$3+6),--('Year Plan'!$I$7:$I$46&gt;=Q$3)))</f>
        <v/>
      </c>
      <c r="R34" s="45" t="str">
        <f aca="false">IF($A34="","",SUMPRODUCT(--ISNUMBER(SEARCH(","&amp;SUBSTITUTE($A34," ","")&amp;",",'Year Plan'!$BM$7:$BM$46)),--('Year Plan'!$H$7:$H$46&lt;&gt;""),--('Year Plan'!$H$7:$H$46&lt;=R$3+6),--('Year Plan'!$I$7:$I$46&gt;=R$3)))</f>
        <v/>
      </c>
      <c r="S34" s="45" t="str">
        <f aca="false">IF($A34="","",SUMPRODUCT(--ISNUMBER(SEARCH(","&amp;SUBSTITUTE($A34," ","")&amp;",",'Year Plan'!$BM$7:$BM$46)),--('Year Plan'!$H$7:$H$46&lt;&gt;""),--('Year Plan'!$H$7:$H$46&lt;=S$3+6),--('Year Plan'!$I$7:$I$46&gt;=S$3)))</f>
        <v/>
      </c>
      <c r="T34" s="45" t="str">
        <f aca="false">IF($A34="","",SUMPRODUCT(--ISNUMBER(SEARCH(","&amp;SUBSTITUTE($A34," ","")&amp;",",'Year Plan'!$BM$7:$BM$46)),--('Year Plan'!$H$7:$H$46&lt;&gt;""),--('Year Plan'!$H$7:$H$46&lt;=T$3+6),--('Year Plan'!$I$7:$I$46&gt;=T$3)))</f>
        <v/>
      </c>
      <c r="U34" s="45" t="str">
        <f aca="false">IF($A34="","",SUMPRODUCT(--ISNUMBER(SEARCH(","&amp;SUBSTITUTE($A34," ","")&amp;",",'Year Plan'!$BM$7:$BM$46)),--('Year Plan'!$H$7:$H$46&lt;&gt;""),--('Year Plan'!$H$7:$H$46&lt;=U$3+6),--('Year Plan'!$I$7:$I$46&gt;=U$3)))</f>
        <v/>
      </c>
      <c r="V34" s="45" t="str">
        <f aca="false">IF($A34="","",SUMPRODUCT(--ISNUMBER(SEARCH(","&amp;SUBSTITUTE($A34," ","")&amp;",",'Year Plan'!$BM$7:$BM$46)),--('Year Plan'!$H$7:$H$46&lt;&gt;""),--('Year Plan'!$H$7:$H$46&lt;=V$3+6),--('Year Plan'!$I$7:$I$46&gt;=V$3)))</f>
        <v/>
      </c>
      <c r="W34" s="45" t="str">
        <f aca="false">IF($A34="","",SUMPRODUCT(--ISNUMBER(SEARCH(","&amp;SUBSTITUTE($A34," ","")&amp;",",'Year Plan'!$BM$7:$BM$46)),--('Year Plan'!$H$7:$H$46&lt;&gt;""),--('Year Plan'!$H$7:$H$46&lt;=W$3+6),--('Year Plan'!$I$7:$I$46&gt;=W$3)))</f>
        <v/>
      </c>
      <c r="X34" s="45" t="str">
        <f aca="false">IF($A34="","",SUMPRODUCT(--ISNUMBER(SEARCH(","&amp;SUBSTITUTE($A34," ","")&amp;",",'Year Plan'!$BM$7:$BM$46)),--('Year Plan'!$H$7:$H$46&lt;&gt;""),--('Year Plan'!$H$7:$H$46&lt;=X$3+6),--('Year Plan'!$I$7:$I$46&gt;=X$3)))</f>
        <v/>
      </c>
      <c r="Y34" s="45" t="str">
        <f aca="false">IF($A34="","",SUMPRODUCT(--ISNUMBER(SEARCH(","&amp;SUBSTITUTE($A34," ","")&amp;",",'Year Plan'!$BM$7:$BM$46)),--('Year Plan'!$H$7:$H$46&lt;&gt;""),--('Year Plan'!$H$7:$H$46&lt;=Y$3+6),--('Year Plan'!$I$7:$I$46&gt;=Y$3)))</f>
        <v/>
      </c>
      <c r="Z34" s="45" t="str">
        <f aca="false">IF($A34="","",SUMPRODUCT(--ISNUMBER(SEARCH(","&amp;SUBSTITUTE($A34," ","")&amp;",",'Year Plan'!$BM$7:$BM$46)),--('Year Plan'!$H$7:$H$46&lt;&gt;""),--('Year Plan'!$H$7:$H$46&lt;=Z$3+6),--('Year Plan'!$I$7:$I$46&gt;=Z$3)))</f>
        <v/>
      </c>
      <c r="AA34" s="45" t="str">
        <f aca="false">IF($A34="","",SUMPRODUCT(--ISNUMBER(SEARCH(","&amp;SUBSTITUTE($A34," ","")&amp;",",'Year Plan'!$BM$7:$BM$46)),--('Year Plan'!$H$7:$H$46&lt;&gt;""),--('Year Plan'!$H$7:$H$46&lt;=AA$3+6),--('Year Plan'!$I$7:$I$46&gt;=AA$3)))</f>
        <v/>
      </c>
      <c r="AB34" s="45" t="str">
        <f aca="false">IF($A34="","",SUMPRODUCT(--ISNUMBER(SEARCH(","&amp;SUBSTITUTE($A34," ","")&amp;",",'Year Plan'!$BM$7:$BM$46)),--('Year Plan'!$H$7:$H$46&lt;&gt;""),--('Year Plan'!$H$7:$H$46&lt;=AB$3+6),--('Year Plan'!$I$7:$I$46&gt;=AB$3)))</f>
        <v/>
      </c>
      <c r="AC34" s="45" t="str">
        <f aca="false">IF($A34="","",SUMPRODUCT(--ISNUMBER(SEARCH(","&amp;SUBSTITUTE($A34," ","")&amp;",",'Year Plan'!$BM$7:$BM$46)),--('Year Plan'!$H$7:$H$46&lt;&gt;""),--('Year Plan'!$H$7:$H$46&lt;=AC$3+6),--('Year Plan'!$I$7:$I$46&gt;=AC$3)))</f>
        <v/>
      </c>
      <c r="AD34" s="45" t="str">
        <f aca="false">IF($A34="","",SUMPRODUCT(--ISNUMBER(SEARCH(","&amp;SUBSTITUTE($A34," ","")&amp;",",'Year Plan'!$BM$7:$BM$46)),--('Year Plan'!$H$7:$H$46&lt;&gt;""),--('Year Plan'!$H$7:$H$46&lt;=AD$3+6),--('Year Plan'!$I$7:$I$46&gt;=AD$3)))</f>
        <v/>
      </c>
      <c r="AE34" s="45" t="str">
        <f aca="false">IF($A34="","",SUMPRODUCT(--ISNUMBER(SEARCH(","&amp;SUBSTITUTE($A34," ","")&amp;",",'Year Plan'!$BM$7:$BM$46)),--('Year Plan'!$H$7:$H$46&lt;&gt;""),--('Year Plan'!$H$7:$H$46&lt;=AE$3+6),--('Year Plan'!$I$7:$I$46&gt;=AE$3)))</f>
        <v/>
      </c>
      <c r="AF34" s="45" t="str">
        <f aca="false">IF($A34="","",SUMPRODUCT(--ISNUMBER(SEARCH(","&amp;SUBSTITUTE($A34," ","")&amp;",",'Year Plan'!$BM$7:$BM$46)),--('Year Plan'!$H$7:$H$46&lt;&gt;""),--('Year Plan'!$H$7:$H$46&lt;=AF$3+6),--('Year Plan'!$I$7:$I$46&gt;=AF$3)))</f>
        <v/>
      </c>
      <c r="AG34" s="45" t="str">
        <f aca="false">IF($A34="","",SUMPRODUCT(--ISNUMBER(SEARCH(","&amp;SUBSTITUTE($A34," ","")&amp;",",'Year Plan'!$BM$7:$BM$46)),--('Year Plan'!$H$7:$H$46&lt;&gt;""),--('Year Plan'!$H$7:$H$46&lt;=AG$3+6),--('Year Plan'!$I$7:$I$46&gt;=AG$3)))</f>
        <v/>
      </c>
      <c r="AH34" s="45" t="str">
        <f aca="false">IF($A34="","",SUMPRODUCT(--ISNUMBER(SEARCH(","&amp;SUBSTITUTE($A34," ","")&amp;",",'Year Plan'!$BM$7:$BM$46)),--('Year Plan'!$H$7:$H$46&lt;&gt;""),--('Year Plan'!$H$7:$H$46&lt;=AH$3+6),--('Year Plan'!$I$7:$I$46&gt;=AH$3)))</f>
        <v/>
      </c>
      <c r="AI34" s="45" t="str">
        <f aca="false">IF($A34="","",SUMPRODUCT(--ISNUMBER(SEARCH(","&amp;SUBSTITUTE($A34," ","")&amp;",",'Year Plan'!$BM$7:$BM$46)),--('Year Plan'!$H$7:$H$46&lt;&gt;""),--('Year Plan'!$H$7:$H$46&lt;=AI$3+6),--('Year Plan'!$I$7:$I$46&gt;=AI$3)))</f>
        <v/>
      </c>
      <c r="AJ34" s="45" t="str">
        <f aca="false">IF($A34="","",SUMPRODUCT(--ISNUMBER(SEARCH(","&amp;SUBSTITUTE($A34," ","")&amp;",",'Year Plan'!$BM$7:$BM$46)),--('Year Plan'!$H$7:$H$46&lt;&gt;""),--('Year Plan'!$H$7:$H$46&lt;=AJ$3+6),--('Year Plan'!$I$7:$I$46&gt;=AJ$3)))</f>
        <v/>
      </c>
      <c r="AK34" s="45" t="str">
        <f aca="false">IF($A34="","",SUMPRODUCT(--ISNUMBER(SEARCH(","&amp;SUBSTITUTE($A34," ","")&amp;",",'Year Plan'!$BM$7:$BM$46)),--('Year Plan'!$H$7:$H$46&lt;&gt;""),--('Year Plan'!$H$7:$H$46&lt;=AK$3+6),--('Year Plan'!$I$7:$I$46&gt;=AK$3)))</f>
        <v/>
      </c>
      <c r="AL34" s="45" t="str">
        <f aca="false">IF($A34="","",SUMPRODUCT(--ISNUMBER(SEARCH(","&amp;SUBSTITUTE($A34," ","")&amp;",",'Year Plan'!$BM$7:$BM$46)),--('Year Plan'!$H$7:$H$46&lt;&gt;""),--('Year Plan'!$H$7:$H$46&lt;=AL$3+6),--('Year Plan'!$I$7:$I$46&gt;=AL$3)))</f>
        <v/>
      </c>
      <c r="AM34" s="45" t="str">
        <f aca="false">IF($A34="","",SUMPRODUCT(--ISNUMBER(SEARCH(","&amp;SUBSTITUTE($A34," ","")&amp;",",'Year Plan'!$BM$7:$BM$46)),--('Year Plan'!$H$7:$H$46&lt;&gt;""),--('Year Plan'!$H$7:$H$46&lt;=AM$3+6),--('Year Plan'!$I$7:$I$46&gt;=AM$3)))</f>
        <v/>
      </c>
      <c r="AN34" s="45" t="str">
        <f aca="false">IF($A34="","",SUMPRODUCT(--ISNUMBER(SEARCH(","&amp;SUBSTITUTE($A34," ","")&amp;",",'Year Plan'!$BM$7:$BM$46)),--('Year Plan'!$H$7:$H$46&lt;&gt;""),--('Year Plan'!$H$7:$H$46&lt;=AN$3+6),--('Year Plan'!$I$7:$I$46&gt;=AN$3)))</f>
        <v/>
      </c>
      <c r="AO34" s="45" t="str">
        <f aca="false">IF($A34="","",SUMPRODUCT(--ISNUMBER(SEARCH(","&amp;SUBSTITUTE($A34," ","")&amp;",",'Year Plan'!$BM$7:$BM$46)),--('Year Plan'!$H$7:$H$46&lt;&gt;""),--('Year Plan'!$H$7:$H$46&lt;=AO$3+6),--('Year Plan'!$I$7:$I$46&gt;=AO$3)))</f>
        <v/>
      </c>
      <c r="AP34" s="45" t="str">
        <f aca="false">IF($A34="","",SUMPRODUCT(--ISNUMBER(SEARCH(","&amp;SUBSTITUTE($A34," ","")&amp;",",'Year Plan'!$BM$7:$BM$46)),--('Year Plan'!$H$7:$H$46&lt;&gt;""),--('Year Plan'!$H$7:$H$46&lt;=AP$3+6),--('Year Plan'!$I$7:$I$46&gt;=AP$3)))</f>
        <v/>
      </c>
      <c r="AQ34" s="45" t="str">
        <f aca="false">IF($A34="","",SUMPRODUCT(--ISNUMBER(SEARCH(","&amp;SUBSTITUTE($A34," ","")&amp;",",'Year Plan'!$BM$7:$BM$46)),--('Year Plan'!$H$7:$H$46&lt;&gt;""),--('Year Plan'!$H$7:$H$46&lt;=AQ$3+6),--('Year Plan'!$I$7:$I$46&gt;=AQ$3)))</f>
        <v/>
      </c>
      <c r="AR34" s="45" t="str">
        <f aca="false">IF($A34="","",SUMPRODUCT(--ISNUMBER(SEARCH(","&amp;SUBSTITUTE($A34," ","")&amp;",",'Year Plan'!$BM$7:$BM$46)),--('Year Plan'!$H$7:$H$46&lt;&gt;""),--('Year Plan'!$H$7:$H$46&lt;=AR$3+6),--('Year Plan'!$I$7:$I$46&gt;=AR$3)))</f>
        <v/>
      </c>
      <c r="AS34" s="45" t="str">
        <f aca="false">IF($A34="","",SUMPRODUCT(--ISNUMBER(SEARCH(","&amp;SUBSTITUTE($A34," ","")&amp;",",'Year Plan'!$BM$7:$BM$46)),--('Year Plan'!$H$7:$H$46&lt;&gt;""),--('Year Plan'!$H$7:$H$46&lt;=AS$3+6),--('Year Plan'!$I$7:$I$46&gt;=AS$3)))</f>
        <v/>
      </c>
      <c r="AT34" s="45" t="str">
        <f aca="false">IF($A34="","",SUMPRODUCT(--ISNUMBER(SEARCH(","&amp;SUBSTITUTE($A34," ","")&amp;",",'Year Plan'!$BM$7:$BM$46)),--('Year Plan'!$H$7:$H$46&lt;&gt;""),--('Year Plan'!$H$7:$H$46&lt;=AT$3+6),--('Year Plan'!$I$7:$I$46&gt;=AT$3)))</f>
        <v/>
      </c>
      <c r="AU34" s="45" t="str">
        <f aca="false">IF($A34="","",SUMPRODUCT(--ISNUMBER(SEARCH(","&amp;SUBSTITUTE($A34," ","")&amp;",",'Year Plan'!$BM$7:$BM$46)),--('Year Plan'!$H$7:$H$46&lt;&gt;""),--('Year Plan'!$H$7:$H$46&lt;=AU$3+6),--('Year Plan'!$I$7:$I$46&gt;=AU$3)))</f>
        <v/>
      </c>
      <c r="AV34" s="45" t="str">
        <f aca="false">IF($A34="","",SUMPRODUCT(--ISNUMBER(SEARCH(","&amp;SUBSTITUTE($A34," ","")&amp;",",'Year Plan'!$BM$7:$BM$46)),--('Year Plan'!$H$7:$H$46&lt;&gt;""),--('Year Plan'!$H$7:$H$46&lt;=AV$3+6),--('Year Plan'!$I$7:$I$46&gt;=AV$3)))</f>
        <v/>
      </c>
      <c r="AW34" s="45" t="str">
        <f aca="false">IF($A34="","",SUMPRODUCT(--ISNUMBER(SEARCH(","&amp;SUBSTITUTE($A34," ","")&amp;",",'Year Plan'!$BM$7:$BM$46)),--('Year Plan'!$H$7:$H$46&lt;&gt;""),--('Year Plan'!$H$7:$H$46&lt;=AW$3+6),--('Year Plan'!$I$7:$I$46&gt;=AW$3)))</f>
        <v/>
      </c>
      <c r="AX34" s="45" t="str">
        <f aca="false">IF($A34="","",SUMPRODUCT(--ISNUMBER(SEARCH(","&amp;SUBSTITUTE($A34," ","")&amp;",",'Year Plan'!$BM$7:$BM$46)),--('Year Plan'!$H$7:$H$46&lt;&gt;""),--('Year Plan'!$H$7:$H$46&lt;=AX$3+6),--('Year Plan'!$I$7:$I$46&gt;=AX$3)))</f>
        <v/>
      </c>
      <c r="AY34" s="45" t="str">
        <f aca="false">IF($A34="","",SUMPRODUCT(--ISNUMBER(SEARCH(","&amp;SUBSTITUTE($A34," ","")&amp;",",'Year Plan'!$BM$7:$BM$46)),--('Year Plan'!$H$7:$H$46&lt;&gt;""),--('Year Plan'!$H$7:$H$46&lt;=AY$3+6),--('Year Plan'!$I$7:$I$46&gt;=AY$3)))</f>
        <v/>
      </c>
      <c r="AZ34" s="45" t="str">
        <f aca="false">IF($A34="","",SUMPRODUCT(--ISNUMBER(SEARCH(","&amp;SUBSTITUTE($A34," ","")&amp;",",'Year Plan'!$BM$7:$BM$46)),--('Year Plan'!$H$7:$H$46&lt;&gt;""),--('Year Plan'!$H$7:$H$46&lt;=AZ$3+6),--('Year Plan'!$I$7:$I$46&gt;=AZ$3)))</f>
        <v/>
      </c>
      <c r="BA34" s="45" t="str">
        <f aca="false">IF($A34="","",SUMPRODUCT(--ISNUMBER(SEARCH(","&amp;SUBSTITUTE($A34," ","")&amp;",",'Year Plan'!$BM$7:$BM$46)),--('Year Plan'!$H$7:$H$46&lt;&gt;""),--('Year Plan'!$H$7:$H$46&lt;=BA$3+6),--('Year Plan'!$I$7:$I$46&gt;=BA$3)))</f>
        <v/>
      </c>
      <c r="BB34" s="45" t="str">
        <f aca="false">IF($A34="","",SUMPRODUCT(--ISNUMBER(SEARCH(","&amp;SUBSTITUTE($A34," ","")&amp;",",'Year Plan'!$BM$7:$BM$46)),--('Year Plan'!$H$7:$H$46&lt;&gt;""),--('Year Plan'!$H$7:$H$46&lt;=BB$3+6),--('Year Plan'!$I$7:$I$46&gt;=BB$3)))</f>
        <v/>
      </c>
      <c r="BC34" s="45" t="str">
        <f aca="false">IF($A34="","",SUMPRODUCT(--ISNUMBER(SEARCH(","&amp;SUBSTITUTE($A34," ","")&amp;",",'Year Plan'!$BM$7:$BM$46)),--('Year Plan'!$H$7:$H$46&lt;&gt;""),--('Year Plan'!$H$7:$H$46&lt;=BC$3+6),--('Year Plan'!$I$7:$I$46&gt;=BC$3)))</f>
        <v/>
      </c>
    </row>
    <row r="35" customFormat="false" ht="19.5" hidden="false" customHeight="true" outlineLevel="0" collapsed="false">
      <c r="A35" s="39" t="str">
        <f aca="false">IF(Setup!$B$39="","",Setup!$B$39)</f>
        <v/>
      </c>
      <c r="B35" s="39" t="str">
        <f aca="false">IF(Setup!$B$39="","",Setup!$C$39)</f>
        <v/>
      </c>
      <c r="C35" s="44" t="str">
        <f aca="false">IF($A35="","",SUMPRODUCT(--ISNUMBER(SEARCH(","&amp;SUBSTITUTE($A35," ","")&amp;",",'Year Plan'!$BM$7:$BM$46))))</f>
        <v/>
      </c>
      <c r="D35" s="45" t="str">
        <f aca="false">IF($A35="","",SUMPRODUCT(--ISNUMBER(SEARCH(","&amp;SUBSTITUTE($A35," ","")&amp;",",'Year Plan'!$BM$7:$BM$46)),--('Year Plan'!$H$7:$H$46&lt;&gt;""),--('Year Plan'!$H$7:$H$46&lt;=D$3+6),--('Year Plan'!$I$7:$I$46&gt;=D$3)))</f>
        <v/>
      </c>
      <c r="E35" s="45" t="str">
        <f aca="false">IF($A35="","",SUMPRODUCT(--ISNUMBER(SEARCH(","&amp;SUBSTITUTE($A35," ","")&amp;",",'Year Plan'!$BM$7:$BM$46)),--('Year Plan'!$H$7:$H$46&lt;&gt;""),--('Year Plan'!$H$7:$H$46&lt;=E$3+6),--('Year Plan'!$I$7:$I$46&gt;=E$3)))</f>
        <v/>
      </c>
      <c r="F35" s="45" t="str">
        <f aca="false">IF($A35="","",SUMPRODUCT(--ISNUMBER(SEARCH(","&amp;SUBSTITUTE($A35," ","")&amp;",",'Year Plan'!$BM$7:$BM$46)),--('Year Plan'!$H$7:$H$46&lt;&gt;""),--('Year Plan'!$H$7:$H$46&lt;=F$3+6),--('Year Plan'!$I$7:$I$46&gt;=F$3)))</f>
        <v/>
      </c>
      <c r="G35" s="45" t="str">
        <f aca="false">IF($A35="","",SUMPRODUCT(--ISNUMBER(SEARCH(","&amp;SUBSTITUTE($A35," ","")&amp;",",'Year Plan'!$BM$7:$BM$46)),--('Year Plan'!$H$7:$H$46&lt;&gt;""),--('Year Plan'!$H$7:$H$46&lt;=G$3+6),--('Year Plan'!$I$7:$I$46&gt;=G$3)))</f>
        <v/>
      </c>
      <c r="H35" s="45" t="str">
        <f aca="false">IF($A35="","",SUMPRODUCT(--ISNUMBER(SEARCH(","&amp;SUBSTITUTE($A35," ","")&amp;",",'Year Plan'!$BM$7:$BM$46)),--('Year Plan'!$H$7:$H$46&lt;&gt;""),--('Year Plan'!$H$7:$H$46&lt;=H$3+6),--('Year Plan'!$I$7:$I$46&gt;=H$3)))</f>
        <v/>
      </c>
      <c r="I35" s="45" t="str">
        <f aca="false">IF($A35="","",SUMPRODUCT(--ISNUMBER(SEARCH(","&amp;SUBSTITUTE($A35," ","")&amp;",",'Year Plan'!$BM$7:$BM$46)),--('Year Plan'!$H$7:$H$46&lt;&gt;""),--('Year Plan'!$H$7:$H$46&lt;=I$3+6),--('Year Plan'!$I$7:$I$46&gt;=I$3)))</f>
        <v/>
      </c>
      <c r="J35" s="45" t="str">
        <f aca="false">IF($A35="","",SUMPRODUCT(--ISNUMBER(SEARCH(","&amp;SUBSTITUTE($A35," ","")&amp;",",'Year Plan'!$BM$7:$BM$46)),--('Year Plan'!$H$7:$H$46&lt;&gt;""),--('Year Plan'!$H$7:$H$46&lt;=J$3+6),--('Year Plan'!$I$7:$I$46&gt;=J$3)))</f>
        <v/>
      </c>
      <c r="K35" s="45" t="str">
        <f aca="false">IF($A35="","",SUMPRODUCT(--ISNUMBER(SEARCH(","&amp;SUBSTITUTE($A35," ","")&amp;",",'Year Plan'!$BM$7:$BM$46)),--('Year Plan'!$H$7:$H$46&lt;&gt;""),--('Year Plan'!$H$7:$H$46&lt;=K$3+6),--('Year Plan'!$I$7:$I$46&gt;=K$3)))</f>
        <v/>
      </c>
      <c r="L35" s="45" t="str">
        <f aca="false">IF($A35="","",SUMPRODUCT(--ISNUMBER(SEARCH(","&amp;SUBSTITUTE($A35," ","")&amp;",",'Year Plan'!$BM$7:$BM$46)),--('Year Plan'!$H$7:$H$46&lt;&gt;""),--('Year Plan'!$H$7:$H$46&lt;=L$3+6),--('Year Plan'!$I$7:$I$46&gt;=L$3)))</f>
        <v/>
      </c>
      <c r="M35" s="45" t="str">
        <f aca="false">IF($A35="","",SUMPRODUCT(--ISNUMBER(SEARCH(","&amp;SUBSTITUTE($A35," ","")&amp;",",'Year Plan'!$BM$7:$BM$46)),--('Year Plan'!$H$7:$H$46&lt;&gt;""),--('Year Plan'!$H$7:$H$46&lt;=M$3+6),--('Year Plan'!$I$7:$I$46&gt;=M$3)))</f>
        <v/>
      </c>
      <c r="N35" s="45" t="str">
        <f aca="false">IF($A35="","",SUMPRODUCT(--ISNUMBER(SEARCH(","&amp;SUBSTITUTE($A35," ","")&amp;",",'Year Plan'!$BM$7:$BM$46)),--('Year Plan'!$H$7:$H$46&lt;&gt;""),--('Year Plan'!$H$7:$H$46&lt;=N$3+6),--('Year Plan'!$I$7:$I$46&gt;=N$3)))</f>
        <v/>
      </c>
      <c r="O35" s="45" t="str">
        <f aca="false">IF($A35="","",SUMPRODUCT(--ISNUMBER(SEARCH(","&amp;SUBSTITUTE($A35," ","")&amp;",",'Year Plan'!$BM$7:$BM$46)),--('Year Plan'!$H$7:$H$46&lt;&gt;""),--('Year Plan'!$H$7:$H$46&lt;=O$3+6),--('Year Plan'!$I$7:$I$46&gt;=O$3)))</f>
        <v/>
      </c>
      <c r="P35" s="45" t="str">
        <f aca="false">IF($A35="","",SUMPRODUCT(--ISNUMBER(SEARCH(","&amp;SUBSTITUTE($A35," ","")&amp;",",'Year Plan'!$BM$7:$BM$46)),--('Year Plan'!$H$7:$H$46&lt;&gt;""),--('Year Plan'!$H$7:$H$46&lt;=P$3+6),--('Year Plan'!$I$7:$I$46&gt;=P$3)))</f>
        <v/>
      </c>
      <c r="Q35" s="45" t="str">
        <f aca="false">IF($A35="","",SUMPRODUCT(--ISNUMBER(SEARCH(","&amp;SUBSTITUTE($A35," ","")&amp;",",'Year Plan'!$BM$7:$BM$46)),--('Year Plan'!$H$7:$H$46&lt;&gt;""),--('Year Plan'!$H$7:$H$46&lt;=Q$3+6),--('Year Plan'!$I$7:$I$46&gt;=Q$3)))</f>
        <v/>
      </c>
      <c r="R35" s="45" t="str">
        <f aca="false">IF($A35="","",SUMPRODUCT(--ISNUMBER(SEARCH(","&amp;SUBSTITUTE($A35," ","")&amp;",",'Year Plan'!$BM$7:$BM$46)),--('Year Plan'!$H$7:$H$46&lt;&gt;""),--('Year Plan'!$H$7:$H$46&lt;=R$3+6),--('Year Plan'!$I$7:$I$46&gt;=R$3)))</f>
        <v/>
      </c>
      <c r="S35" s="45" t="str">
        <f aca="false">IF($A35="","",SUMPRODUCT(--ISNUMBER(SEARCH(","&amp;SUBSTITUTE($A35," ","")&amp;",",'Year Plan'!$BM$7:$BM$46)),--('Year Plan'!$H$7:$H$46&lt;&gt;""),--('Year Plan'!$H$7:$H$46&lt;=S$3+6),--('Year Plan'!$I$7:$I$46&gt;=S$3)))</f>
        <v/>
      </c>
      <c r="T35" s="45" t="str">
        <f aca="false">IF($A35="","",SUMPRODUCT(--ISNUMBER(SEARCH(","&amp;SUBSTITUTE($A35," ","")&amp;",",'Year Plan'!$BM$7:$BM$46)),--('Year Plan'!$H$7:$H$46&lt;&gt;""),--('Year Plan'!$H$7:$H$46&lt;=T$3+6),--('Year Plan'!$I$7:$I$46&gt;=T$3)))</f>
        <v/>
      </c>
      <c r="U35" s="45" t="str">
        <f aca="false">IF($A35="","",SUMPRODUCT(--ISNUMBER(SEARCH(","&amp;SUBSTITUTE($A35," ","")&amp;",",'Year Plan'!$BM$7:$BM$46)),--('Year Plan'!$H$7:$H$46&lt;&gt;""),--('Year Plan'!$H$7:$H$46&lt;=U$3+6),--('Year Plan'!$I$7:$I$46&gt;=U$3)))</f>
        <v/>
      </c>
      <c r="V35" s="45" t="str">
        <f aca="false">IF($A35="","",SUMPRODUCT(--ISNUMBER(SEARCH(","&amp;SUBSTITUTE($A35," ","")&amp;",",'Year Plan'!$BM$7:$BM$46)),--('Year Plan'!$H$7:$H$46&lt;&gt;""),--('Year Plan'!$H$7:$H$46&lt;=V$3+6),--('Year Plan'!$I$7:$I$46&gt;=V$3)))</f>
        <v/>
      </c>
      <c r="W35" s="45" t="str">
        <f aca="false">IF($A35="","",SUMPRODUCT(--ISNUMBER(SEARCH(","&amp;SUBSTITUTE($A35," ","")&amp;",",'Year Plan'!$BM$7:$BM$46)),--('Year Plan'!$H$7:$H$46&lt;&gt;""),--('Year Plan'!$H$7:$H$46&lt;=W$3+6),--('Year Plan'!$I$7:$I$46&gt;=W$3)))</f>
        <v/>
      </c>
      <c r="X35" s="45" t="str">
        <f aca="false">IF($A35="","",SUMPRODUCT(--ISNUMBER(SEARCH(","&amp;SUBSTITUTE($A35," ","")&amp;",",'Year Plan'!$BM$7:$BM$46)),--('Year Plan'!$H$7:$H$46&lt;&gt;""),--('Year Plan'!$H$7:$H$46&lt;=X$3+6),--('Year Plan'!$I$7:$I$46&gt;=X$3)))</f>
        <v/>
      </c>
      <c r="Y35" s="45" t="str">
        <f aca="false">IF($A35="","",SUMPRODUCT(--ISNUMBER(SEARCH(","&amp;SUBSTITUTE($A35," ","")&amp;",",'Year Plan'!$BM$7:$BM$46)),--('Year Plan'!$H$7:$H$46&lt;&gt;""),--('Year Plan'!$H$7:$H$46&lt;=Y$3+6),--('Year Plan'!$I$7:$I$46&gt;=Y$3)))</f>
        <v/>
      </c>
      <c r="Z35" s="45" t="str">
        <f aca="false">IF($A35="","",SUMPRODUCT(--ISNUMBER(SEARCH(","&amp;SUBSTITUTE($A35," ","")&amp;",",'Year Plan'!$BM$7:$BM$46)),--('Year Plan'!$H$7:$H$46&lt;&gt;""),--('Year Plan'!$H$7:$H$46&lt;=Z$3+6),--('Year Plan'!$I$7:$I$46&gt;=Z$3)))</f>
        <v/>
      </c>
      <c r="AA35" s="45" t="str">
        <f aca="false">IF($A35="","",SUMPRODUCT(--ISNUMBER(SEARCH(","&amp;SUBSTITUTE($A35," ","")&amp;",",'Year Plan'!$BM$7:$BM$46)),--('Year Plan'!$H$7:$H$46&lt;&gt;""),--('Year Plan'!$H$7:$H$46&lt;=AA$3+6),--('Year Plan'!$I$7:$I$46&gt;=AA$3)))</f>
        <v/>
      </c>
      <c r="AB35" s="45" t="str">
        <f aca="false">IF($A35="","",SUMPRODUCT(--ISNUMBER(SEARCH(","&amp;SUBSTITUTE($A35," ","")&amp;",",'Year Plan'!$BM$7:$BM$46)),--('Year Plan'!$H$7:$H$46&lt;&gt;""),--('Year Plan'!$H$7:$H$46&lt;=AB$3+6),--('Year Plan'!$I$7:$I$46&gt;=AB$3)))</f>
        <v/>
      </c>
      <c r="AC35" s="45" t="str">
        <f aca="false">IF($A35="","",SUMPRODUCT(--ISNUMBER(SEARCH(","&amp;SUBSTITUTE($A35," ","")&amp;",",'Year Plan'!$BM$7:$BM$46)),--('Year Plan'!$H$7:$H$46&lt;&gt;""),--('Year Plan'!$H$7:$H$46&lt;=AC$3+6),--('Year Plan'!$I$7:$I$46&gt;=AC$3)))</f>
        <v/>
      </c>
      <c r="AD35" s="45" t="str">
        <f aca="false">IF($A35="","",SUMPRODUCT(--ISNUMBER(SEARCH(","&amp;SUBSTITUTE($A35," ","")&amp;",",'Year Plan'!$BM$7:$BM$46)),--('Year Plan'!$H$7:$H$46&lt;&gt;""),--('Year Plan'!$H$7:$H$46&lt;=AD$3+6),--('Year Plan'!$I$7:$I$46&gt;=AD$3)))</f>
        <v/>
      </c>
      <c r="AE35" s="45" t="str">
        <f aca="false">IF($A35="","",SUMPRODUCT(--ISNUMBER(SEARCH(","&amp;SUBSTITUTE($A35," ","")&amp;",",'Year Plan'!$BM$7:$BM$46)),--('Year Plan'!$H$7:$H$46&lt;&gt;""),--('Year Plan'!$H$7:$H$46&lt;=AE$3+6),--('Year Plan'!$I$7:$I$46&gt;=AE$3)))</f>
        <v/>
      </c>
      <c r="AF35" s="45" t="str">
        <f aca="false">IF($A35="","",SUMPRODUCT(--ISNUMBER(SEARCH(","&amp;SUBSTITUTE($A35," ","")&amp;",",'Year Plan'!$BM$7:$BM$46)),--('Year Plan'!$H$7:$H$46&lt;&gt;""),--('Year Plan'!$H$7:$H$46&lt;=AF$3+6),--('Year Plan'!$I$7:$I$46&gt;=AF$3)))</f>
        <v/>
      </c>
      <c r="AG35" s="45" t="str">
        <f aca="false">IF($A35="","",SUMPRODUCT(--ISNUMBER(SEARCH(","&amp;SUBSTITUTE($A35," ","")&amp;",",'Year Plan'!$BM$7:$BM$46)),--('Year Plan'!$H$7:$H$46&lt;&gt;""),--('Year Plan'!$H$7:$H$46&lt;=AG$3+6),--('Year Plan'!$I$7:$I$46&gt;=AG$3)))</f>
        <v/>
      </c>
      <c r="AH35" s="45" t="str">
        <f aca="false">IF($A35="","",SUMPRODUCT(--ISNUMBER(SEARCH(","&amp;SUBSTITUTE($A35," ","")&amp;",",'Year Plan'!$BM$7:$BM$46)),--('Year Plan'!$H$7:$H$46&lt;&gt;""),--('Year Plan'!$H$7:$H$46&lt;=AH$3+6),--('Year Plan'!$I$7:$I$46&gt;=AH$3)))</f>
        <v/>
      </c>
      <c r="AI35" s="45" t="str">
        <f aca="false">IF($A35="","",SUMPRODUCT(--ISNUMBER(SEARCH(","&amp;SUBSTITUTE($A35," ","")&amp;",",'Year Plan'!$BM$7:$BM$46)),--('Year Plan'!$H$7:$H$46&lt;&gt;""),--('Year Plan'!$H$7:$H$46&lt;=AI$3+6),--('Year Plan'!$I$7:$I$46&gt;=AI$3)))</f>
        <v/>
      </c>
      <c r="AJ35" s="45" t="str">
        <f aca="false">IF($A35="","",SUMPRODUCT(--ISNUMBER(SEARCH(","&amp;SUBSTITUTE($A35," ","")&amp;",",'Year Plan'!$BM$7:$BM$46)),--('Year Plan'!$H$7:$H$46&lt;&gt;""),--('Year Plan'!$H$7:$H$46&lt;=AJ$3+6),--('Year Plan'!$I$7:$I$46&gt;=AJ$3)))</f>
        <v/>
      </c>
      <c r="AK35" s="45" t="str">
        <f aca="false">IF($A35="","",SUMPRODUCT(--ISNUMBER(SEARCH(","&amp;SUBSTITUTE($A35," ","")&amp;",",'Year Plan'!$BM$7:$BM$46)),--('Year Plan'!$H$7:$H$46&lt;&gt;""),--('Year Plan'!$H$7:$H$46&lt;=AK$3+6),--('Year Plan'!$I$7:$I$46&gt;=AK$3)))</f>
        <v/>
      </c>
      <c r="AL35" s="45" t="str">
        <f aca="false">IF($A35="","",SUMPRODUCT(--ISNUMBER(SEARCH(","&amp;SUBSTITUTE($A35," ","")&amp;",",'Year Plan'!$BM$7:$BM$46)),--('Year Plan'!$H$7:$H$46&lt;&gt;""),--('Year Plan'!$H$7:$H$46&lt;=AL$3+6),--('Year Plan'!$I$7:$I$46&gt;=AL$3)))</f>
        <v/>
      </c>
      <c r="AM35" s="45" t="str">
        <f aca="false">IF($A35="","",SUMPRODUCT(--ISNUMBER(SEARCH(","&amp;SUBSTITUTE($A35," ","")&amp;",",'Year Plan'!$BM$7:$BM$46)),--('Year Plan'!$H$7:$H$46&lt;&gt;""),--('Year Plan'!$H$7:$H$46&lt;=AM$3+6),--('Year Plan'!$I$7:$I$46&gt;=AM$3)))</f>
        <v/>
      </c>
      <c r="AN35" s="45" t="str">
        <f aca="false">IF($A35="","",SUMPRODUCT(--ISNUMBER(SEARCH(","&amp;SUBSTITUTE($A35," ","")&amp;",",'Year Plan'!$BM$7:$BM$46)),--('Year Plan'!$H$7:$H$46&lt;&gt;""),--('Year Plan'!$H$7:$H$46&lt;=AN$3+6),--('Year Plan'!$I$7:$I$46&gt;=AN$3)))</f>
        <v/>
      </c>
      <c r="AO35" s="45" t="str">
        <f aca="false">IF($A35="","",SUMPRODUCT(--ISNUMBER(SEARCH(","&amp;SUBSTITUTE($A35," ","")&amp;",",'Year Plan'!$BM$7:$BM$46)),--('Year Plan'!$H$7:$H$46&lt;&gt;""),--('Year Plan'!$H$7:$H$46&lt;=AO$3+6),--('Year Plan'!$I$7:$I$46&gt;=AO$3)))</f>
        <v/>
      </c>
      <c r="AP35" s="45" t="str">
        <f aca="false">IF($A35="","",SUMPRODUCT(--ISNUMBER(SEARCH(","&amp;SUBSTITUTE($A35," ","")&amp;",",'Year Plan'!$BM$7:$BM$46)),--('Year Plan'!$H$7:$H$46&lt;&gt;""),--('Year Plan'!$H$7:$H$46&lt;=AP$3+6),--('Year Plan'!$I$7:$I$46&gt;=AP$3)))</f>
        <v/>
      </c>
      <c r="AQ35" s="45" t="str">
        <f aca="false">IF($A35="","",SUMPRODUCT(--ISNUMBER(SEARCH(","&amp;SUBSTITUTE($A35," ","")&amp;",",'Year Plan'!$BM$7:$BM$46)),--('Year Plan'!$H$7:$H$46&lt;&gt;""),--('Year Plan'!$H$7:$H$46&lt;=AQ$3+6),--('Year Plan'!$I$7:$I$46&gt;=AQ$3)))</f>
        <v/>
      </c>
      <c r="AR35" s="45" t="str">
        <f aca="false">IF($A35="","",SUMPRODUCT(--ISNUMBER(SEARCH(","&amp;SUBSTITUTE($A35," ","")&amp;",",'Year Plan'!$BM$7:$BM$46)),--('Year Plan'!$H$7:$H$46&lt;&gt;""),--('Year Plan'!$H$7:$H$46&lt;=AR$3+6),--('Year Plan'!$I$7:$I$46&gt;=AR$3)))</f>
        <v/>
      </c>
      <c r="AS35" s="45" t="str">
        <f aca="false">IF($A35="","",SUMPRODUCT(--ISNUMBER(SEARCH(","&amp;SUBSTITUTE($A35," ","")&amp;",",'Year Plan'!$BM$7:$BM$46)),--('Year Plan'!$H$7:$H$46&lt;&gt;""),--('Year Plan'!$H$7:$H$46&lt;=AS$3+6),--('Year Plan'!$I$7:$I$46&gt;=AS$3)))</f>
        <v/>
      </c>
      <c r="AT35" s="45" t="str">
        <f aca="false">IF($A35="","",SUMPRODUCT(--ISNUMBER(SEARCH(","&amp;SUBSTITUTE($A35," ","")&amp;",",'Year Plan'!$BM$7:$BM$46)),--('Year Plan'!$H$7:$H$46&lt;&gt;""),--('Year Plan'!$H$7:$H$46&lt;=AT$3+6),--('Year Plan'!$I$7:$I$46&gt;=AT$3)))</f>
        <v/>
      </c>
      <c r="AU35" s="45" t="str">
        <f aca="false">IF($A35="","",SUMPRODUCT(--ISNUMBER(SEARCH(","&amp;SUBSTITUTE($A35," ","")&amp;",",'Year Plan'!$BM$7:$BM$46)),--('Year Plan'!$H$7:$H$46&lt;&gt;""),--('Year Plan'!$H$7:$H$46&lt;=AU$3+6),--('Year Plan'!$I$7:$I$46&gt;=AU$3)))</f>
        <v/>
      </c>
      <c r="AV35" s="45" t="str">
        <f aca="false">IF($A35="","",SUMPRODUCT(--ISNUMBER(SEARCH(","&amp;SUBSTITUTE($A35," ","")&amp;",",'Year Plan'!$BM$7:$BM$46)),--('Year Plan'!$H$7:$H$46&lt;&gt;""),--('Year Plan'!$H$7:$H$46&lt;=AV$3+6),--('Year Plan'!$I$7:$I$46&gt;=AV$3)))</f>
        <v/>
      </c>
      <c r="AW35" s="45" t="str">
        <f aca="false">IF($A35="","",SUMPRODUCT(--ISNUMBER(SEARCH(","&amp;SUBSTITUTE($A35," ","")&amp;",",'Year Plan'!$BM$7:$BM$46)),--('Year Plan'!$H$7:$H$46&lt;&gt;""),--('Year Plan'!$H$7:$H$46&lt;=AW$3+6),--('Year Plan'!$I$7:$I$46&gt;=AW$3)))</f>
        <v/>
      </c>
      <c r="AX35" s="45" t="str">
        <f aca="false">IF($A35="","",SUMPRODUCT(--ISNUMBER(SEARCH(","&amp;SUBSTITUTE($A35," ","")&amp;",",'Year Plan'!$BM$7:$BM$46)),--('Year Plan'!$H$7:$H$46&lt;&gt;""),--('Year Plan'!$H$7:$H$46&lt;=AX$3+6),--('Year Plan'!$I$7:$I$46&gt;=AX$3)))</f>
        <v/>
      </c>
      <c r="AY35" s="45" t="str">
        <f aca="false">IF($A35="","",SUMPRODUCT(--ISNUMBER(SEARCH(","&amp;SUBSTITUTE($A35," ","")&amp;",",'Year Plan'!$BM$7:$BM$46)),--('Year Plan'!$H$7:$H$46&lt;&gt;""),--('Year Plan'!$H$7:$H$46&lt;=AY$3+6),--('Year Plan'!$I$7:$I$46&gt;=AY$3)))</f>
        <v/>
      </c>
      <c r="AZ35" s="45" t="str">
        <f aca="false">IF($A35="","",SUMPRODUCT(--ISNUMBER(SEARCH(","&amp;SUBSTITUTE($A35," ","")&amp;",",'Year Plan'!$BM$7:$BM$46)),--('Year Plan'!$H$7:$H$46&lt;&gt;""),--('Year Plan'!$H$7:$H$46&lt;=AZ$3+6),--('Year Plan'!$I$7:$I$46&gt;=AZ$3)))</f>
        <v/>
      </c>
      <c r="BA35" s="45" t="str">
        <f aca="false">IF($A35="","",SUMPRODUCT(--ISNUMBER(SEARCH(","&amp;SUBSTITUTE($A35," ","")&amp;",",'Year Plan'!$BM$7:$BM$46)),--('Year Plan'!$H$7:$H$46&lt;&gt;""),--('Year Plan'!$H$7:$H$46&lt;=BA$3+6),--('Year Plan'!$I$7:$I$46&gt;=BA$3)))</f>
        <v/>
      </c>
      <c r="BB35" s="45" t="str">
        <f aca="false">IF($A35="","",SUMPRODUCT(--ISNUMBER(SEARCH(","&amp;SUBSTITUTE($A35," ","")&amp;",",'Year Plan'!$BM$7:$BM$46)),--('Year Plan'!$H$7:$H$46&lt;&gt;""),--('Year Plan'!$H$7:$H$46&lt;=BB$3+6),--('Year Plan'!$I$7:$I$46&gt;=BB$3)))</f>
        <v/>
      </c>
      <c r="BC35" s="45" t="str">
        <f aca="false">IF($A35="","",SUMPRODUCT(--ISNUMBER(SEARCH(","&amp;SUBSTITUTE($A35," ","")&amp;",",'Year Plan'!$BM$7:$BM$46)),--('Year Plan'!$H$7:$H$46&lt;&gt;""),--('Year Plan'!$H$7:$H$46&lt;=BC$3+6),--('Year Plan'!$I$7:$I$46&gt;=BC$3)))</f>
        <v/>
      </c>
    </row>
    <row r="36" customFormat="false" ht="19.5" hidden="false" customHeight="true" outlineLevel="0" collapsed="false">
      <c r="A36" s="39" t="str">
        <f aca="false">IF(Setup!$B$40="","",Setup!$B$40)</f>
        <v/>
      </c>
      <c r="B36" s="39" t="str">
        <f aca="false">IF(Setup!$B$40="","",Setup!$C$40)</f>
        <v/>
      </c>
      <c r="C36" s="44" t="str">
        <f aca="false">IF($A36="","",SUMPRODUCT(--ISNUMBER(SEARCH(","&amp;SUBSTITUTE($A36," ","")&amp;",",'Year Plan'!$BM$7:$BM$46))))</f>
        <v/>
      </c>
      <c r="D36" s="45" t="str">
        <f aca="false">IF($A36="","",SUMPRODUCT(--ISNUMBER(SEARCH(","&amp;SUBSTITUTE($A36," ","")&amp;",",'Year Plan'!$BM$7:$BM$46)),--('Year Plan'!$H$7:$H$46&lt;&gt;""),--('Year Plan'!$H$7:$H$46&lt;=D$3+6),--('Year Plan'!$I$7:$I$46&gt;=D$3)))</f>
        <v/>
      </c>
      <c r="E36" s="45" t="str">
        <f aca="false">IF($A36="","",SUMPRODUCT(--ISNUMBER(SEARCH(","&amp;SUBSTITUTE($A36," ","")&amp;",",'Year Plan'!$BM$7:$BM$46)),--('Year Plan'!$H$7:$H$46&lt;&gt;""),--('Year Plan'!$H$7:$H$46&lt;=E$3+6),--('Year Plan'!$I$7:$I$46&gt;=E$3)))</f>
        <v/>
      </c>
      <c r="F36" s="45" t="str">
        <f aca="false">IF($A36="","",SUMPRODUCT(--ISNUMBER(SEARCH(","&amp;SUBSTITUTE($A36," ","")&amp;",",'Year Plan'!$BM$7:$BM$46)),--('Year Plan'!$H$7:$H$46&lt;&gt;""),--('Year Plan'!$H$7:$H$46&lt;=F$3+6),--('Year Plan'!$I$7:$I$46&gt;=F$3)))</f>
        <v/>
      </c>
      <c r="G36" s="45" t="str">
        <f aca="false">IF($A36="","",SUMPRODUCT(--ISNUMBER(SEARCH(","&amp;SUBSTITUTE($A36," ","")&amp;",",'Year Plan'!$BM$7:$BM$46)),--('Year Plan'!$H$7:$H$46&lt;&gt;""),--('Year Plan'!$H$7:$H$46&lt;=G$3+6),--('Year Plan'!$I$7:$I$46&gt;=G$3)))</f>
        <v/>
      </c>
      <c r="H36" s="45" t="str">
        <f aca="false">IF($A36="","",SUMPRODUCT(--ISNUMBER(SEARCH(","&amp;SUBSTITUTE($A36," ","")&amp;",",'Year Plan'!$BM$7:$BM$46)),--('Year Plan'!$H$7:$H$46&lt;&gt;""),--('Year Plan'!$H$7:$H$46&lt;=H$3+6),--('Year Plan'!$I$7:$I$46&gt;=H$3)))</f>
        <v/>
      </c>
      <c r="I36" s="45" t="str">
        <f aca="false">IF($A36="","",SUMPRODUCT(--ISNUMBER(SEARCH(","&amp;SUBSTITUTE($A36," ","")&amp;",",'Year Plan'!$BM$7:$BM$46)),--('Year Plan'!$H$7:$H$46&lt;&gt;""),--('Year Plan'!$H$7:$H$46&lt;=I$3+6),--('Year Plan'!$I$7:$I$46&gt;=I$3)))</f>
        <v/>
      </c>
      <c r="J36" s="45" t="str">
        <f aca="false">IF($A36="","",SUMPRODUCT(--ISNUMBER(SEARCH(","&amp;SUBSTITUTE($A36," ","")&amp;",",'Year Plan'!$BM$7:$BM$46)),--('Year Plan'!$H$7:$H$46&lt;&gt;""),--('Year Plan'!$H$7:$H$46&lt;=J$3+6),--('Year Plan'!$I$7:$I$46&gt;=J$3)))</f>
        <v/>
      </c>
      <c r="K36" s="45" t="str">
        <f aca="false">IF($A36="","",SUMPRODUCT(--ISNUMBER(SEARCH(","&amp;SUBSTITUTE($A36," ","")&amp;",",'Year Plan'!$BM$7:$BM$46)),--('Year Plan'!$H$7:$H$46&lt;&gt;""),--('Year Plan'!$H$7:$H$46&lt;=K$3+6),--('Year Plan'!$I$7:$I$46&gt;=K$3)))</f>
        <v/>
      </c>
      <c r="L36" s="45" t="str">
        <f aca="false">IF($A36="","",SUMPRODUCT(--ISNUMBER(SEARCH(","&amp;SUBSTITUTE($A36," ","")&amp;",",'Year Plan'!$BM$7:$BM$46)),--('Year Plan'!$H$7:$H$46&lt;&gt;""),--('Year Plan'!$H$7:$H$46&lt;=L$3+6),--('Year Plan'!$I$7:$I$46&gt;=L$3)))</f>
        <v/>
      </c>
      <c r="M36" s="45" t="str">
        <f aca="false">IF($A36="","",SUMPRODUCT(--ISNUMBER(SEARCH(","&amp;SUBSTITUTE($A36," ","")&amp;",",'Year Plan'!$BM$7:$BM$46)),--('Year Plan'!$H$7:$H$46&lt;&gt;""),--('Year Plan'!$H$7:$H$46&lt;=M$3+6),--('Year Plan'!$I$7:$I$46&gt;=M$3)))</f>
        <v/>
      </c>
      <c r="N36" s="45" t="str">
        <f aca="false">IF($A36="","",SUMPRODUCT(--ISNUMBER(SEARCH(","&amp;SUBSTITUTE($A36," ","")&amp;",",'Year Plan'!$BM$7:$BM$46)),--('Year Plan'!$H$7:$H$46&lt;&gt;""),--('Year Plan'!$H$7:$H$46&lt;=N$3+6),--('Year Plan'!$I$7:$I$46&gt;=N$3)))</f>
        <v/>
      </c>
      <c r="O36" s="45" t="str">
        <f aca="false">IF($A36="","",SUMPRODUCT(--ISNUMBER(SEARCH(","&amp;SUBSTITUTE($A36," ","")&amp;",",'Year Plan'!$BM$7:$BM$46)),--('Year Plan'!$H$7:$H$46&lt;&gt;""),--('Year Plan'!$H$7:$H$46&lt;=O$3+6),--('Year Plan'!$I$7:$I$46&gt;=O$3)))</f>
        <v/>
      </c>
      <c r="P36" s="45" t="str">
        <f aca="false">IF($A36="","",SUMPRODUCT(--ISNUMBER(SEARCH(","&amp;SUBSTITUTE($A36," ","")&amp;",",'Year Plan'!$BM$7:$BM$46)),--('Year Plan'!$H$7:$H$46&lt;&gt;""),--('Year Plan'!$H$7:$H$46&lt;=P$3+6),--('Year Plan'!$I$7:$I$46&gt;=P$3)))</f>
        <v/>
      </c>
      <c r="Q36" s="45" t="str">
        <f aca="false">IF($A36="","",SUMPRODUCT(--ISNUMBER(SEARCH(","&amp;SUBSTITUTE($A36," ","")&amp;",",'Year Plan'!$BM$7:$BM$46)),--('Year Plan'!$H$7:$H$46&lt;&gt;""),--('Year Plan'!$H$7:$H$46&lt;=Q$3+6),--('Year Plan'!$I$7:$I$46&gt;=Q$3)))</f>
        <v/>
      </c>
      <c r="R36" s="45" t="str">
        <f aca="false">IF($A36="","",SUMPRODUCT(--ISNUMBER(SEARCH(","&amp;SUBSTITUTE($A36," ","")&amp;",",'Year Plan'!$BM$7:$BM$46)),--('Year Plan'!$H$7:$H$46&lt;&gt;""),--('Year Plan'!$H$7:$H$46&lt;=R$3+6),--('Year Plan'!$I$7:$I$46&gt;=R$3)))</f>
        <v/>
      </c>
      <c r="S36" s="45" t="str">
        <f aca="false">IF($A36="","",SUMPRODUCT(--ISNUMBER(SEARCH(","&amp;SUBSTITUTE($A36," ","")&amp;",",'Year Plan'!$BM$7:$BM$46)),--('Year Plan'!$H$7:$H$46&lt;&gt;""),--('Year Plan'!$H$7:$H$46&lt;=S$3+6),--('Year Plan'!$I$7:$I$46&gt;=S$3)))</f>
        <v/>
      </c>
      <c r="T36" s="45" t="str">
        <f aca="false">IF($A36="","",SUMPRODUCT(--ISNUMBER(SEARCH(","&amp;SUBSTITUTE($A36," ","")&amp;",",'Year Plan'!$BM$7:$BM$46)),--('Year Plan'!$H$7:$H$46&lt;&gt;""),--('Year Plan'!$H$7:$H$46&lt;=T$3+6),--('Year Plan'!$I$7:$I$46&gt;=T$3)))</f>
        <v/>
      </c>
      <c r="U36" s="45" t="str">
        <f aca="false">IF($A36="","",SUMPRODUCT(--ISNUMBER(SEARCH(","&amp;SUBSTITUTE($A36," ","")&amp;",",'Year Plan'!$BM$7:$BM$46)),--('Year Plan'!$H$7:$H$46&lt;&gt;""),--('Year Plan'!$H$7:$H$46&lt;=U$3+6),--('Year Plan'!$I$7:$I$46&gt;=U$3)))</f>
        <v/>
      </c>
      <c r="V36" s="45" t="str">
        <f aca="false">IF($A36="","",SUMPRODUCT(--ISNUMBER(SEARCH(","&amp;SUBSTITUTE($A36," ","")&amp;",",'Year Plan'!$BM$7:$BM$46)),--('Year Plan'!$H$7:$H$46&lt;&gt;""),--('Year Plan'!$H$7:$H$46&lt;=V$3+6),--('Year Plan'!$I$7:$I$46&gt;=V$3)))</f>
        <v/>
      </c>
      <c r="W36" s="45" t="str">
        <f aca="false">IF($A36="","",SUMPRODUCT(--ISNUMBER(SEARCH(","&amp;SUBSTITUTE($A36," ","")&amp;",",'Year Plan'!$BM$7:$BM$46)),--('Year Plan'!$H$7:$H$46&lt;&gt;""),--('Year Plan'!$H$7:$H$46&lt;=W$3+6),--('Year Plan'!$I$7:$I$46&gt;=W$3)))</f>
        <v/>
      </c>
      <c r="X36" s="45" t="str">
        <f aca="false">IF($A36="","",SUMPRODUCT(--ISNUMBER(SEARCH(","&amp;SUBSTITUTE($A36," ","")&amp;",",'Year Plan'!$BM$7:$BM$46)),--('Year Plan'!$H$7:$H$46&lt;&gt;""),--('Year Plan'!$H$7:$H$46&lt;=X$3+6),--('Year Plan'!$I$7:$I$46&gt;=X$3)))</f>
        <v/>
      </c>
      <c r="Y36" s="45" t="str">
        <f aca="false">IF($A36="","",SUMPRODUCT(--ISNUMBER(SEARCH(","&amp;SUBSTITUTE($A36," ","")&amp;",",'Year Plan'!$BM$7:$BM$46)),--('Year Plan'!$H$7:$H$46&lt;&gt;""),--('Year Plan'!$H$7:$H$46&lt;=Y$3+6),--('Year Plan'!$I$7:$I$46&gt;=Y$3)))</f>
        <v/>
      </c>
      <c r="Z36" s="45" t="str">
        <f aca="false">IF($A36="","",SUMPRODUCT(--ISNUMBER(SEARCH(","&amp;SUBSTITUTE($A36," ","")&amp;",",'Year Plan'!$BM$7:$BM$46)),--('Year Plan'!$H$7:$H$46&lt;&gt;""),--('Year Plan'!$H$7:$H$46&lt;=Z$3+6),--('Year Plan'!$I$7:$I$46&gt;=Z$3)))</f>
        <v/>
      </c>
      <c r="AA36" s="45" t="str">
        <f aca="false">IF($A36="","",SUMPRODUCT(--ISNUMBER(SEARCH(","&amp;SUBSTITUTE($A36," ","")&amp;",",'Year Plan'!$BM$7:$BM$46)),--('Year Plan'!$H$7:$H$46&lt;&gt;""),--('Year Plan'!$H$7:$H$46&lt;=AA$3+6),--('Year Plan'!$I$7:$I$46&gt;=AA$3)))</f>
        <v/>
      </c>
      <c r="AB36" s="45" t="str">
        <f aca="false">IF($A36="","",SUMPRODUCT(--ISNUMBER(SEARCH(","&amp;SUBSTITUTE($A36," ","")&amp;",",'Year Plan'!$BM$7:$BM$46)),--('Year Plan'!$H$7:$H$46&lt;&gt;""),--('Year Plan'!$H$7:$H$46&lt;=AB$3+6),--('Year Plan'!$I$7:$I$46&gt;=AB$3)))</f>
        <v/>
      </c>
      <c r="AC36" s="45" t="str">
        <f aca="false">IF($A36="","",SUMPRODUCT(--ISNUMBER(SEARCH(","&amp;SUBSTITUTE($A36," ","")&amp;",",'Year Plan'!$BM$7:$BM$46)),--('Year Plan'!$H$7:$H$46&lt;&gt;""),--('Year Plan'!$H$7:$H$46&lt;=AC$3+6),--('Year Plan'!$I$7:$I$46&gt;=AC$3)))</f>
        <v/>
      </c>
      <c r="AD36" s="45" t="str">
        <f aca="false">IF($A36="","",SUMPRODUCT(--ISNUMBER(SEARCH(","&amp;SUBSTITUTE($A36," ","")&amp;",",'Year Plan'!$BM$7:$BM$46)),--('Year Plan'!$H$7:$H$46&lt;&gt;""),--('Year Plan'!$H$7:$H$46&lt;=AD$3+6),--('Year Plan'!$I$7:$I$46&gt;=AD$3)))</f>
        <v/>
      </c>
      <c r="AE36" s="45" t="str">
        <f aca="false">IF($A36="","",SUMPRODUCT(--ISNUMBER(SEARCH(","&amp;SUBSTITUTE($A36," ","")&amp;",",'Year Plan'!$BM$7:$BM$46)),--('Year Plan'!$H$7:$H$46&lt;&gt;""),--('Year Plan'!$H$7:$H$46&lt;=AE$3+6),--('Year Plan'!$I$7:$I$46&gt;=AE$3)))</f>
        <v/>
      </c>
      <c r="AF36" s="45" t="str">
        <f aca="false">IF($A36="","",SUMPRODUCT(--ISNUMBER(SEARCH(","&amp;SUBSTITUTE($A36," ","")&amp;",",'Year Plan'!$BM$7:$BM$46)),--('Year Plan'!$H$7:$H$46&lt;&gt;""),--('Year Plan'!$H$7:$H$46&lt;=AF$3+6),--('Year Plan'!$I$7:$I$46&gt;=AF$3)))</f>
        <v/>
      </c>
      <c r="AG36" s="45" t="str">
        <f aca="false">IF($A36="","",SUMPRODUCT(--ISNUMBER(SEARCH(","&amp;SUBSTITUTE($A36," ","")&amp;",",'Year Plan'!$BM$7:$BM$46)),--('Year Plan'!$H$7:$H$46&lt;&gt;""),--('Year Plan'!$H$7:$H$46&lt;=AG$3+6),--('Year Plan'!$I$7:$I$46&gt;=AG$3)))</f>
        <v/>
      </c>
      <c r="AH36" s="45" t="str">
        <f aca="false">IF($A36="","",SUMPRODUCT(--ISNUMBER(SEARCH(","&amp;SUBSTITUTE($A36," ","")&amp;",",'Year Plan'!$BM$7:$BM$46)),--('Year Plan'!$H$7:$H$46&lt;&gt;""),--('Year Plan'!$H$7:$H$46&lt;=AH$3+6),--('Year Plan'!$I$7:$I$46&gt;=AH$3)))</f>
        <v/>
      </c>
      <c r="AI36" s="45" t="str">
        <f aca="false">IF($A36="","",SUMPRODUCT(--ISNUMBER(SEARCH(","&amp;SUBSTITUTE($A36," ","")&amp;",",'Year Plan'!$BM$7:$BM$46)),--('Year Plan'!$H$7:$H$46&lt;&gt;""),--('Year Plan'!$H$7:$H$46&lt;=AI$3+6),--('Year Plan'!$I$7:$I$46&gt;=AI$3)))</f>
        <v/>
      </c>
      <c r="AJ36" s="45" t="str">
        <f aca="false">IF($A36="","",SUMPRODUCT(--ISNUMBER(SEARCH(","&amp;SUBSTITUTE($A36," ","")&amp;",",'Year Plan'!$BM$7:$BM$46)),--('Year Plan'!$H$7:$H$46&lt;&gt;""),--('Year Plan'!$H$7:$H$46&lt;=AJ$3+6),--('Year Plan'!$I$7:$I$46&gt;=AJ$3)))</f>
        <v/>
      </c>
      <c r="AK36" s="45" t="str">
        <f aca="false">IF($A36="","",SUMPRODUCT(--ISNUMBER(SEARCH(","&amp;SUBSTITUTE($A36," ","")&amp;",",'Year Plan'!$BM$7:$BM$46)),--('Year Plan'!$H$7:$H$46&lt;&gt;""),--('Year Plan'!$H$7:$H$46&lt;=AK$3+6),--('Year Plan'!$I$7:$I$46&gt;=AK$3)))</f>
        <v/>
      </c>
      <c r="AL36" s="45" t="str">
        <f aca="false">IF($A36="","",SUMPRODUCT(--ISNUMBER(SEARCH(","&amp;SUBSTITUTE($A36," ","")&amp;",",'Year Plan'!$BM$7:$BM$46)),--('Year Plan'!$H$7:$H$46&lt;&gt;""),--('Year Plan'!$H$7:$H$46&lt;=AL$3+6),--('Year Plan'!$I$7:$I$46&gt;=AL$3)))</f>
        <v/>
      </c>
      <c r="AM36" s="45" t="str">
        <f aca="false">IF($A36="","",SUMPRODUCT(--ISNUMBER(SEARCH(","&amp;SUBSTITUTE($A36," ","")&amp;",",'Year Plan'!$BM$7:$BM$46)),--('Year Plan'!$H$7:$H$46&lt;&gt;""),--('Year Plan'!$H$7:$H$46&lt;=AM$3+6),--('Year Plan'!$I$7:$I$46&gt;=AM$3)))</f>
        <v/>
      </c>
      <c r="AN36" s="45" t="str">
        <f aca="false">IF($A36="","",SUMPRODUCT(--ISNUMBER(SEARCH(","&amp;SUBSTITUTE($A36," ","")&amp;",",'Year Plan'!$BM$7:$BM$46)),--('Year Plan'!$H$7:$H$46&lt;&gt;""),--('Year Plan'!$H$7:$H$46&lt;=AN$3+6),--('Year Plan'!$I$7:$I$46&gt;=AN$3)))</f>
        <v/>
      </c>
      <c r="AO36" s="45" t="str">
        <f aca="false">IF($A36="","",SUMPRODUCT(--ISNUMBER(SEARCH(","&amp;SUBSTITUTE($A36," ","")&amp;",",'Year Plan'!$BM$7:$BM$46)),--('Year Plan'!$H$7:$H$46&lt;&gt;""),--('Year Plan'!$H$7:$H$46&lt;=AO$3+6),--('Year Plan'!$I$7:$I$46&gt;=AO$3)))</f>
        <v/>
      </c>
      <c r="AP36" s="45" t="str">
        <f aca="false">IF($A36="","",SUMPRODUCT(--ISNUMBER(SEARCH(","&amp;SUBSTITUTE($A36," ","")&amp;",",'Year Plan'!$BM$7:$BM$46)),--('Year Plan'!$H$7:$H$46&lt;&gt;""),--('Year Plan'!$H$7:$H$46&lt;=AP$3+6),--('Year Plan'!$I$7:$I$46&gt;=AP$3)))</f>
        <v/>
      </c>
      <c r="AQ36" s="45" t="str">
        <f aca="false">IF($A36="","",SUMPRODUCT(--ISNUMBER(SEARCH(","&amp;SUBSTITUTE($A36," ","")&amp;",",'Year Plan'!$BM$7:$BM$46)),--('Year Plan'!$H$7:$H$46&lt;&gt;""),--('Year Plan'!$H$7:$H$46&lt;=AQ$3+6),--('Year Plan'!$I$7:$I$46&gt;=AQ$3)))</f>
        <v/>
      </c>
      <c r="AR36" s="45" t="str">
        <f aca="false">IF($A36="","",SUMPRODUCT(--ISNUMBER(SEARCH(","&amp;SUBSTITUTE($A36," ","")&amp;",",'Year Plan'!$BM$7:$BM$46)),--('Year Plan'!$H$7:$H$46&lt;&gt;""),--('Year Plan'!$H$7:$H$46&lt;=AR$3+6),--('Year Plan'!$I$7:$I$46&gt;=AR$3)))</f>
        <v/>
      </c>
      <c r="AS36" s="45" t="str">
        <f aca="false">IF($A36="","",SUMPRODUCT(--ISNUMBER(SEARCH(","&amp;SUBSTITUTE($A36," ","")&amp;",",'Year Plan'!$BM$7:$BM$46)),--('Year Plan'!$H$7:$H$46&lt;&gt;""),--('Year Plan'!$H$7:$H$46&lt;=AS$3+6),--('Year Plan'!$I$7:$I$46&gt;=AS$3)))</f>
        <v/>
      </c>
      <c r="AT36" s="45" t="str">
        <f aca="false">IF($A36="","",SUMPRODUCT(--ISNUMBER(SEARCH(","&amp;SUBSTITUTE($A36," ","")&amp;",",'Year Plan'!$BM$7:$BM$46)),--('Year Plan'!$H$7:$H$46&lt;&gt;""),--('Year Plan'!$H$7:$H$46&lt;=AT$3+6),--('Year Plan'!$I$7:$I$46&gt;=AT$3)))</f>
        <v/>
      </c>
      <c r="AU36" s="45" t="str">
        <f aca="false">IF($A36="","",SUMPRODUCT(--ISNUMBER(SEARCH(","&amp;SUBSTITUTE($A36," ","")&amp;",",'Year Plan'!$BM$7:$BM$46)),--('Year Plan'!$H$7:$H$46&lt;&gt;""),--('Year Plan'!$H$7:$H$46&lt;=AU$3+6),--('Year Plan'!$I$7:$I$46&gt;=AU$3)))</f>
        <v/>
      </c>
      <c r="AV36" s="45" t="str">
        <f aca="false">IF($A36="","",SUMPRODUCT(--ISNUMBER(SEARCH(","&amp;SUBSTITUTE($A36," ","")&amp;",",'Year Plan'!$BM$7:$BM$46)),--('Year Plan'!$H$7:$H$46&lt;&gt;""),--('Year Plan'!$H$7:$H$46&lt;=AV$3+6),--('Year Plan'!$I$7:$I$46&gt;=AV$3)))</f>
        <v/>
      </c>
      <c r="AW36" s="45" t="str">
        <f aca="false">IF($A36="","",SUMPRODUCT(--ISNUMBER(SEARCH(","&amp;SUBSTITUTE($A36," ","")&amp;",",'Year Plan'!$BM$7:$BM$46)),--('Year Plan'!$H$7:$H$46&lt;&gt;""),--('Year Plan'!$H$7:$H$46&lt;=AW$3+6),--('Year Plan'!$I$7:$I$46&gt;=AW$3)))</f>
        <v/>
      </c>
      <c r="AX36" s="45" t="str">
        <f aca="false">IF($A36="","",SUMPRODUCT(--ISNUMBER(SEARCH(","&amp;SUBSTITUTE($A36," ","")&amp;",",'Year Plan'!$BM$7:$BM$46)),--('Year Plan'!$H$7:$H$46&lt;&gt;""),--('Year Plan'!$H$7:$H$46&lt;=AX$3+6),--('Year Plan'!$I$7:$I$46&gt;=AX$3)))</f>
        <v/>
      </c>
      <c r="AY36" s="45" t="str">
        <f aca="false">IF($A36="","",SUMPRODUCT(--ISNUMBER(SEARCH(","&amp;SUBSTITUTE($A36," ","")&amp;",",'Year Plan'!$BM$7:$BM$46)),--('Year Plan'!$H$7:$H$46&lt;&gt;""),--('Year Plan'!$H$7:$H$46&lt;=AY$3+6),--('Year Plan'!$I$7:$I$46&gt;=AY$3)))</f>
        <v/>
      </c>
      <c r="AZ36" s="45" t="str">
        <f aca="false">IF($A36="","",SUMPRODUCT(--ISNUMBER(SEARCH(","&amp;SUBSTITUTE($A36," ","")&amp;",",'Year Plan'!$BM$7:$BM$46)),--('Year Plan'!$H$7:$H$46&lt;&gt;""),--('Year Plan'!$H$7:$H$46&lt;=AZ$3+6),--('Year Plan'!$I$7:$I$46&gt;=AZ$3)))</f>
        <v/>
      </c>
      <c r="BA36" s="45" t="str">
        <f aca="false">IF($A36="","",SUMPRODUCT(--ISNUMBER(SEARCH(","&amp;SUBSTITUTE($A36," ","")&amp;",",'Year Plan'!$BM$7:$BM$46)),--('Year Plan'!$H$7:$H$46&lt;&gt;""),--('Year Plan'!$H$7:$H$46&lt;=BA$3+6),--('Year Plan'!$I$7:$I$46&gt;=BA$3)))</f>
        <v/>
      </c>
      <c r="BB36" s="45" t="str">
        <f aca="false">IF($A36="","",SUMPRODUCT(--ISNUMBER(SEARCH(","&amp;SUBSTITUTE($A36," ","")&amp;",",'Year Plan'!$BM$7:$BM$46)),--('Year Plan'!$H$7:$H$46&lt;&gt;""),--('Year Plan'!$H$7:$H$46&lt;=BB$3+6),--('Year Plan'!$I$7:$I$46&gt;=BB$3)))</f>
        <v/>
      </c>
      <c r="BC36" s="45" t="str">
        <f aca="false">IF($A36="","",SUMPRODUCT(--ISNUMBER(SEARCH(","&amp;SUBSTITUTE($A36," ","")&amp;",",'Year Plan'!$BM$7:$BM$46)),--('Year Plan'!$H$7:$H$46&lt;&gt;""),--('Year Plan'!$H$7:$H$46&lt;=BC$3+6),--('Year Plan'!$I$7:$I$46&gt;=BC$3)))</f>
        <v/>
      </c>
    </row>
    <row r="39" customFormat="false" ht="15" hidden="false" customHeight="false" outlineLevel="0" collapsed="false">
      <c r="A39" s="15" t="s">
        <v>163</v>
      </c>
    </row>
  </sheetData>
  <mergeCells count="4">
    <mergeCell ref="D4:P4"/>
    <mergeCell ref="Q4:AC4"/>
    <mergeCell ref="AD4:AP4"/>
    <mergeCell ref="AQ4:BC4"/>
  </mergeCells>
  <conditionalFormatting sqref="D7:BC36">
    <cfRule type="cellIs" priority="2" operator="greaterThanOrEqual" aboveAverage="0" equalAverage="0" bottom="0" percent="0" rank="0" text="" dxfId="21">
      <formula>3</formula>
    </cfRule>
    <cfRule type="cellIs" priority="3" operator="equal" aboveAverage="0" equalAverage="0" bottom="0" percent="0" rank="0" text="" dxfId="22">
      <formula>2</formula>
    </cfRule>
    <cfRule type="cellIs" priority="4" operator="equal" aboveAverage="0" equalAverage="0" bottom="0" percent="0" rank="0" text="" dxfId="23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2.05" hidden="false" customHeight="false" outlineLevel="0" collapsed="false">
      <c r="A1" s="19" t="s">
        <v>164</v>
      </c>
    </row>
    <row r="2" customFormat="false" ht="15" hidden="false" customHeight="false" outlineLevel="0" collapsed="false">
      <c r="A2" s="2" t="s">
        <v>165</v>
      </c>
    </row>
    <row r="4" customFormat="false" ht="15" hidden="false" customHeight="false" outlineLevel="0" collapsed="false">
      <c r="A4" s="46" t="s">
        <v>75</v>
      </c>
      <c r="B4" s="46" t="s">
        <v>166</v>
      </c>
      <c r="C4" s="46" t="s">
        <v>167</v>
      </c>
      <c r="D4" s="46" t="s">
        <v>168</v>
      </c>
      <c r="E4" s="46" t="s">
        <v>169</v>
      </c>
      <c r="F4" s="46" t="s">
        <v>48</v>
      </c>
      <c r="G4" s="46" t="s">
        <v>83</v>
      </c>
    </row>
    <row r="5" customFormat="false" ht="21.75" hidden="false" customHeight="true" outlineLevel="0" collapsed="false">
      <c r="A5" s="27" t="s">
        <v>136</v>
      </c>
      <c r="B5" s="27" t="s">
        <v>170</v>
      </c>
      <c r="C5" s="28" t="s">
        <v>50</v>
      </c>
      <c r="D5" s="30" t="n">
        <f aca="false">DATE(2026,9,30)</f>
        <v>46295</v>
      </c>
      <c r="E5" s="47" t="n">
        <f aca="false">IF(D5="","",ROUNDDOWN((D5-PlanStart)/7,0)+1)</f>
        <v>4</v>
      </c>
      <c r="F5" s="28" t="s">
        <v>27</v>
      </c>
      <c r="G5" s="27" t="s">
        <v>171</v>
      </c>
    </row>
    <row r="6" customFormat="false" ht="21.75" hidden="false" customHeight="true" outlineLevel="0" collapsed="false">
      <c r="A6" s="27" t="s">
        <v>139</v>
      </c>
      <c r="B6" s="27" t="s">
        <v>172</v>
      </c>
      <c r="C6" s="28" t="s">
        <v>53</v>
      </c>
      <c r="D6" s="30" t="n">
        <f aca="false">PlanStart+40</f>
        <v>46312</v>
      </c>
      <c r="E6" s="47" t="n">
        <f aca="false">IF(D6="","",ROUNDDOWN((D6-PlanStart)/7,0)+1)</f>
        <v>6</v>
      </c>
      <c r="F6" s="28" t="s">
        <v>23</v>
      </c>
      <c r="G6" s="27"/>
    </row>
    <row r="7" customFormat="false" ht="21.75" hidden="false" customHeight="true" outlineLevel="0" collapsed="false">
      <c r="A7" s="27" t="s">
        <v>142</v>
      </c>
      <c r="B7" s="27" t="s">
        <v>173</v>
      </c>
      <c r="C7" s="28" t="s">
        <v>56</v>
      </c>
      <c r="D7" s="30" t="n">
        <f aca="false">PlanStart+60</f>
        <v>46332</v>
      </c>
      <c r="E7" s="47" t="n">
        <f aca="false">IF(D7="","",ROUNDDOWN((D7-PlanStart)/7,0)+1)</f>
        <v>9</v>
      </c>
      <c r="F7" s="28" t="s">
        <v>23</v>
      </c>
      <c r="G7" s="27"/>
    </row>
    <row r="8" customFormat="false" ht="21.75" hidden="false" customHeight="true" outlineLevel="0" collapsed="false">
      <c r="A8" s="27"/>
      <c r="B8" s="27"/>
      <c r="C8" s="28"/>
      <c r="D8" s="30"/>
      <c r="E8" s="47" t="str">
        <f aca="false">IF(D8="","",ROUNDDOWN((D8-PlanStart)/7,0)+1)</f>
        <v/>
      </c>
      <c r="F8" s="28"/>
      <c r="G8" s="27"/>
    </row>
    <row r="9" customFormat="false" ht="21.75" hidden="false" customHeight="true" outlineLevel="0" collapsed="false">
      <c r="A9" s="27"/>
      <c r="B9" s="27"/>
      <c r="C9" s="28"/>
      <c r="D9" s="30"/>
      <c r="E9" s="47" t="str">
        <f aca="false">IF(D9="","",ROUNDDOWN((D9-PlanStart)/7,0)+1)</f>
        <v/>
      </c>
      <c r="F9" s="28"/>
      <c r="G9" s="27"/>
    </row>
    <row r="10" customFormat="false" ht="21.75" hidden="false" customHeight="true" outlineLevel="0" collapsed="false">
      <c r="A10" s="27"/>
      <c r="B10" s="27"/>
      <c r="C10" s="28"/>
      <c r="D10" s="30"/>
      <c r="E10" s="47" t="str">
        <f aca="false">IF(D10="","",ROUNDDOWN((D10-PlanStart)/7,0)+1)</f>
        <v/>
      </c>
      <c r="F10" s="28"/>
      <c r="G10" s="27"/>
    </row>
    <row r="11" customFormat="false" ht="21.75" hidden="false" customHeight="true" outlineLevel="0" collapsed="false">
      <c r="A11" s="27"/>
      <c r="B11" s="27"/>
      <c r="C11" s="28"/>
      <c r="D11" s="30"/>
      <c r="E11" s="47" t="str">
        <f aca="false">IF(D11="","",ROUNDDOWN((D11-PlanStart)/7,0)+1)</f>
        <v/>
      </c>
      <c r="F11" s="28"/>
      <c r="G11" s="27"/>
    </row>
    <row r="12" customFormat="false" ht="21.75" hidden="false" customHeight="true" outlineLevel="0" collapsed="false">
      <c r="A12" s="27"/>
      <c r="B12" s="27"/>
      <c r="C12" s="28"/>
      <c r="D12" s="30"/>
      <c r="E12" s="47" t="str">
        <f aca="false">IF(D12="","",ROUNDDOWN((D12-PlanStart)/7,0)+1)</f>
        <v/>
      </c>
      <c r="F12" s="28"/>
      <c r="G12" s="27"/>
    </row>
    <row r="13" customFormat="false" ht="21.75" hidden="false" customHeight="true" outlineLevel="0" collapsed="false">
      <c r="A13" s="27"/>
      <c r="B13" s="27"/>
      <c r="C13" s="28"/>
      <c r="D13" s="30"/>
      <c r="E13" s="47" t="str">
        <f aca="false">IF(D13="","",ROUNDDOWN((D13-PlanStart)/7,0)+1)</f>
        <v/>
      </c>
      <c r="F13" s="28"/>
      <c r="G13" s="27"/>
    </row>
    <row r="14" customFormat="false" ht="21.75" hidden="false" customHeight="true" outlineLevel="0" collapsed="false">
      <c r="A14" s="27"/>
      <c r="B14" s="27"/>
      <c r="C14" s="28"/>
      <c r="D14" s="30"/>
      <c r="E14" s="47" t="str">
        <f aca="false">IF(D14="","",ROUNDDOWN((D14-PlanStart)/7,0)+1)</f>
        <v/>
      </c>
      <c r="F14" s="28"/>
      <c r="G14" s="27"/>
    </row>
    <row r="15" customFormat="false" ht="21.75" hidden="false" customHeight="true" outlineLevel="0" collapsed="false">
      <c r="A15" s="27"/>
      <c r="B15" s="27"/>
      <c r="C15" s="28"/>
      <c r="D15" s="30"/>
      <c r="E15" s="47" t="str">
        <f aca="false">IF(D15="","",ROUNDDOWN((D15-PlanStart)/7,0)+1)</f>
        <v/>
      </c>
      <c r="F15" s="28"/>
      <c r="G15" s="27"/>
    </row>
    <row r="16" customFormat="false" ht="21.75" hidden="false" customHeight="true" outlineLevel="0" collapsed="false">
      <c r="A16" s="27"/>
      <c r="B16" s="27"/>
      <c r="C16" s="28"/>
      <c r="D16" s="30"/>
      <c r="E16" s="47" t="str">
        <f aca="false">IF(D16="","",ROUNDDOWN((D16-PlanStart)/7,0)+1)</f>
        <v/>
      </c>
      <c r="F16" s="28"/>
      <c r="G16" s="27"/>
    </row>
    <row r="17" customFormat="false" ht="21.75" hidden="false" customHeight="true" outlineLevel="0" collapsed="false">
      <c r="A17" s="27"/>
      <c r="B17" s="27"/>
      <c r="C17" s="28"/>
      <c r="D17" s="30"/>
      <c r="E17" s="47" t="str">
        <f aca="false">IF(D17="","",ROUNDDOWN((D17-PlanStart)/7,0)+1)</f>
        <v/>
      </c>
      <c r="F17" s="28"/>
      <c r="G17" s="27"/>
    </row>
    <row r="18" customFormat="false" ht="21.75" hidden="false" customHeight="true" outlineLevel="0" collapsed="false">
      <c r="A18" s="27"/>
      <c r="B18" s="27"/>
      <c r="C18" s="28"/>
      <c r="D18" s="30"/>
      <c r="E18" s="47" t="str">
        <f aca="false">IF(D18="","",ROUNDDOWN((D18-PlanStart)/7,0)+1)</f>
        <v/>
      </c>
      <c r="F18" s="28"/>
      <c r="G18" s="27"/>
    </row>
    <row r="19" customFormat="false" ht="21.75" hidden="false" customHeight="true" outlineLevel="0" collapsed="false">
      <c r="A19" s="27"/>
      <c r="B19" s="27"/>
      <c r="C19" s="28"/>
      <c r="D19" s="30"/>
      <c r="E19" s="47" t="str">
        <f aca="false">IF(D19="","",ROUNDDOWN((D19-PlanStart)/7,0)+1)</f>
        <v/>
      </c>
      <c r="F19" s="28"/>
      <c r="G19" s="27"/>
    </row>
    <row r="20" customFormat="false" ht="21.75" hidden="false" customHeight="true" outlineLevel="0" collapsed="false">
      <c r="A20" s="27"/>
      <c r="B20" s="27"/>
      <c r="C20" s="28"/>
      <c r="D20" s="30"/>
      <c r="E20" s="47" t="str">
        <f aca="false">IF(D20="","",ROUNDDOWN((D20-PlanStart)/7,0)+1)</f>
        <v/>
      </c>
      <c r="F20" s="28"/>
      <c r="G20" s="27"/>
    </row>
    <row r="21" customFormat="false" ht="21.75" hidden="false" customHeight="true" outlineLevel="0" collapsed="false">
      <c r="A21" s="27"/>
      <c r="B21" s="27"/>
      <c r="C21" s="28"/>
      <c r="D21" s="30"/>
      <c r="E21" s="47" t="str">
        <f aca="false">IF(D21="","",ROUNDDOWN((D21-PlanStart)/7,0)+1)</f>
        <v/>
      </c>
      <c r="F21" s="28"/>
      <c r="G21" s="27"/>
    </row>
    <row r="22" customFormat="false" ht="21.75" hidden="false" customHeight="true" outlineLevel="0" collapsed="false">
      <c r="A22" s="27"/>
      <c r="B22" s="27"/>
      <c r="C22" s="28"/>
      <c r="D22" s="30"/>
      <c r="E22" s="47" t="str">
        <f aca="false">IF(D22="","",ROUNDDOWN((D22-PlanStart)/7,0)+1)</f>
        <v/>
      </c>
      <c r="F22" s="28"/>
      <c r="G22" s="27"/>
    </row>
    <row r="23" customFormat="false" ht="21.75" hidden="false" customHeight="true" outlineLevel="0" collapsed="false">
      <c r="A23" s="27"/>
      <c r="B23" s="27"/>
      <c r="C23" s="28"/>
      <c r="D23" s="30"/>
      <c r="E23" s="47" t="str">
        <f aca="false">IF(D23="","",ROUNDDOWN((D23-PlanStart)/7,0)+1)</f>
        <v/>
      </c>
      <c r="F23" s="28"/>
      <c r="G23" s="27"/>
    </row>
    <row r="24" customFormat="false" ht="21.75" hidden="false" customHeight="true" outlineLevel="0" collapsed="false">
      <c r="A24" s="27"/>
      <c r="B24" s="27"/>
      <c r="C24" s="28"/>
      <c r="D24" s="30"/>
      <c r="E24" s="47" t="str">
        <f aca="false">IF(D24="","",ROUNDDOWN((D24-PlanStart)/7,0)+1)</f>
        <v/>
      </c>
      <c r="F24" s="28"/>
      <c r="G24" s="27"/>
    </row>
    <row r="25" customFormat="false" ht="21.75" hidden="false" customHeight="true" outlineLevel="0" collapsed="false">
      <c r="A25" s="27"/>
      <c r="B25" s="27"/>
      <c r="C25" s="28"/>
      <c r="D25" s="30"/>
      <c r="E25" s="47" t="str">
        <f aca="false">IF(D25="","",ROUNDDOWN((D25-PlanStart)/7,0)+1)</f>
        <v/>
      </c>
      <c r="F25" s="28"/>
      <c r="G25" s="27"/>
    </row>
    <row r="26" customFormat="false" ht="21.75" hidden="false" customHeight="true" outlineLevel="0" collapsed="false">
      <c r="A26" s="27"/>
      <c r="B26" s="27"/>
      <c r="C26" s="28"/>
      <c r="D26" s="30"/>
      <c r="E26" s="47" t="str">
        <f aca="false">IF(D26="","",ROUNDDOWN((D26-PlanStart)/7,0)+1)</f>
        <v/>
      </c>
      <c r="F26" s="28"/>
      <c r="G26" s="27"/>
    </row>
    <row r="27" customFormat="false" ht="21.75" hidden="false" customHeight="true" outlineLevel="0" collapsed="false">
      <c r="A27" s="27"/>
      <c r="B27" s="27"/>
      <c r="C27" s="28"/>
      <c r="D27" s="30"/>
      <c r="E27" s="47" t="str">
        <f aca="false">IF(D27="","",ROUNDDOWN((D27-PlanStart)/7,0)+1)</f>
        <v/>
      </c>
      <c r="F27" s="28"/>
      <c r="G27" s="27"/>
    </row>
    <row r="28" customFormat="false" ht="21.75" hidden="false" customHeight="true" outlineLevel="0" collapsed="false">
      <c r="A28" s="27"/>
      <c r="B28" s="27"/>
      <c r="C28" s="28"/>
      <c r="D28" s="30"/>
      <c r="E28" s="47" t="str">
        <f aca="false">IF(D28="","",ROUNDDOWN((D28-PlanStart)/7,0)+1)</f>
        <v/>
      </c>
      <c r="F28" s="28"/>
      <c r="G28" s="27"/>
    </row>
    <row r="29" customFormat="false" ht="21.75" hidden="false" customHeight="true" outlineLevel="0" collapsed="false">
      <c r="A29" s="27"/>
      <c r="B29" s="27"/>
      <c r="C29" s="28"/>
      <c r="D29" s="30"/>
      <c r="E29" s="47" t="str">
        <f aca="false">IF(D29="","",ROUNDDOWN((D29-PlanStart)/7,0)+1)</f>
        <v/>
      </c>
      <c r="F29" s="28"/>
      <c r="G29" s="27"/>
    </row>
    <row r="30" customFormat="false" ht="21.75" hidden="false" customHeight="true" outlineLevel="0" collapsed="false">
      <c r="A30" s="27"/>
      <c r="B30" s="27"/>
      <c r="C30" s="28"/>
      <c r="D30" s="30"/>
      <c r="E30" s="47" t="str">
        <f aca="false">IF(D30="","",ROUNDDOWN((D30-PlanStart)/7,0)+1)</f>
        <v/>
      </c>
      <c r="F30" s="28"/>
      <c r="G30" s="27"/>
    </row>
    <row r="31" customFormat="false" ht="21.75" hidden="false" customHeight="true" outlineLevel="0" collapsed="false">
      <c r="A31" s="27"/>
      <c r="B31" s="27"/>
      <c r="C31" s="28"/>
      <c r="D31" s="30"/>
      <c r="E31" s="47" t="str">
        <f aca="false">IF(D31="","",ROUNDDOWN((D31-PlanStart)/7,0)+1)</f>
        <v/>
      </c>
      <c r="F31" s="28"/>
      <c r="G31" s="27"/>
    </row>
    <row r="32" customFormat="false" ht="21.75" hidden="false" customHeight="true" outlineLevel="0" collapsed="false">
      <c r="A32" s="27"/>
      <c r="B32" s="27"/>
      <c r="C32" s="28"/>
      <c r="D32" s="30"/>
      <c r="E32" s="47" t="str">
        <f aca="false">IF(D32="","",ROUNDDOWN((D32-PlanStart)/7,0)+1)</f>
        <v/>
      </c>
      <c r="F32" s="28"/>
      <c r="G32" s="27"/>
    </row>
    <row r="33" customFormat="false" ht="21.75" hidden="false" customHeight="true" outlineLevel="0" collapsed="false">
      <c r="A33" s="27"/>
      <c r="B33" s="27"/>
      <c r="C33" s="28"/>
      <c r="D33" s="30"/>
      <c r="E33" s="47" t="str">
        <f aca="false">IF(D33="","",ROUNDDOWN((D33-PlanStart)/7,0)+1)</f>
        <v/>
      </c>
      <c r="F33" s="28"/>
      <c r="G33" s="27"/>
    </row>
    <row r="34" customFormat="false" ht="21.75" hidden="false" customHeight="true" outlineLevel="0" collapsed="false">
      <c r="A34" s="27"/>
      <c r="B34" s="27"/>
      <c r="C34" s="28"/>
      <c r="D34" s="30"/>
      <c r="E34" s="47" t="str">
        <f aca="false">IF(D34="","",ROUNDDOWN((D34-PlanStart)/7,0)+1)</f>
        <v/>
      </c>
      <c r="F34" s="28"/>
      <c r="G34" s="27"/>
    </row>
    <row r="35" customFormat="false" ht="21.75" hidden="false" customHeight="true" outlineLevel="0" collapsed="false">
      <c r="A35" s="27"/>
      <c r="B35" s="27"/>
      <c r="C35" s="28"/>
      <c r="D35" s="30"/>
      <c r="E35" s="47" t="str">
        <f aca="false">IF(D35="","",ROUNDDOWN((D35-PlanStart)/7,0)+1)</f>
        <v/>
      </c>
      <c r="F35" s="28"/>
      <c r="G35" s="27"/>
    </row>
    <row r="36" customFormat="false" ht="21.75" hidden="false" customHeight="true" outlineLevel="0" collapsed="false">
      <c r="A36" s="27"/>
      <c r="B36" s="27"/>
      <c r="C36" s="28"/>
      <c r="D36" s="30"/>
      <c r="E36" s="47" t="str">
        <f aca="false">IF(D36="","",ROUNDDOWN((D36-PlanStart)/7,0)+1)</f>
        <v/>
      </c>
      <c r="F36" s="28"/>
      <c r="G36" s="27"/>
    </row>
    <row r="37" customFormat="false" ht="21.75" hidden="false" customHeight="true" outlineLevel="0" collapsed="false">
      <c r="A37" s="27"/>
      <c r="B37" s="27"/>
      <c r="C37" s="28"/>
      <c r="D37" s="30"/>
      <c r="E37" s="47" t="str">
        <f aca="false">IF(D37="","",ROUNDDOWN((D37-PlanStart)/7,0)+1)</f>
        <v/>
      </c>
      <c r="F37" s="28"/>
      <c r="G37" s="27"/>
    </row>
    <row r="38" customFormat="false" ht="21.75" hidden="false" customHeight="true" outlineLevel="0" collapsed="false">
      <c r="A38" s="27"/>
      <c r="B38" s="27"/>
      <c r="C38" s="28"/>
      <c r="D38" s="30"/>
      <c r="E38" s="47" t="str">
        <f aca="false">IF(D38="","",ROUNDDOWN((D38-PlanStart)/7,0)+1)</f>
        <v/>
      </c>
      <c r="F38" s="28"/>
      <c r="G38" s="27"/>
    </row>
    <row r="39" customFormat="false" ht="21.75" hidden="false" customHeight="true" outlineLevel="0" collapsed="false">
      <c r="A39" s="27"/>
      <c r="B39" s="27"/>
      <c r="C39" s="28"/>
      <c r="D39" s="30"/>
      <c r="E39" s="47" t="str">
        <f aca="false">IF(D39="","",ROUNDDOWN((D39-PlanStart)/7,0)+1)</f>
        <v/>
      </c>
      <c r="F39" s="28"/>
      <c r="G39" s="27"/>
    </row>
    <row r="40" customFormat="false" ht="21.75" hidden="false" customHeight="true" outlineLevel="0" collapsed="false">
      <c r="A40" s="27"/>
      <c r="B40" s="27"/>
      <c r="C40" s="28"/>
      <c r="D40" s="30"/>
      <c r="E40" s="47" t="str">
        <f aca="false">IF(D40="","",ROUNDDOWN((D40-PlanStart)/7,0)+1)</f>
        <v/>
      </c>
      <c r="F40" s="28"/>
      <c r="G40" s="27"/>
    </row>
  </sheetData>
  <autoFilter ref="A4:G40"/>
  <conditionalFormatting sqref="F5:F40">
    <cfRule type="cellIs" priority="2" operator="equal" aboveAverage="0" equalAverage="0" bottom="0" percent="0" rank="0" text="" dxfId="16">
      <formula>"On track"</formula>
    </cfRule>
    <cfRule type="cellIs" priority="3" operator="equal" aboveAverage="0" equalAverage="0" bottom="0" percent="0" rank="0" text="" dxfId="17">
      <formula>"At risk"</formula>
    </cfRule>
    <cfRule type="cellIs" priority="4" operator="equal" aboveAverage="0" equalAverage="0" bottom="0" percent="0" rank="0" text="" dxfId="18">
      <formula>"Off track"</formula>
    </cfRule>
    <cfRule type="cellIs" priority="5" operator="equal" aboveAverage="0" equalAverage="0" bottom="0" percent="0" rank="0" text="" dxfId="19">
      <formula>"Complete"</formula>
    </cfRule>
    <cfRule type="cellIs" priority="6" operator="equal" aboveAverage="0" equalAverage="0" bottom="0" percent="0" rank="0" text="" dxfId="20">
      <formula>"Not started"</formula>
    </cfRule>
  </conditionalFormatting>
  <dataValidations count="2">
    <dataValidation allowBlank="true" errorStyle="stop" operator="between" showDropDown="false" showErrorMessage="false" showInputMessage="false" sqref="F5:F40" type="list">
      <formula1>StatusList</formula1>
      <formula2>0</formula2>
    </dataValidation>
    <dataValidation allowBlank="true" errorStyle="stop" operator="between" showDropDown="false" showErrorMessage="false" showInputMessage="false" sqref="C5:C40" type="list">
      <formula1>PeopleList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2026-09-10T08:18:04Z</dcterms:created>
  <dc:creator>openpyxl</dc:creator>
  <dc:description/>
  <dc:language>en-US</dc:language>
  <cp:lastModifiedBy/>
  <dcterms:modified xsi:type="dcterms:W3CDTF">2026-09-10T08:18:04Z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