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Objectives" sheetId="3" state="visible" r:id="rId5"/>
    <sheet name="Projects" sheetId="4" state="visible" r:id="rId6"/>
    <sheet name="Roadmap" sheetId="5" state="visible" r:id="rId7"/>
    <sheet name="Team" sheetId="6" state="visible" r:id="rId8"/>
    <sheet name="Allocation" sheetId="7" state="visible" r:id="rId9"/>
    <sheet name="Capacity" sheetId="8" state="visible" r:id="rId10"/>
    <sheet name="Milestones" sheetId="9" state="visible" r:id="rId11"/>
    <sheet name="RAID" sheetId="10" state="visible" r:id="rId12"/>
    <sheet name="Setting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<sst xmlns="http://schemas.openxmlformats.org/spreadsheetml/2006/main" count="435" uniqueCount="287">
  <si>
    <t xml:space="preserve">Annual Planning Workbook</t>
  </si>
  <si>
    <t xml:space="preserve">How to fill it in (in this order)</t>
  </si>
  <si>
    <t xml:space="preserve">1. Settings</t>
  </si>
  <si>
    <t xml:space="preserve">Plan year, focus factor, holidays, and the dropdown lists (roles, statuses, categories).</t>
  </si>
  <si>
    <t xml:space="preserve">2. Objectives</t>
  </si>
  <si>
    <t xml:space="preserve">3–5 objectives for the year with a measurable key result each.</t>
  </si>
  <si>
    <t xml:space="preserve">3. Projects</t>
  </si>
  <si>
    <t xml:space="preserve">One row per initiative: objective, priority, size, dates, owners. Effort &amp; labor cost auto-fill.</t>
  </si>
  <si>
    <t xml:space="preserve">4. Team</t>
  </si>
  <si>
    <t xml:space="preserve">Everyone supplying capacity, incl. contractors and Open Req placeholders with start dates.</t>
  </si>
  <si>
    <t xml:space="preserve">5. Allocation</t>
  </si>
  <si>
    <t xml:space="preserve">Person × project × month as a fraction of their time. This is the heart of resource planning.</t>
  </si>
  <si>
    <t xml:space="preserve">6. Milestones / RAID</t>
  </si>
  <si>
    <t xml:space="preserve">Committed dates, decision gates, risks and dependencies.</t>
  </si>
  <si>
    <t xml:space="preserve">7. Review</t>
  </si>
  <si>
    <t xml:space="preserve">Dashboard → gaps &amp; over-allocation; Capacity → who's red; Roadmap → sequencing.</t>
  </si>
  <si>
    <t xml:space="preserve">Colour legend</t>
  </si>
  <si>
    <t xml:space="preserve">Yellow cell, blue text</t>
  </si>
  <si>
    <t xml:space="preserve">Input — type here.</t>
  </si>
  <si>
    <t xml:space="preserve">Grey cell</t>
  </si>
  <si>
    <t xml:space="preserve">Formula — don't overwrite.</t>
  </si>
  <si>
    <t xml:space="preserve">Green text</t>
  </si>
  <si>
    <t xml:space="preserve">Pulled from another tab.</t>
  </si>
  <si>
    <t xml:space="preserve">Planning tips</t>
  </si>
  <si>
    <t xml:space="preserve">Plan to ~85% not 100%</t>
  </si>
  <si>
    <t xml:space="preserve">The focus factor reserves time for support, meetings and unplanned work.</t>
  </si>
  <si>
    <t xml:space="preserve">Use Open Req rows</t>
  </si>
  <si>
    <t xml:space="preserve">Plan the work first; the role gap on the Dashboard becomes your hiring ask.</t>
  </si>
  <si>
    <t xml:space="preserve">Rank, don't just tag</t>
  </si>
  <si>
    <t xml:space="preserve">If demand &gt; capacity, cut from the bottom of P3/P4 — make the trade-off visible in the meeting.</t>
  </si>
  <si>
    <t xml:space="preserve">Quarterly re-plan</t>
  </si>
  <si>
    <t xml:space="preserve">Re-forecast Allocation each quarter; keep the yearly view as the baseline copy.</t>
  </si>
  <si>
    <t xml:space="preserve">Power BI</t>
  </si>
  <si>
    <t xml:space="preserve">Data source</t>
  </si>
  <si>
    <t xml:space="preserve">Get Data → Excel → pick tables tblProjects, tblTeam, tblAllocation, tblMilestones, tblRAID, tblObjectives.</t>
  </si>
  <si>
    <t xml:space="preserve">Allocation months</t>
  </si>
  <si>
    <t xml:space="preserve">In Power Query select Jan–Dec on tblAllocation → Unpivot Columns → gives Month/Allocation rows.</t>
  </si>
  <si>
    <t xml:space="preserve">Blank rows</t>
  </si>
  <si>
    <t xml:space="preserve">Filter each table on its ID/Name column ≠ blank (template rows are pre-built).</t>
  </si>
  <si>
    <t xml:space="preserve">Relationships</t>
  </si>
  <si>
    <t xml:space="preserve">tblProjects[ID] → tblAllocation[Project ID], tblMilestones, tblRAID; tblTeam[Name] → tblAllocation[Resource].</t>
  </si>
  <si>
    <t xml:space="preserve">Sample data</t>
  </si>
  <si>
    <t xml:space="preserve">All rows are illustrative examples — overwrite or delete them (keep the formula columns).</t>
  </si>
  <si>
    <t xml:space="preserve">Plan Summary</t>
  </si>
  <si>
    <t xml:space="preserve">Active projects</t>
  </si>
  <si>
    <t xml:space="preserve">P1 projects</t>
  </si>
  <si>
    <t xml:space="preserve">Demand (FTE-mo)</t>
  </si>
  <si>
    <t xml:space="preserve">Staffed capacity</t>
  </si>
  <si>
    <t xml:space="preserve">Open-req capacity</t>
  </si>
  <si>
    <t xml:space="preserve">Gap (staffed − demand)</t>
  </si>
  <si>
    <t xml:space="preserve">People &gt;100% in any month</t>
  </si>
  <si>
    <t xml:space="preserve">Open high risks</t>
  </si>
  <si>
    <t xml:space="preserve">Total budget</t>
  </si>
  <si>
    <t xml:space="preserve">Capacity vs demand by month</t>
  </si>
  <si>
    <t xml:space="preserve">Month</t>
  </si>
  <si>
    <t xml:space="preserve">Demand</t>
  </si>
  <si>
    <t xml:space="preserve">Team utilization</t>
  </si>
  <si>
    <t xml:space="preserve">Total</t>
  </si>
  <si>
    <t xml:space="preserve">Supply vs demand by role (annual FTE-months)</t>
  </si>
  <si>
    <t xml:space="preserve">Role</t>
  </si>
  <si>
    <t xml:space="preserve">Staffed supply</t>
  </si>
  <si>
    <t xml:space="preserve">Open-req supply</t>
  </si>
  <si>
    <t xml:space="preserve">Portfolio mix by category</t>
  </si>
  <si>
    <t xml:space="preserve">Category</t>
  </si>
  <si>
    <t xml:space="preserve"># Projects</t>
  </si>
  <si>
    <t xml:space="preserve">FTE-months</t>
  </si>
  <si>
    <t xml:space="preserve">% of demand</t>
  </si>
  <si>
    <t xml:space="preserve">Status</t>
  </si>
  <si>
    <t xml:space="preserve">Objectives &amp; Key Results</t>
  </si>
  <si>
    <t xml:space="preserve">What the year is for. Every project should ladder up to one objective.</t>
  </si>
  <si>
    <t xml:space="preserve">Obj ID</t>
  </si>
  <si>
    <t xml:space="preserve">Objective</t>
  </si>
  <si>
    <t xml:space="preserve">Key Result</t>
  </si>
  <si>
    <t xml:space="preserve">Target</t>
  </si>
  <si>
    <t xml:space="preserve">Owner</t>
  </si>
  <si>
    <t xml:space="preserve">Planned FTE-months</t>
  </si>
  <si>
    <t xml:space="preserve">O1</t>
  </si>
  <si>
    <t xml:space="preserve">Modernize legacy platforms</t>
  </si>
  <si>
    <t xml:space="preserve">Legacy JSP/Struts screens retired</t>
  </si>
  <si>
    <t xml:space="preserve">60%</t>
  </si>
  <si>
    <t xml:space="preserve">Siva</t>
  </si>
  <si>
    <t xml:space="preserve">O2</t>
  </si>
  <si>
    <t xml:space="preserve">Improve reliability &amp; operational visibility</t>
  </si>
  <si>
    <t xml:space="preserve">Reduction in P1/P2 incidents YoY</t>
  </si>
  <si>
    <t xml:space="preserve">30%</t>
  </si>
  <si>
    <t xml:space="preserve">O3</t>
  </si>
  <si>
    <t xml:space="preserve">Deliver priority business features</t>
  </si>
  <si>
    <t xml:space="preserve">Roadmap commitments shipped on time</t>
  </si>
  <si>
    <t xml:space="preserve">90%</t>
  </si>
  <si>
    <t xml:space="preserve">Project Portfolio</t>
  </si>
  <si>
    <t xml:space="preserve">One row per project. Effort and labor cost fill in automatically from the Allocation tab. Sample rows — overwrite.</t>
  </si>
  <si>
    <t xml:space="preserve">ID</t>
  </si>
  <si>
    <t xml:space="preserve">Project</t>
  </si>
  <si>
    <t xml:space="preserve">Objective ID</t>
  </si>
  <si>
    <t xml:space="preserve">Priority</t>
  </si>
  <si>
    <t xml:space="preserve">Size</t>
  </si>
  <si>
    <t xml:space="preserve">Business Owner</t>
  </si>
  <si>
    <t xml:space="preserve">Tech Lead</t>
  </si>
  <si>
    <t xml:space="preserve">Start</t>
  </si>
  <si>
    <t xml:space="preserve">End</t>
  </si>
  <si>
    <t xml:space="preserve">RAG</t>
  </si>
  <si>
    <t xml:space="preserve">Labor cost</t>
  </si>
  <si>
    <t xml:space="preserve">Non-labor budget</t>
  </si>
  <si>
    <t xml:space="preserve">Key dependencies</t>
  </si>
  <si>
    <t xml:space="preserve">Success measure / notes</t>
  </si>
  <si>
    <t xml:space="preserve">P001</t>
  </si>
  <si>
    <t xml:space="preserve">RepApp Angular migration (strangler fig)</t>
  </si>
  <si>
    <t xml:space="preserve">Transform</t>
  </si>
  <si>
    <t xml:space="preserve">P1</t>
  </si>
  <si>
    <t xml:space="preserve">XL</t>
  </si>
  <si>
    <t xml:space="preserve">Tech Lead 1</t>
  </si>
  <si>
    <t xml:space="preserve">In Progress</t>
  </si>
  <si>
    <t xml:space="preserve">Green</t>
  </si>
  <si>
    <t xml:space="preserve">Contractor continuity; TBH Angular dev by Apr</t>
  </si>
  <si>
    <t xml:space="preserve">Phase 1–2 screens live; JSP decommission decision by Nov</t>
  </si>
  <si>
    <t xml:space="preserve">P002</t>
  </si>
  <si>
    <t xml:space="preserve">Application portfolio dashboard</t>
  </si>
  <si>
    <t xml:space="preserve">Run / KTLO</t>
  </si>
  <si>
    <t xml:space="preserve">P2</t>
  </si>
  <si>
    <t xml:space="preserve">M</t>
  </si>
  <si>
    <t xml:space="preserve">Manager peer group</t>
  </si>
  <si>
    <t xml:space="preserve">Approved</t>
  </si>
  <si>
    <t xml:space="preserve">Amber</t>
  </si>
  <si>
    <t xml:space="preserve">SNOW + Jira API access</t>
  </si>
  <si>
    <t xml:space="preserve">Dashboard adopted by peer managers</t>
  </si>
  <si>
    <t xml:space="preserve">P003</t>
  </si>
  <si>
    <t xml:space="preserve">Observability &amp; alerting uplift</t>
  </si>
  <si>
    <t xml:space="preserve">Grow</t>
  </si>
  <si>
    <t xml:space="preserve">Java Dev 1</t>
  </si>
  <si>
    <t xml:space="preserve">Proposed</t>
  </si>
  <si>
    <t xml:space="preserve">Platform team logging standards</t>
  </si>
  <si>
    <t xml:space="preserve">Alert baseline in prod; MTTR down</t>
  </si>
  <si>
    <t xml:space="preserve">Annual Roadmap</t>
  </si>
  <si>
    <t xml:space="preserve">Bars come from project Start/End dates; ◆ = milestone in that month. Sorted as entered on Projects.</t>
  </si>
  <si>
    <t xml:space="preserve">Team &amp; Resources</t>
  </si>
  <si>
    <t xml:space="preserve">Everyone who supplies capacity — FTEs, contractors, and open reqs (to show hiring need). Sample rows — overwrite.</t>
  </si>
  <si>
    <t xml:space="preserve">Name</t>
  </si>
  <si>
    <t xml:space="preserve">Type</t>
  </si>
  <si>
    <t xml:space="preserve">Vendor / Org</t>
  </si>
  <si>
    <t xml:space="preserve">Primary skills</t>
  </si>
  <si>
    <t xml:space="preserve">Location</t>
  </si>
  <si>
    <t xml:space="preserve">Availability %</t>
  </si>
  <si>
    <t xml:space="preserve">PTO days / yr</t>
  </si>
  <si>
    <t xml:space="preserve">Start date</t>
  </si>
  <si>
    <t xml:space="preserve">End date</t>
  </si>
  <si>
    <t xml:space="preserve">Monthly cost rate</t>
  </si>
  <si>
    <t xml:space="preserve">Annual capacity (FTE-mo)</t>
  </si>
  <si>
    <t xml:space="preserve">Annual allocated (FTE-mo)</t>
  </si>
  <si>
    <t xml:space="preserve">Utilization</t>
  </si>
  <si>
    <t xml:space="preserve">Notes</t>
  </si>
  <si>
    <t xml:space="preserve">FTE</t>
  </si>
  <si>
    <t xml:space="preserve">Fidelity</t>
  </si>
  <si>
    <t xml:space="preserve">Java, Spring Boot, AWS</t>
  </si>
  <si>
    <t xml:space="preserve">Raleigh</t>
  </si>
  <si>
    <t xml:space="preserve">• Availability % = time for project work (focus factor). Blank uses Settings default.</t>
  </si>
  <si>
    <t xml:space="preserve">Backend Developer</t>
  </si>
  <si>
    <t xml:space="preserve">Java, Kafka</t>
  </si>
  <si>
    <t xml:space="preserve">• Blank start/end = full plan year. Use them for new joiners and contractor roll-offs.</t>
  </si>
  <si>
    <t xml:space="preserve">Angular Dev 1</t>
  </si>
  <si>
    <t xml:space="preserve">Frontend Developer</t>
  </si>
  <si>
    <t xml:space="preserve">Contractor</t>
  </si>
  <si>
    <t xml:space="preserve">InRhythm</t>
  </si>
  <si>
    <t xml:space="preserve">Angular, TypeScript</t>
  </si>
  <si>
    <t xml:space="preserve">Remote</t>
  </si>
  <si>
    <t xml:space="preserve">• Monthly cost rate is a placeholder — use loaded/blended rates from Finance.</t>
  </si>
  <si>
    <t xml:space="preserve">Angular Dev 2</t>
  </si>
  <si>
    <t xml:space="preserve">Full-stack Developer</t>
  </si>
  <si>
    <t xml:space="preserve">Angular, Java</t>
  </si>
  <si>
    <t xml:space="preserve">• Open Req rows let you plan work for people not hired yet.</t>
  </si>
  <si>
    <t xml:space="preserve">QA Engineer 1</t>
  </si>
  <si>
    <t xml:space="preserve">QA / SDET</t>
  </si>
  <si>
    <t xml:space="preserve">Playwright, API testing</t>
  </si>
  <si>
    <t xml:space="preserve">TBH Angular Dev</t>
  </si>
  <si>
    <t xml:space="preserve">Open Req</t>
  </si>
  <si>
    <t xml:space="preserve">Angular</t>
  </si>
  <si>
    <t xml:space="preserve">Resource Allocation</t>
  </si>
  <si>
    <t xml:space="preserve">One row per person × project. Enter the share of that person's month (0.5 = 50%). Sample rows — overwrite.</t>
  </si>
  <si>
    <t xml:space="preserve">Resource</t>
  </si>
  <si>
    <t xml:space="preserve">Project ID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</si>
  <si>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</si>
  <si>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</si>
  <si>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</si>
  <si>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</si>
  <si>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</si>
  <si>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</si>
  <si>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</si>
  <si>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</si>
  <si>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</si>
  <si>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</si>
  <si>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</si>
  <si>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</si>
  <si>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Monthly rate</t>
  </si>
  <si>
    <t xml:space="preserve">Capacity &amp; Utilization</t>
  </si>
  <si>
    <t xml:space="preserve">Fully calculated — no inputs. Red = over-allocated (&gt;100%), amber = under 50%.</t>
  </si>
  <si>
    <t xml:space="preserve">Utilization (allocated ÷ capacity)</t>
  </si>
  <si>
    <t xml:space="preserve">Peak month</t>
  </si>
  <si>
    <t xml:space="preserve">Annual</t>
  </si>
  <si>
    <t xml:space="preserve">999% = work allocated in a month the person isn't available (before start / after end date).</t>
  </si>
  <si>
    <t xml:space="preserve">Capacity (FTE available per month)</t>
  </si>
  <si>
    <t xml:space="preserve">Total FTE-mo</t>
  </si>
  <si>
    <t xml:space="preserve">Allocated (FTE per month, from Allocation)</t>
  </si>
  <si>
    <t xml:space="preserve">Milestones &amp; Key Dates</t>
  </si>
  <si>
    <t xml:space="preserve">Releases, decision gates and dates you've committed to. They show as ◆ on the Roadmap.</t>
  </si>
  <si>
    <t xml:space="preserve">Milestone</t>
  </si>
  <si>
    <t xml:space="preserve">Target date</t>
  </si>
  <si>
    <t xml:space="preserve">Quarter</t>
  </si>
  <si>
    <t xml:space="preserve">MVP dashboard to manager peers</t>
  </si>
  <si>
    <t xml:space="preserve">Release</t>
  </si>
  <si>
    <t xml:space="preserve">Not Started</t>
  </si>
  <si>
    <t xml:space="preserve">Phase 1 screens live behind strangler proxy</t>
  </si>
  <si>
    <t xml:space="preserve">On Track</t>
  </si>
  <si>
    <t xml:space="preserve">Alerting baseline in production</t>
  </si>
  <si>
    <t xml:space="preserve">Phase 2 screens live</t>
  </si>
  <si>
    <t xml:space="preserve">Legacy JSP decommission decision</t>
  </si>
  <si>
    <t xml:space="preserve">Decision Gate</t>
  </si>
  <si>
    <t xml:space="preserve">Risks, Assumptions, Issues &amp; Dependencies</t>
  </si>
  <si>
    <t xml:space="preserve">Score = probability × impact (1–5 each). High ≥ 15, Medium ≥ 8.</t>
  </si>
  <si>
    <t xml:space="preserve">Description</t>
  </si>
  <si>
    <t xml:space="preserve">Probability (1-5)</t>
  </si>
  <si>
    <t xml:space="preserve">Impact (1-5)</t>
  </si>
  <si>
    <t xml:space="preserve">Score</t>
  </si>
  <si>
    <t xml:space="preserve">Severity</t>
  </si>
  <si>
    <t xml:space="preserve">Mitigation / next step</t>
  </si>
  <si>
    <t xml:space="preserve">Due</t>
  </si>
  <si>
    <t xml:space="preserve">R001</t>
  </si>
  <si>
    <t xml:space="preserve">Risk</t>
  </si>
  <si>
    <t xml:space="preserve">Contractor roll-off or attrition slows Angular migration</t>
  </si>
  <si>
    <t xml:space="preserve">Pair FTE with each contractor; document modules</t>
  </si>
  <si>
    <t xml:space="preserve">Open</t>
  </si>
  <si>
    <t xml:space="preserve">A001</t>
  </si>
  <si>
    <t xml:space="preserve">Assumption</t>
  </si>
  <si>
    <t xml:space="preserve">TBH Angular developer onboarded by April</t>
  </si>
  <si>
    <t xml:space="preserve">Open req approved in Q4; backup: extend InRhythm SOW</t>
  </si>
  <si>
    <t xml:space="preserve">D001</t>
  </si>
  <si>
    <t xml:space="preserve">Dependency</t>
  </si>
  <si>
    <t xml:space="preserve">SNOW + Jira API access approved</t>
  </si>
  <si>
    <t xml:space="preserve">Raise access request in January</t>
  </si>
  <si>
    <t xml:space="preserve">Settings &amp; Lists</t>
  </si>
  <si>
    <t xml:space="preserve">Edit yellow cells. Lists feed every dropdown in the workbook — add/rename values here.</t>
  </si>
  <si>
    <t xml:space="preserve">Plan year</t>
  </si>
  <si>
    <t xml:space="preserve">Default availability (focus factor)</t>
  </si>
  <si>
    <t xml:space="preserve">Share of a person's time available for project work after meetings, support, admin. Used when Team availability is blank.</t>
  </si>
  <si>
    <t xml:space="preserve">Month start</t>
  </si>
  <si>
    <t xml:space="preserve">Working days</t>
  </si>
  <si>
    <t xml:space="preserve">Holiday date</t>
  </si>
  <si>
    <t xml:space="preserve">Holiday</t>
  </si>
  <si>
    <t xml:space="preserve">Project Status</t>
  </si>
  <si>
    <t xml:space="preserve">Resource Type</t>
  </si>
  <si>
    <t xml:space="preserve">RAID Type</t>
  </si>
  <si>
    <t xml:space="preserve">RAID Status</t>
  </si>
  <si>
    <t xml:space="preserve">Milestone Status</t>
  </si>
  <si>
    <t xml:space="preserve">Milestone Type</t>
  </si>
  <si>
    <t xml:space="preserve">New Year's Day</t>
  </si>
  <si>
    <t xml:space="preserve">S</t>
  </si>
  <si>
    <t xml:space="preserve">Engineering Manager</t>
  </si>
  <si>
    <t xml:space="preserve">MLK Day</t>
  </si>
  <si>
    <t xml:space="preserve">Mitigating</t>
  </si>
  <si>
    <t xml:space="preserve">Presidents' Day</t>
  </si>
  <si>
    <t xml:space="preserve">P3</t>
  </si>
  <si>
    <t xml:space="preserve">L</t>
  </si>
  <si>
    <t xml:space="preserve">Red</t>
  </si>
  <si>
    <t xml:space="preserve">Architect</t>
  </si>
  <si>
    <t xml:space="preserve">Issue</t>
  </si>
  <si>
    <t xml:space="preserve">Closed</t>
  </si>
  <si>
    <t xml:space="preserve">At Risk</t>
  </si>
  <si>
    <t xml:space="preserve">Good Friday</t>
  </si>
  <si>
    <t xml:space="preserve">On Hold</t>
  </si>
  <si>
    <t xml:space="preserve">P4</t>
  </si>
  <si>
    <t xml:space="preserve">Compliance / Risk</t>
  </si>
  <si>
    <t xml:space="preserve">Late</t>
  </si>
  <si>
    <t xml:space="preserve">Dependency Due</t>
  </si>
  <si>
    <t xml:space="preserve">Memorial Day</t>
  </si>
  <si>
    <t xml:space="preserve">Done</t>
  </si>
  <si>
    <t xml:space="preserve">Tech Debt</t>
  </si>
  <si>
    <t xml:space="preserve">Juneteenth (observed)</t>
  </si>
  <si>
    <t xml:space="preserve">Cancelled</t>
  </si>
  <si>
    <t xml:space="preserve">Independence Day (observed)</t>
  </si>
  <si>
    <t xml:space="preserve">Labor Day</t>
  </si>
  <si>
    <t xml:space="preserve">DevOps / SRE</t>
  </si>
  <si>
    <t xml:space="preserve">Thanksgiving</t>
  </si>
  <si>
    <t xml:space="preserve">Business Analyst</t>
  </si>
  <si>
    <t xml:space="preserve">Day after Thanksgiving</t>
  </si>
  <si>
    <t xml:space="preserve">Product Owner</t>
  </si>
  <si>
    <t xml:space="preserve">Christmas (observed)</t>
  </si>
  <si>
    <t xml:space="preserve">Scrum Master</t>
  </si>
  <si>
    <t xml:space="preserve">UX Designer</t>
  </si>
  <si>
    <t xml:space="preserve">Sample US 2027 dates — replace with your company holiday calendar.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</si>
</sst>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"/>
    <numFmt numFmtId="167" formatCode="0.0;[RED]\-0.0"/>
    <numFmt numFmtId="168" formatCode="\$#,##0"/>
    <numFmt numFmtId="169" formatCode="mmm"/>
    <numFmt numFmtId="170" formatCode="0%"/>
    <numFmt numFmtId="171" formatCode="0.0;\-0.0;\-"/>
    <numFmt numFmtId="172" formatCode="0.0;[RED]\-0.0;\-"/>
    <numFmt numFmtId="173" formatCode="d\-mmm\-yy"/>
    <numFmt numFmtId="174" formatCode="\$#,##0;&quot;($&quot;#,##0\);\-"/>
    <numFmt numFmtId="175" formatCode="0%;\-0%;;"/>
    <numFmt numFmtId="176" formatCode="0.00;\-0.00;\-"/>
    <numFmt numFmtId="177" formatCode="mmm\-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EEF1F5"/>
        <bgColor rgb="FFFFF9E5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9DC3E6"/>
        </patternFill>
      </fill>
    </dxf>
    <dxf>
      <fill>
        <patternFill patternType="solid">
          <fgColor rgb="FF008000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FF9E5"/>
      <rgbColor rgb="FFEEF1F5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Capacity vs demand (FTE)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Staffed capacity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Dashboard!$B$9:$B$20</c:f>
              <c:numCache>
                <c:formatCode>0.0</c:formatCode>
                <c:ptCount val="12"/>
                <c:pt idx="0">
                  <c:v>4.08684210526316</c:v>
                </c:pt>
                <c:pt idx="1">
                  <c:v>4.08684210526316</c:v>
                </c:pt>
                <c:pt idx="2">
                  <c:v>4.12272727272727</c:v>
                </c:pt>
                <c:pt idx="3">
                  <c:v>4.12272727272727</c:v>
                </c:pt>
                <c:pt idx="4">
                  <c:v>4.1</c:v>
                </c:pt>
                <c:pt idx="5">
                  <c:v>4.11190476190476</c:v>
                </c:pt>
                <c:pt idx="6">
                  <c:v>4.11190476190476</c:v>
                </c:pt>
                <c:pt idx="7">
                  <c:v>4.12272727272727</c:v>
                </c:pt>
                <c:pt idx="8">
                  <c:v>4.11190476190476</c:v>
                </c:pt>
                <c:pt idx="9">
                  <c:v>4.11190476190476</c:v>
                </c:pt>
                <c:pt idx="10">
                  <c:v>4.1</c:v>
                </c:pt>
                <c:pt idx="11">
                  <c:v>4.12272727272727</c:v>
                </c:pt>
              </c:numCache>
            </c:numRef>
          </c:val>
        </c:ser>
        <c:ser>
          <c:idx val="1"/>
          <c:order val="1"/>
          <c:tx>
            <c:strRef>
              <c:f>Dashboard!C8</c:f>
              <c:strCache>
                <c:ptCount val="1"/>
                <c:pt idx="0">
                  <c:v>Open-req capacity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Dashboard!$C$9:$C$20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0.801704545454546</c:v>
                </c:pt>
                <c:pt idx="4">
                  <c:v>0.796875</c:v>
                </c:pt>
                <c:pt idx="5">
                  <c:v>0.799404761904762</c:v>
                </c:pt>
                <c:pt idx="6">
                  <c:v>0.799404761904762</c:v>
                </c:pt>
                <c:pt idx="7">
                  <c:v>0.801704545454546</c:v>
                </c:pt>
                <c:pt idx="8">
                  <c:v>0.799404761904762</c:v>
                </c:pt>
                <c:pt idx="9">
                  <c:v>0.799404761904762</c:v>
                </c:pt>
                <c:pt idx="10">
                  <c:v>0.796875</c:v>
                </c:pt>
                <c:pt idx="11">
                  <c:v>0.801704545454546</c:v>
                </c:pt>
              </c:numCache>
            </c:numRef>
          </c:val>
        </c:ser>
        <c:gapWidth val="150"/>
        <c:overlap val="100"/>
        <c:axId val="90944421"/>
        <c:axId val="36608450"/>
      </c:barChart>
      <c:lineChart>
        <c:grouping val="stacked"/>
        <c:varyColors val="0"/>
        <c:ser>
          <c:idx val="2"/>
          <c:order val="2"/>
          <c:tx>
            <c:strRef>
              <c:f>Dashboard!D8</c:f>
              <c:strCache>
                <c:ptCount val="1"/>
                <c:pt idx="0">
                  <c:v>Demand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Dashboard!$D$9:$D$20</c:f>
              <c:numCache>
                <c:formatCode>0.0</c:formatCode>
                <c:ptCount val="12"/>
                <c:pt idx="0">
                  <c:v>3.7</c:v>
                </c:pt>
                <c:pt idx="1">
                  <c:v>3.7</c:v>
                </c:pt>
                <c:pt idx="2">
                  <c:v>4.6</c:v>
                </c:pt>
                <c:pt idx="3">
                  <c:v>5.4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944421"/>
        <c:axId val="36608450"/>
      </c:lineChart>
      <c:catAx>
        <c:axId val="90944421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08450"/>
        <c:crosses val="autoZero"/>
        <c:auto val="1"/>
        <c:lblAlgn val="ctr"/>
        <c:lblOffset val="100"/>
        <c:noMultiLvlLbl val="0"/>
      </c:catAx>
      <c:valAx>
        <c:axId val="36608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444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160920</xdr:rowOff>
    </xdr:from>
    <xdr:to>
      <xdr:col>15</xdr:col>
      <xdr:colOff>477360</xdr:colOff>
      <xdr:row>20</xdr:row>
      <xdr:rowOff>172440</xdr:rowOff>
    </xdr:to>
    <xdr:graphicFrame>
      <xdr:nvGraphicFramePr>
        <xdr:cNvPr id="0" name="Chart 1"/>
        <xdr:cNvGraphicFramePr/>
      </xdr:nvGraphicFramePr>
      <xdr:xfrm>
        <a:off x="7612560" y="1467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llocation" displayName="tblAllocation" ref="A4:S204" headerRowCount="1" totalsRowCount="0" totalsRowShown="0">
  <autoFilter ref="A4:S204"/>
  <tableColumns count="19">
    <tableColumn id="1" name="Resource"/>
    <tableColumn id="2" name="Role"/>
    <tableColumn id="3" name="Project ID"/>
    <tableColumn id="4" name="Project"/>
    <tableColumn id="5" name="Jan"/>
    <tableColumn id="6" name="Feb"/>
    <tableColumn id="7" name="Mar"/>
    <tableColumn id="8" name="Apr"/>
    <tableColumn id="9" name="May"/>
    <tableColumn id="10" name="Jun"/>
    <tableColumn id="11" name="Jul"/>
    <tableColumn id="12" name="Aug"/>
    <tableColumn id="13" name="Sep"/>
    <tableColumn id="14" name="Oct"/>
    <tableColumn id="15" name="Nov"/>
    <tableColumn id="16" name="Dec"/>
    <tableColumn id="17" name="FTE-months"/>
    <tableColumn id="18" name="Monthly rate"/>
    <tableColumn id="19" name="Labor cost"/>
  </tableColumns>
</table>
</file>

<file path=xl/tables/table2.xml><?xml version="1.0" encoding="utf-8"?>
<table xmlns="http://schemas.openxmlformats.org/spreadsheetml/2006/main" id="2" name="tblMilestones" displayName="tblMilestones" ref="A4:I104" headerRowCount="1" totalsRowCount="0" totalsRowShown="0">
  <autoFilter ref="A4:I104"/>
  <tableColumns count="9">
    <tableColumn id="1" name="Project ID"/>
    <tableColumn id="2" name="Project"/>
    <tableColumn id="3" name="Milestone"/>
    <tableColumn id="4" name="Target date"/>
    <tableColumn id="5" name="Quarter"/>
    <tableColumn id="6" name="Type"/>
    <tableColumn id="7" name="Owner"/>
    <tableColumn id="8" name="Status"/>
    <tableColumn id="9" name="Notes"/>
  </tableColumns>
</table>
</file>

<file path=xl/tables/table3.xml><?xml version="1.0" encoding="utf-8"?>
<table xmlns="http://schemas.openxmlformats.org/spreadsheetml/2006/main" id="3" name="tblObjectives" displayName="tblObjectives" ref="A4:G24" headerRowCount="1" totalsRowCount="0" totalsRowShown="0">
  <autoFilter ref="A4:G24"/>
  <tableColumns count="7">
    <tableColumn id="1" name="Obj ID"/>
    <tableColumn id="2" name="Objective"/>
    <tableColumn id="3" name="Key Result"/>
    <tableColumn id="4" name="Target"/>
    <tableColumn id="5" name="Owner"/>
    <tableColumn id="6" name="# Projects"/>
    <tableColumn id="7" name="Planned FTE-months"/>
  </tableColumns>
</table>
</file>

<file path=xl/tables/table4.xml><?xml version="1.0" encoding="utf-8"?>
<table xmlns="http://schemas.openxmlformats.org/spreadsheetml/2006/main" id="4" name="tblProjects" displayName="tblProjects" ref="A4:R54" headerRowCount="1" totalsRowCount="0" totalsRowShown="0">
  <autoFilter ref="A4:R54"/>
  <tableColumns count="18">
    <tableColumn id="1" name="ID"/>
    <tableColumn id="2" name="Project"/>
    <tableColumn id="3" name="Objective ID"/>
    <tableColumn id="4" name="Category"/>
    <tableColumn id="5" name="Priority"/>
    <tableColumn id="6" name="Size"/>
    <tableColumn id="7" name="Business Owner"/>
    <tableColumn id="8" name="Tech Lead"/>
    <tableColumn id="9" name="Start"/>
    <tableColumn id="10" name="End"/>
    <tableColumn id="11" name="Status"/>
    <tableColumn id="12" name="RAG"/>
    <tableColumn id="13" name="Planned FTE-months"/>
    <tableColumn id="14" name="Labor cost"/>
    <tableColumn id="15" name="Non-labor budget"/>
    <tableColumn id="16" name="Total budget"/>
    <tableColumn id="17" name="Key dependencies"/>
    <tableColumn id="18" name="Success measure / notes"/>
  </tableColumns>
</table>
</file>

<file path=xl/tables/table5.xml><?xml version="1.0" encoding="utf-8"?>
<table xmlns="http://schemas.openxmlformats.org/spreadsheetml/2006/main" id="5" name="tblRAID" displayName="tblRAID" ref="A4:L104" headerRowCount="1" totalsRowCount="0" totalsRowShown="0">
  <autoFilter ref="A4:L104"/>
  <tableColumns count="12">
    <tableColumn id="1" name="ID"/>
    <tableColumn id="2" name="Type"/>
    <tableColumn id="3" name="Project ID"/>
    <tableColumn id="4" name="Description"/>
    <tableColumn id="5" name="Probability (1-5)"/>
    <tableColumn id="6" name="Impact (1-5)"/>
    <tableColumn id="7" name="Score"/>
    <tableColumn id="8" name="Severity"/>
    <tableColumn id="9" name="Owner"/>
    <tableColumn id="10" name="Mitigation / next step"/>
    <tableColumn id="11" name="Due"/>
    <tableColumn id="12" name="Status"/>
  </tableColumns>
</table>
</file>

<file path=xl/tables/table6.xml><?xml version="1.0" encoding="utf-8"?>
<table xmlns="http://schemas.openxmlformats.org/spreadsheetml/2006/main" id="6" name="tblTeam" displayName="tblTeam" ref="A4:N64" headerRowCount="1" totalsRowCount="0" totalsRowShown="0">
  <autoFilter ref="A4:N64"/>
  <tableColumns count="14">
    <tableColumn id="1" name="Name"/>
    <tableColumn id="2" name="Role"/>
    <tableColumn id="3" name="Type"/>
    <tableColumn id="4" name="Vendor / Org"/>
    <tableColumn id="5" name="Primary skills"/>
    <tableColumn id="6" name="Location"/>
    <tableColumn id="7" name="Availability %"/>
    <tableColumn id="8" name="PTO days / yr"/>
    <tableColumn id="9" name="Start date"/>
    <tableColumn id="10" name="End date"/>
    <tableColumn id="11" name="Monthly cost rate"/>
    <tableColumn id="12" name="Annual capacity (FTE-mo)"/>
    <tableColumn id="13" name="Annual allocated (FTE-mo)"/>
    <tableColumn id="14" name="Utiliz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3"/>
      <c r="B11" s="2"/>
    </row>
    <row r="12" customFormat="false" ht="15" hidden="false" customHeight="false" outlineLevel="0" collapsed="false">
      <c r="A12" s="3" t="s">
        <v>16</v>
      </c>
      <c r="B12" s="2"/>
    </row>
    <row r="13" customFormat="false" ht="15" hidden="false" customHeight="false" outlineLevel="0" collapsed="false">
      <c r="A13" s="6" t="s">
        <v>17</v>
      </c>
      <c r="B13" s="5" t="s">
        <v>18</v>
      </c>
    </row>
    <row r="14" customFormat="false" ht="15" hidden="false" customHeight="false" outlineLevel="0" collapsed="false">
      <c r="A14" s="7" t="s">
        <v>19</v>
      </c>
      <c r="B14" s="5" t="s">
        <v>20</v>
      </c>
    </row>
    <row r="15" customFormat="false" ht="15" hidden="false" customHeight="false" outlineLevel="0" collapsed="false">
      <c r="A15" s="8" t="s">
        <v>21</v>
      </c>
      <c r="B15" s="5" t="s">
        <v>22</v>
      </c>
    </row>
    <row r="16" customFormat="false" ht="15" hidden="false" customHeight="false" outlineLevel="0" collapsed="false">
      <c r="A16" s="3"/>
      <c r="B16" s="2"/>
    </row>
    <row r="17" customFormat="false" ht="15" hidden="false" customHeight="false" outlineLevel="0" collapsed="false">
      <c r="A17" s="3" t="s">
        <v>23</v>
      </c>
      <c r="B17" s="2"/>
    </row>
    <row r="18" customFormat="false" ht="15" hidden="false" customHeight="false" outlineLevel="0" collapsed="false">
      <c r="A18" s="4" t="s">
        <v>24</v>
      </c>
      <c r="B18" s="5" t="s">
        <v>25</v>
      </c>
    </row>
    <row r="19" customFormat="false" ht="15" hidden="false" customHeight="false" outlineLevel="0" collapsed="false">
      <c r="A19" s="4" t="s">
        <v>26</v>
      </c>
      <c r="B19" s="5" t="s">
        <v>27</v>
      </c>
    </row>
    <row r="20" customFormat="false" ht="15" hidden="false" customHeight="false" outlineLevel="0" collapsed="false">
      <c r="A20" s="4" t="s">
        <v>28</v>
      </c>
      <c r="B20" s="5" t="s">
        <v>29</v>
      </c>
    </row>
    <row r="21" customFormat="false" ht="15" hidden="false" customHeight="false" outlineLevel="0" collapsed="false">
      <c r="A21" s="4" t="s">
        <v>30</v>
      </c>
      <c r="B21" s="5" t="s">
        <v>31</v>
      </c>
    </row>
    <row r="22" customFormat="false" ht="15" hidden="false" customHeight="false" outlineLevel="0" collapsed="false">
      <c r="A22" s="3"/>
      <c r="B22" s="2"/>
    </row>
    <row r="23" customFormat="false" ht="15" hidden="false" customHeight="false" outlineLevel="0" collapsed="false">
      <c r="A23" s="3" t="s">
        <v>32</v>
      </c>
      <c r="B23" s="2"/>
    </row>
    <row r="24" customFormat="false" ht="15" hidden="false" customHeight="false" outlineLevel="0" collapsed="false">
      <c r="A24" s="4" t="s">
        <v>33</v>
      </c>
      <c r="B24" s="5" t="s">
        <v>34</v>
      </c>
    </row>
    <row r="25" customFormat="false" ht="15" hidden="false" customHeight="false" outlineLevel="0" collapsed="false">
      <c r="A25" s="4" t="s">
        <v>35</v>
      </c>
      <c r="B25" s="5" t="s">
        <v>36</v>
      </c>
    </row>
    <row r="26" customFormat="false" ht="15" hidden="false" customHeight="false" outlineLevel="0" collapsed="false">
      <c r="A26" s="4" t="s">
        <v>37</v>
      </c>
      <c r="B26" s="5" t="s">
        <v>38</v>
      </c>
    </row>
    <row r="27" customFormat="false" ht="15" hidden="false" customHeight="false" outlineLevel="0" collapsed="false">
      <c r="A27" s="4" t="s">
        <v>39</v>
      </c>
      <c r="B27" s="5" t="s">
        <v>40</v>
      </c>
    </row>
    <row r="28" customFormat="false" ht="15" hidden="false" customHeight="false" outlineLevel="0" collapsed="false">
      <c r="A28" s="3"/>
      <c r="B28" s="2"/>
    </row>
    <row r="29" customFormat="false" ht="15" hidden="false" customHeight="false" outlineLevel="0" collapsed="false">
      <c r="A29" s="4" t="s">
        <v>41</v>
      </c>
      <c r="B29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  <col collapsed="false" customWidth="true" hidden="false" outlineLevel="0" max="6" min="5" style="0" width="16"/>
    <col collapsed="false" customWidth="true" hidden="false" outlineLevel="0" max="9" min="7" style="0" width="14"/>
  </cols>
  <sheetData>
    <row r="1" customFormat="false" ht="17.35" hidden="false" customHeight="false" outlineLevel="0" collapsed="false">
      <c r="A1" s="9" t="s">
        <v>43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0" t="str">
        <f aca="false">"Plan year "&amp;Settings!B3&amp;"  •  all effort in FTE-months (1 = one person for one month)"</f>
        <v>Plan year 2027  •  all effort in FTE-months (1 = one person for one month)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0" hidden="false" customHeight="true" outlineLevel="0" collapsed="false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</row>
    <row r="5" customFormat="false" ht="25.5" hidden="false" customHeight="true" outlineLevel="0" collapsed="false">
      <c r="A5" s="12" t="n">
        <f aca="false">COUNTIFS(Projects!A5:A54,"&lt;&gt;",Projects!K5:K54,"&lt;&gt;Cancelled")</f>
        <v>3</v>
      </c>
      <c r="B5" s="12" t="n">
        <f aca="false">COUNTIFS(Projects!E5:E54,"P1",Projects!K5:K54,"&lt;&gt;Cancelled")</f>
        <v>1</v>
      </c>
      <c r="C5" s="13" t="n">
        <f aca="false">SUM(Allocation!Q5:Q204)</f>
        <v>52.2</v>
      </c>
      <c r="D5" s="13" t="n">
        <f aca="false">SUMIFS(Capacity!P70:P129,Capacity!C70:C129,"&lt;&gt;Open Req")</f>
        <v>49.3122123490545</v>
      </c>
      <c r="E5" s="13" t="n">
        <f aca="false">SUMIFS(Capacity!P70:P129,Capacity!C70:C129,"Open Req")</f>
        <v>7.19648268398268</v>
      </c>
      <c r="F5" s="14" t="n">
        <f aca="false">D5-C5</f>
        <v>-2.88778765094555</v>
      </c>
      <c r="G5" s="12" t="n">
        <f aca="false">COUNTIF(Capacity!P6:P65,"&gt;1.0001")</f>
        <v>6</v>
      </c>
      <c r="H5" s="12" t="n">
        <f aca="false">COUNTIFS(RAID!H5:H104,"High",RAID!L5:L104,"&lt;&gt;Closed")</f>
        <v>0</v>
      </c>
      <c r="I5" s="15" t="n">
        <f aca="false">SUM(Projects!P5:P54)</f>
        <v>706800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16" t="s">
        <v>53</v>
      </c>
      <c r="B7" s="2"/>
      <c r="C7" s="2"/>
      <c r="D7" s="2"/>
      <c r="E7" s="2"/>
      <c r="F7" s="2"/>
      <c r="G7" s="2"/>
      <c r="H7" s="2"/>
      <c r="I7" s="2"/>
    </row>
    <row r="8" customFormat="false" ht="30" hidden="false" customHeight="true" outlineLevel="0" collapsed="false">
      <c r="A8" s="17" t="s">
        <v>54</v>
      </c>
      <c r="B8" s="17" t="s">
        <v>47</v>
      </c>
      <c r="C8" s="17" t="s">
        <v>48</v>
      </c>
      <c r="D8" s="17" t="s">
        <v>55</v>
      </c>
      <c r="E8" s="17" t="s">
        <v>49</v>
      </c>
      <c r="F8" s="17" t="s">
        <v>56</v>
      </c>
      <c r="G8" s="2"/>
      <c r="H8" s="2"/>
      <c r="I8" s="2"/>
    </row>
    <row r="9" customFormat="false" ht="15" hidden="false" customHeight="false" outlineLevel="0" collapsed="false">
      <c r="A9" s="18" t="n">
        <f aca="false">Settings!A8</f>
        <v>46388</v>
      </c>
      <c r="B9" s="19" t="n">
        <f aca="false">SUMIFS(Capacity!D$70:D$129,Capacity!$C$70:$C$129,"&lt;&gt;Open Req")</f>
        <v>4.08684210526316</v>
      </c>
      <c r="C9" s="19" t="n">
        <f aca="false">SUMIFS(Capacity!D$70:D$129,Capacity!$C$70:$C$129,"Open Req")</f>
        <v>0</v>
      </c>
      <c r="D9" s="19" t="n">
        <f aca="false">SUM(Allocation!E$5:E$204)</f>
        <v>3.7</v>
      </c>
      <c r="E9" s="20" t="n">
        <f aca="false">B9-D9</f>
        <v>0.386842105263158</v>
      </c>
      <c r="F9" s="21" t="n">
        <f aca="false">IF(B9+C9=0,"",D9/(B9+C9))</f>
        <v>0.905344494526723</v>
      </c>
      <c r="G9" s="2"/>
      <c r="H9" s="2"/>
      <c r="I9" s="2"/>
    </row>
    <row r="10" customFormat="false" ht="15" hidden="false" customHeight="false" outlineLevel="0" collapsed="false">
      <c r="A10" s="18" t="n">
        <f aca="false">Settings!A9</f>
        <v>46419</v>
      </c>
      <c r="B10" s="19" t="n">
        <f aca="false">SUMIFS(Capacity!E$70:E$129,Capacity!$C$70:$C$129,"&lt;&gt;Open Req")</f>
        <v>4.08684210526316</v>
      </c>
      <c r="C10" s="19" t="n">
        <f aca="false">SUMIFS(Capacity!E$70:E$129,Capacity!$C$70:$C$129,"Open Req")</f>
        <v>0</v>
      </c>
      <c r="D10" s="19" t="n">
        <f aca="false">SUM(Allocation!F$5:F$204)</f>
        <v>3.7</v>
      </c>
      <c r="E10" s="20" t="n">
        <f aca="false">B10-D10</f>
        <v>0.386842105263158</v>
      </c>
      <c r="F10" s="21" t="n">
        <f aca="false">IF(B10+C10=0,"",D10/(B10+C10))</f>
        <v>0.905344494526723</v>
      </c>
      <c r="G10" s="2"/>
      <c r="H10" s="2"/>
      <c r="I10" s="2"/>
    </row>
    <row r="11" customFormat="false" ht="15" hidden="false" customHeight="false" outlineLevel="0" collapsed="false">
      <c r="A11" s="18" t="n">
        <f aca="false">Settings!A10</f>
        <v>46447</v>
      </c>
      <c r="B11" s="19" t="n">
        <f aca="false">SUMIFS(Capacity!F$70:F$129,Capacity!$C$70:$C$129,"&lt;&gt;Open Req")</f>
        <v>4.12272727272727</v>
      </c>
      <c r="C11" s="19" t="n">
        <f aca="false">SUMIFS(Capacity!F$70:F$129,Capacity!$C$70:$C$129,"Open Req")</f>
        <v>0</v>
      </c>
      <c r="D11" s="19" t="n">
        <f aca="false">SUM(Allocation!G$5:G$204)</f>
        <v>4.6</v>
      </c>
      <c r="E11" s="20" t="n">
        <f aca="false">B11-D11</f>
        <v>-0.477272727272727</v>
      </c>
      <c r="F11" s="21" t="n">
        <f aca="false">IF(B11+C11=0,"",D11/(B11+C11))</f>
        <v>1.11576626240353</v>
      </c>
      <c r="G11" s="2"/>
      <c r="H11" s="2"/>
      <c r="I11" s="2"/>
    </row>
    <row r="12" customFormat="false" ht="15" hidden="false" customHeight="false" outlineLevel="0" collapsed="false">
      <c r="A12" s="18" t="n">
        <f aca="false">Settings!A11</f>
        <v>46478</v>
      </c>
      <c r="B12" s="19" t="n">
        <f aca="false">SUMIFS(Capacity!G$70:G$129,Capacity!$C$70:$C$129,"&lt;&gt;Open Req")</f>
        <v>4.12272727272727</v>
      </c>
      <c r="C12" s="19" t="n">
        <f aca="false">SUMIFS(Capacity!G$70:G$129,Capacity!$C$70:$C$129,"Open Req")</f>
        <v>0.801704545454546</v>
      </c>
      <c r="D12" s="19" t="n">
        <f aca="false">SUM(Allocation!H$5:H$204)</f>
        <v>5.4</v>
      </c>
      <c r="E12" s="20" t="n">
        <f aca="false">B12-D12</f>
        <v>-1.27727272727273</v>
      </c>
      <c r="F12" s="21" t="n">
        <f aca="false">IF(B12+C12=0,"",D12/(B12+C12))</f>
        <v>1.09657320872274</v>
      </c>
      <c r="G12" s="2"/>
      <c r="H12" s="2"/>
      <c r="I12" s="2"/>
    </row>
    <row r="13" customFormat="false" ht="15" hidden="false" customHeight="false" outlineLevel="0" collapsed="false">
      <c r="A13" s="18" t="n">
        <f aca="false">Settings!A12</f>
        <v>46508</v>
      </c>
      <c r="B13" s="19" t="n">
        <f aca="false">SUMIFS(Capacity!H$70:H$129,Capacity!$C$70:$C$129,"&lt;&gt;Open Req")</f>
        <v>4.1</v>
      </c>
      <c r="C13" s="19" t="n">
        <f aca="false">SUMIFS(Capacity!H$70:H$129,Capacity!$C$70:$C$129,"Open Req")</f>
        <v>0.796875</v>
      </c>
      <c r="D13" s="19" t="n">
        <f aca="false">SUM(Allocation!I$5:I$204)</f>
        <v>4.8</v>
      </c>
      <c r="E13" s="20" t="n">
        <f aca="false">B13-D13</f>
        <v>-0.7</v>
      </c>
      <c r="F13" s="21" t="n">
        <f aca="false">IF(B13+C13=0,"",D13/(B13+C13))</f>
        <v>0.980216975111678</v>
      </c>
      <c r="G13" s="2"/>
      <c r="H13" s="2"/>
      <c r="I13" s="2"/>
    </row>
    <row r="14" customFormat="false" ht="15" hidden="false" customHeight="false" outlineLevel="0" collapsed="false">
      <c r="A14" s="18" t="n">
        <f aca="false">Settings!A13</f>
        <v>46539</v>
      </c>
      <c r="B14" s="19" t="n">
        <f aca="false">SUMIFS(Capacity!I$70:I$129,Capacity!$C$70:$C$129,"&lt;&gt;Open Req")</f>
        <v>4.11190476190476</v>
      </c>
      <c r="C14" s="19" t="n">
        <f aca="false">SUMIFS(Capacity!I$70:I$129,Capacity!$C$70:$C$129,"Open Req")</f>
        <v>0.799404761904762</v>
      </c>
      <c r="D14" s="19" t="n">
        <f aca="false">SUM(Allocation!J$5:J$204)</f>
        <v>4.8</v>
      </c>
      <c r="E14" s="20" t="n">
        <f aca="false">B14-D14</f>
        <v>-0.688095238095237</v>
      </c>
      <c r="F14" s="21" t="n">
        <f aca="false">IF(B14+C14=0,"",D14/(B14+C14))</f>
        <v>0.977336080475094</v>
      </c>
      <c r="G14" s="2"/>
      <c r="H14" s="2"/>
      <c r="I14" s="2"/>
    </row>
    <row r="15" customFormat="false" ht="15" hidden="false" customHeight="false" outlineLevel="0" collapsed="false">
      <c r="A15" s="18" t="n">
        <f aca="false">Settings!A14</f>
        <v>46569</v>
      </c>
      <c r="B15" s="19" t="n">
        <f aca="false">SUMIFS(Capacity!J$70:J$129,Capacity!$C$70:$C$129,"&lt;&gt;Open Req")</f>
        <v>4.11190476190476</v>
      </c>
      <c r="C15" s="19" t="n">
        <f aca="false">SUMIFS(Capacity!J$70:J$129,Capacity!$C$70:$C$129,"Open Req")</f>
        <v>0.799404761904762</v>
      </c>
      <c r="D15" s="19" t="n">
        <f aca="false">SUM(Allocation!K$5:K$204)</f>
        <v>4.8</v>
      </c>
      <c r="E15" s="20" t="n">
        <f aca="false">B15-D15</f>
        <v>-0.688095238095237</v>
      </c>
      <c r="F15" s="21" t="n">
        <f aca="false">IF(B15+C15=0,"",D15/(B15+C15))</f>
        <v>0.977336080475094</v>
      </c>
      <c r="G15" s="2"/>
      <c r="H15" s="2"/>
      <c r="I15" s="2"/>
    </row>
    <row r="16" customFormat="false" ht="15" hidden="false" customHeight="false" outlineLevel="0" collapsed="false">
      <c r="A16" s="18" t="n">
        <f aca="false">Settings!A15</f>
        <v>46600</v>
      </c>
      <c r="B16" s="19" t="n">
        <f aca="false">SUMIFS(Capacity!K$70:K$129,Capacity!$C$70:$C$129,"&lt;&gt;Open Req")</f>
        <v>4.12272727272727</v>
      </c>
      <c r="C16" s="19" t="n">
        <f aca="false">SUMIFS(Capacity!K$70:K$129,Capacity!$C$70:$C$129,"Open Req")</f>
        <v>0.801704545454546</v>
      </c>
      <c r="D16" s="19" t="n">
        <f aca="false">SUM(Allocation!L$5:L$204)</f>
        <v>4.8</v>
      </c>
      <c r="E16" s="20" t="n">
        <f aca="false">B16-D16</f>
        <v>-0.677272727272727</v>
      </c>
      <c r="F16" s="21" t="n">
        <f aca="false">IF(B16+C16=0,"",D16/(B16+C16))</f>
        <v>0.974731741086881</v>
      </c>
      <c r="G16" s="2"/>
      <c r="H16" s="2"/>
      <c r="I16" s="2"/>
    </row>
    <row r="17" customFormat="false" ht="15" hidden="false" customHeight="false" outlineLevel="0" collapsed="false">
      <c r="A17" s="18" t="n">
        <f aca="false">Settings!A16</f>
        <v>46631</v>
      </c>
      <c r="B17" s="19" t="n">
        <f aca="false">SUMIFS(Capacity!L$70:L$129,Capacity!$C$70:$C$129,"&lt;&gt;Open Req")</f>
        <v>4.11190476190476</v>
      </c>
      <c r="C17" s="19" t="n">
        <f aca="false">SUMIFS(Capacity!L$70:L$129,Capacity!$C$70:$C$129,"Open Req")</f>
        <v>0.799404761904762</v>
      </c>
      <c r="D17" s="19" t="n">
        <f aca="false">SUM(Allocation!M$5:M$204)</f>
        <v>3.9</v>
      </c>
      <c r="E17" s="20" t="n">
        <f aca="false">B17-D17</f>
        <v>0.211904761904763</v>
      </c>
      <c r="F17" s="21" t="n">
        <f aca="false">IF(B17+C17=0,"",D17/(B17+C17))</f>
        <v>0.794085565386014</v>
      </c>
      <c r="G17" s="2"/>
      <c r="H17" s="2"/>
      <c r="I17" s="2"/>
    </row>
    <row r="18" customFormat="false" ht="15" hidden="false" customHeight="false" outlineLevel="0" collapsed="false">
      <c r="A18" s="18" t="n">
        <f aca="false">Settings!A17</f>
        <v>46661</v>
      </c>
      <c r="B18" s="19" t="n">
        <f aca="false">SUMIFS(Capacity!M$70:M$129,Capacity!$C$70:$C$129,"&lt;&gt;Open Req")</f>
        <v>4.11190476190476</v>
      </c>
      <c r="C18" s="19" t="n">
        <f aca="false">SUMIFS(Capacity!M$70:M$129,Capacity!$C$70:$C$129,"Open Req")</f>
        <v>0.799404761904762</v>
      </c>
      <c r="D18" s="19" t="n">
        <f aca="false">SUM(Allocation!N$5:N$204)</f>
        <v>3.9</v>
      </c>
      <c r="E18" s="20" t="n">
        <f aca="false">B18-D18</f>
        <v>0.211904761904763</v>
      </c>
      <c r="F18" s="21" t="n">
        <f aca="false">IF(B18+C18=0,"",D18/(B18+C18))</f>
        <v>0.794085565386014</v>
      </c>
      <c r="G18" s="2"/>
      <c r="H18" s="2"/>
      <c r="I18" s="2"/>
    </row>
    <row r="19" customFormat="false" ht="15" hidden="false" customHeight="false" outlineLevel="0" collapsed="false">
      <c r="A19" s="18" t="n">
        <f aca="false">Settings!A18</f>
        <v>46692</v>
      </c>
      <c r="B19" s="19" t="n">
        <f aca="false">SUMIFS(Capacity!N$70:N$129,Capacity!$C$70:$C$129,"&lt;&gt;Open Req")</f>
        <v>4.1</v>
      </c>
      <c r="C19" s="19" t="n">
        <f aca="false">SUMIFS(Capacity!N$70:N$129,Capacity!$C$70:$C$129,"Open Req")</f>
        <v>0.796875</v>
      </c>
      <c r="D19" s="19" t="n">
        <f aca="false">SUM(Allocation!O$5:O$204)</f>
        <v>3.9</v>
      </c>
      <c r="E19" s="20" t="n">
        <f aca="false">B19-D19</f>
        <v>0.2</v>
      </c>
      <c r="F19" s="21" t="n">
        <f aca="false">IF(B19+C19=0,"",D19/(B19+C19))</f>
        <v>0.796426292278239</v>
      </c>
      <c r="G19" s="2"/>
      <c r="H19" s="2"/>
      <c r="I19" s="2"/>
    </row>
    <row r="20" customFormat="false" ht="15" hidden="false" customHeight="false" outlineLevel="0" collapsed="false">
      <c r="A20" s="18" t="n">
        <f aca="false">Settings!A19</f>
        <v>46722</v>
      </c>
      <c r="B20" s="19" t="n">
        <f aca="false">SUMIFS(Capacity!O$70:O$129,Capacity!$C$70:$C$129,"&lt;&gt;Open Req")</f>
        <v>4.12272727272727</v>
      </c>
      <c r="C20" s="19" t="n">
        <f aca="false">SUMIFS(Capacity!O$70:O$129,Capacity!$C$70:$C$129,"Open Req")</f>
        <v>0.801704545454546</v>
      </c>
      <c r="D20" s="19" t="n">
        <f aca="false">SUM(Allocation!P$5:P$204)</f>
        <v>3.9</v>
      </c>
      <c r="E20" s="20" t="n">
        <f aca="false">B20-D20</f>
        <v>0.222727272727274</v>
      </c>
      <c r="F20" s="21" t="n">
        <f aca="false">IF(B20+C20=0,"",D20/(B20+C20))</f>
        <v>0.791969539633091</v>
      </c>
      <c r="G20" s="2"/>
      <c r="H20" s="2"/>
      <c r="I20" s="2"/>
    </row>
    <row r="21" customFormat="false" ht="15" hidden="false" customHeight="false" outlineLevel="0" collapsed="false">
      <c r="A21" s="22" t="s">
        <v>57</v>
      </c>
      <c r="B21" s="23" t="n">
        <f aca="false">SUM(B9:B20)</f>
        <v>49.3122123490545</v>
      </c>
      <c r="C21" s="23" t="n">
        <f aca="false">SUM(C9:C20)</f>
        <v>7.19648268398268</v>
      </c>
      <c r="D21" s="23" t="n">
        <f aca="false">SUM(D9:D20)</f>
        <v>52.2</v>
      </c>
      <c r="E21" s="24" t="n">
        <f aca="false">SUM(E9:E20)</f>
        <v>-2.88778765094554</v>
      </c>
      <c r="F21" s="25" t="n">
        <f aca="false">IF(B21+C21=0,"",D21/(B21+C21))</f>
        <v>0.923751645113763</v>
      </c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16" t="s">
        <v>58</v>
      </c>
      <c r="B24" s="2"/>
      <c r="C24" s="2"/>
      <c r="D24" s="2"/>
      <c r="E24" s="2"/>
      <c r="F24" s="2"/>
      <c r="G24" s="2"/>
      <c r="H24" s="2"/>
      <c r="I24" s="2"/>
    </row>
    <row r="25" customFormat="false" ht="30" hidden="false" customHeight="true" outlineLevel="0" collapsed="false">
      <c r="A25" s="17" t="s">
        <v>59</v>
      </c>
      <c r="B25" s="17" t="s">
        <v>60</v>
      </c>
      <c r="C25" s="17" t="s">
        <v>61</v>
      </c>
      <c r="D25" s="17" t="s">
        <v>55</v>
      </c>
      <c r="E25" s="17" t="s">
        <v>49</v>
      </c>
      <c r="F25" s="2"/>
      <c r="G25" s="2"/>
      <c r="H25" s="2"/>
      <c r="I25" s="2"/>
    </row>
    <row r="26" customFormat="false" ht="15" hidden="false" customHeight="false" outlineLevel="0" collapsed="false">
      <c r="A26" s="26" t="str">
        <f aca="false">IF(Settings!N8="","",Settings!N8)</f>
        <v>Engineering Manager</v>
      </c>
      <c r="B26" s="27" t="n">
        <f aca="false">IF(A26="","",SUMIFS(Capacity!$P$70:$P$129,Capacity!$B$70:$B$129,A26,Capacity!$C$70:$C$129,"&lt;&gt;Open Req"))</f>
        <v>0</v>
      </c>
      <c r="C26" s="27" t="n">
        <f aca="false">IF(A26="","",SUMIFS(Capacity!$P$70:$P$129,Capacity!$B$70:$B$129,A26,Capacity!$C$70:$C$129,"Open Req"))</f>
        <v>0</v>
      </c>
      <c r="D26" s="27" t="n">
        <f aca="false">IF(A26="","",SUMIFS(Allocation!$Q$5:$Q$204,Allocation!$B$5:$B$204,A26))</f>
        <v>0</v>
      </c>
      <c r="E26" s="28" t="n">
        <f aca="false">IF(A26="","",B26-D26)</f>
        <v>0</v>
      </c>
      <c r="F26" s="2"/>
      <c r="G26" s="2"/>
      <c r="H26" s="2"/>
      <c r="I26" s="2"/>
    </row>
    <row r="27" customFormat="false" ht="15" hidden="false" customHeight="false" outlineLevel="0" collapsed="false">
      <c r="A27" s="26" t="str">
        <f aca="false">IF(Settings!N9="","",Settings!N9)</f>
        <v>Tech Lead</v>
      </c>
      <c r="B27" s="27" t="n">
        <f aca="false">IF(A27="","",SUMIFS(Capacity!$P$70:$P$129,Capacity!$B$70:$B$129,A27,Capacity!$C$70:$C$129,"&lt;&gt;Open Req"))</f>
        <v>8.82992329308119</v>
      </c>
      <c r="C27" s="27" t="n">
        <f aca="false">IF(A27="","",SUMIFS(Capacity!$P$70:$P$129,Capacity!$B$70:$B$129,A27,Capacity!$C$70:$C$129,"Open Req"))</f>
        <v>0</v>
      </c>
      <c r="D27" s="27" t="n">
        <f aca="false">IF(A27="","",SUMIFS(Allocation!$Q$5:$Q$204,Allocation!$B$5:$B$204,A27))</f>
        <v>9.2</v>
      </c>
      <c r="E27" s="28" t="n">
        <f aca="false">IF(A27="","",B27-D27)</f>
        <v>-0.370076706918811</v>
      </c>
      <c r="F27" s="2"/>
      <c r="G27" s="2"/>
      <c r="H27" s="2"/>
      <c r="I27" s="2"/>
    </row>
    <row r="28" customFormat="false" ht="15" hidden="false" customHeight="false" outlineLevel="0" collapsed="false">
      <c r="A28" s="26" t="str">
        <f aca="false">IF(Settings!N10="","",Settings!N10)</f>
        <v>Architect</v>
      </c>
      <c r="B28" s="27" t="n">
        <f aca="false">IF(A28="","",SUMIFS(Capacity!$P$70:$P$129,Capacity!$B$70:$B$129,A28,Capacity!$C$70:$C$129,"&lt;&gt;Open Req"))</f>
        <v>0</v>
      </c>
      <c r="C28" s="27" t="n">
        <f aca="false">IF(A28="","",SUMIFS(Capacity!$P$70:$P$129,Capacity!$B$70:$B$129,A28,Capacity!$C$70:$C$129,"Open Req"))</f>
        <v>0</v>
      </c>
      <c r="D28" s="27" t="n">
        <f aca="false">IF(A28="","",SUMIFS(Allocation!$Q$5:$Q$204,Allocation!$B$5:$B$204,A28))</f>
        <v>0</v>
      </c>
      <c r="E28" s="28" t="n">
        <f aca="false">IF(A28="","",B28-D28)</f>
        <v>0</v>
      </c>
      <c r="F28" s="2"/>
      <c r="G28" s="2"/>
      <c r="H28" s="2"/>
      <c r="I28" s="2"/>
    </row>
    <row r="29" customFormat="false" ht="15" hidden="false" customHeight="false" outlineLevel="0" collapsed="false">
      <c r="A29" s="26" t="str">
        <f aca="false">IF(Settings!N11="","",Settings!N11)</f>
        <v>Backend Developer</v>
      </c>
      <c r="B29" s="27" t="n">
        <f aca="false">IF(A29="","",SUMIFS(Capacity!$P$70:$P$129,Capacity!$B$70:$B$129,A29,Capacity!$C$70:$C$129,"&lt;&gt;Open Req"))</f>
        <v>9.38179349889876</v>
      </c>
      <c r="C29" s="27" t="n">
        <f aca="false">IF(A29="","",SUMIFS(Capacity!$P$70:$P$129,Capacity!$B$70:$B$129,A29,Capacity!$C$70:$C$129,"Open Req"))</f>
        <v>0</v>
      </c>
      <c r="D29" s="27" t="n">
        <f aca="false">IF(A29="","",SUMIFS(Allocation!$Q$5:$Q$204,Allocation!$B$5:$B$204,A29))</f>
        <v>8.4</v>
      </c>
      <c r="E29" s="28" t="n">
        <f aca="false">IF(A29="","",B29-D29)</f>
        <v>0.98179349889876</v>
      </c>
      <c r="F29" s="2"/>
      <c r="G29" s="2"/>
      <c r="H29" s="2"/>
      <c r="I29" s="2"/>
    </row>
    <row r="30" customFormat="false" ht="15" hidden="false" customHeight="false" outlineLevel="0" collapsed="false">
      <c r="A30" s="26" t="str">
        <f aca="false">IF(Settings!N12="","",Settings!N12)</f>
        <v>Frontend Developer</v>
      </c>
      <c r="B30" s="27" t="n">
        <f aca="false">IF(A30="","",SUMIFS(Capacity!$P$70:$P$129,Capacity!$B$70:$B$129,A30,Capacity!$C$70:$C$129,"&lt;&gt;Open Req"))</f>
        <v>10.3668318523582</v>
      </c>
      <c r="C30" s="27" t="n">
        <f aca="false">IF(A30="","",SUMIFS(Capacity!$P$70:$P$129,Capacity!$B$70:$B$129,A30,Capacity!$C$70:$C$129,"Open Req"))</f>
        <v>7.19648268398268</v>
      </c>
      <c r="D30" s="27" t="n">
        <f aca="false">IF(A30="","",SUMIFS(Allocation!$Q$5:$Q$204,Allocation!$B$5:$B$204,A30))</f>
        <v>18</v>
      </c>
      <c r="E30" s="28" t="n">
        <f aca="false">IF(A30="","",B30-D30)</f>
        <v>-7.63316814764183</v>
      </c>
      <c r="F30" s="2"/>
      <c r="G30" s="2"/>
      <c r="H30" s="2"/>
      <c r="I30" s="2"/>
    </row>
    <row r="31" customFormat="false" ht="15" hidden="false" customHeight="false" outlineLevel="0" collapsed="false">
      <c r="A31" s="26" t="str">
        <f aca="false">IF(Settings!N13="","",Settings!N13)</f>
        <v>Full-stack Developer</v>
      </c>
      <c r="B31" s="27" t="n">
        <f aca="false">IF(A31="","",SUMIFS(Capacity!$P$70:$P$129,Capacity!$B$70:$B$129,A31,Capacity!$C$70:$C$129,"&lt;&gt;Open Req"))</f>
        <v>10.3668318523582</v>
      </c>
      <c r="C31" s="27" t="n">
        <f aca="false">IF(A31="","",SUMIFS(Capacity!$P$70:$P$129,Capacity!$B$70:$B$129,A31,Capacity!$C$70:$C$129,"Open Req"))</f>
        <v>0</v>
      </c>
      <c r="D31" s="27" t="n">
        <f aca="false">IF(A31="","",SUMIFS(Allocation!$Q$5:$Q$204,Allocation!$B$5:$B$204,A31))</f>
        <v>7.6</v>
      </c>
      <c r="E31" s="28" t="n">
        <f aca="false">IF(A31="","",B31-D31)</f>
        <v>2.76683185235817</v>
      </c>
      <c r="F31" s="2"/>
      <c r="G31" s="2"/>
      <c r="H31" s="2"/>
      <c r="I31" s="2"/>
    </row>
    <row r="32" customFormat="false" ht="15" hidden="false" customHeight="false" outlineLevel="0" collapsed="false">
      <c r="A32" s="26" t="str">
        <f aca="false">IF(Settings!N14="","",Settings!N14)</f>
        <v>QA / SDET</v>
      </c>
      <c r="B32" s="27" t="n">
        <f aca="false">IF(A32="","",SUMIFS(Capacity!$P$70:$P$129,Capacity!$B$70:$B$129,A32,Capacity!$C$70:$C$129,"&lt;&gt;Open Req"))</f>
        <v>10.3668318523582</v>
      </c>
      <c r="C32" s="27" t="n">
        <f aca="false">IF(A32="","",SUMIFS(Capacity!$P$70:$P$129,Capacity!$B$70:$B$129,A32,Capacity!$C$70:$C$129,"Open Req"))</f>
        <v>0</v>
      </c>
      <c r="D32" s="27" t="n">
        <f aca="false">IF(A32="","",SUMIFS(Allocation!$Q$5:$Q$204,Allocation!$B$5:$B$204,A32))</f>
        <v>9</v>
      </c>
      <c r="E32" s="28" t="n">
        <f aca="false">IF(A32="","",B32-D32)</f>
        <v>1.36683185235817</v>
      </c>
      <c r="F32" s="2"/>
      <c r="G32" s="2"/>
      <c r="H32" s="2"/>
      <c r="I32" s="2"/>
    </row>
    <row r="33" customFormat="false" ht="15" hidden="false" customHeight="false" outlineLevel="0" collapsed="false">
      <c r="A33" s="26" t="str">
        <f aca="false">IF(Settings!N15="","",Settings!N15)</f>
        <v>DevOps / SRE</v>
      </c>
      <c r="B33" s="27" t="n">
        <f aca="false">IF(A33="","",SUMIFS(Capacity!$P$70:$P$129,Capacity!$B$70:$B$129,A33,Capacity!$C$70:$C$129,"&lt;&gt;Open Req"))</f>
        <v>0</v>
      </c>
      <c r="C33" s="27" t="n">
        <f aca="false">IF(A33="","",SUMIFS(Capacity!$P$70:$P$129,Capacity!$B$70:$B$129,A33,Capacity!$C$70:$C$129,"Open Req"))</f>
        <v>0</v>
      </c>
      <c r="D33" s="27" t="n">
        <f aca="false">IF(A33="","",SUMIFS(Allocation!$Q$5:$Q$204,Allocation!$B$5:$B$204,A33))</f>
        <v>0</v>
      </c>
      <c r="E33" s="28" t="n">
        <f aca="false">IF(A33="","",B33-D33)</f>
        <v>0</v>
      </c>
      <c r="F33" s="2"/>
      <c r="G33" s="2"/>
      <c r="H33" s="2"/>
      <c r="I33" s="2"/>
    </row>
    <row r="34" customFormat="false" ht="15" hidden="false" customHeight="false" outlineLevel="0" collapsed="false">
      <c r="A34" s="26" t="str">
        <f aca="false">IF(Settings!N16="","",Settings!N16)</f>
        <v>Business Analyst</v>
      </c>
      <c r="B34" s="27" t="n">
        <f aca="false">IF(A34="","",SUMIFS(Capacity!$P$70:$P$129,Capacity!$B$70:$B$129,A34,Capacity!$C$70:$C$129,"&lt;&gt;Open Req"))</f>
        <v>0</v>
      </c>
      <c r="C34" s="27" t="n">
        <f aca="false">IF(A34="","",SUMIFS(Capacity!$P$70:$P$129,Capacity!$B$70:$B$129,A34,Capacity!$C$70:$C$129,"Open Req"))</f>
        <v>0</v>
      </c>
      <c r="D34" s="27" t="n">
        <f aca="false">IF(A34="","",SUMIFS(Allocation!$Q$5:$Q$204,Allocation!$B$5:$B$204,A34))</f>
        <v>0</v>
      </c>
      <c r="E34" s="28" t="n">
        <f aca="false">IF(A34="","",B34-D34)</f>
        <v>0</v>
      </c>
      <c r="F34" s="2"/>
      <c r="G34" s="2"/>
      <c r="H34" s="2"/>
      <c r="I34" s="2"/>
    </row>
    <row r="35" customFormat="false" ht="15" hidden="false" customHeight="false" outlineLevel="0" collapsed="false">
      <c r="A35" s="26" t="str">
        <f aca="false">IF(Settings!N17="","",Settings!N17)</f>
        <v>Product Owner</v>
      </c>
      <c r="B35" s="27" t="n">
        <f aca="false">IF(A35="","",SUMIFS(Capacity!$P$70:$P$129,Capacity!$B$70:$B$129,A35,Capacity!$C$70:$C$129,"&lt;&gt;Open Req"))</f>
        <v>0</v>
      </c>
      <c r="C35" s="27" t="n">
        <f aca="false">IF(A35="","",SUMIFS(Capacity!$P$70:$P$129,Capacity!$B$70:$B$129,A35,Capacity!$C$70:$C$129,"Open Req"))</f>
        <v>0</v>
      </c>
      <c r="D35" s="27" t="n">
        <f aca="false">IF(A35="","",SUMIFS(Allocation!$Q$5:$Q$204,Allocation!$B$5:$B$204,A35))</f>
        <v>0</v>
      </c>
      <c r="E35" s="28" t="n">
        <f aca="false">IF(A35="","",B35-D35)</f>
        <v>0</v>
      </c>
      <c r="F35" s="2"/>
      <c r="G35" s="2"/>
      <c r="H35" s="2"/>
      <c r="I35" s="2"/>
    </row>
    <row r="36" customFormat="false" ht="15" hidden="false" customHeight="false" outlineLevel="0" collapsed="false">
      <c r="A36" s="26" t="str">
        <f aca="false">IF(Settings!N18="","",Settings!N18)</f>
        <v>Scrum Master</v>
      </c>
      <c r="B36" s="27" t="n">
        <f aca="false">IF(A36="","",SUMIFS(Capacity!$P$70:$P$129,Capacity!$B$70:$B$129,A36,Capacity!$C$70:$C$129,"&lt;&gt;Open Req"))</f>
        <v>0</v>
      </c>
      <c r="C36" s="27" t="n">
        <f aca="false">IF(A36="","",SUMIFS(Capacity!$P$70:$P$129,Capacity!$B$70:$B$129,A36,Capacity!$C$70:$C$129,"Open Req"))</f>
        <v>0</v>
      </c>
      <c r="D36" s="27" t="n">
        <f aca="false">IF(A36="","",SUMIFS(Allocation!$Q$5:$Q$204,Allocation!$B$5:$B$204,A36))</f>
        <v>0</v>
      </c>
      <c r="E36" s="28" t="n">
        <f aca="false">IF(A36="","",B36-D36)</f>
        <v>0</v>
      </c>
      <c r="F36" s="2"/>
      <c r="G36" s="2"/>
      <c r="H36" s="2"/>
      <c r="I36" s="2"/>
    </row>
    <row r="37" customFormat="false" ht="15" hidden="false" customHeight="false" outlineLevel="0" collapsed="false">
      <c r="A37" s="26" t="str">
        <f aca="false">IF(Settings!N19="","",Settings!N19)</f>
        <v>UX Designer</v>
      </c>
      <c r="B37" s="27" t="n">
        <f aca="false">IF(A37="","",SUMIFS(Capacity!$P$70:$P$129,Capacity!$B$70:$B$129,A37,Capacity!$C$70:$C$129,"&lt;&gt;Open Req"))</f>
        <v>0</v>
      </c>
      <c r="C37" s="27" t="n">
        <f aca="false">IF(A37="","",SUMIFS(Capacity!$P$70:$P$129,Capacity!$B$70:$B$129,A37,Capacity!$C$70:$C$129,"Open Req"))</f>
        <v>0</v>
      </c>
      <c r="D37" s="27" t="n">
        <f aca="false">IF(A37="","",SUMIFS(Allocation!$Q$5:$Q$204,Allocation!$B$5:$B$204,A37))</f>
        <v>0</v>
      </c>
      <c r="E37" s="28" t="n">
        <f aca="false">IF(A37="","",B37-D37)</f>
        <v>0</v>
      </c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16" t="s">
        <v>62</v>
      </c>
      <c r="B40" s="2"/>
      <c r="C40" s="2"/>
      <c r="D40" s="2"/>
      <c r="E40" s="2"/>
      <c r="F40" s="2"/>
      <c r="G40" s="2"/>
      <c r="H40" s="2"/>
      <c r="I40" s="2"/>
    </row>
    <row r="41" customFormat="false" ht="30" hidden="false" customHeight="true" outlineLevel="0" collapsed="false">
      <c r="A41" s="17" t="s">
        <v>63</v>
      </c>
      <c r="B41" s="17" t="s">
        <v>64</v>
      </c>
      <c r="C41" s="17" t="s">
        <v>65</v>
      </c>
      <c r="D41" s="17" t="s">
        <v>66</v>
      </c>
      <c r="E41" s="2"/>
      <c r="F41" s="17" t="s">
        <v>67</v>
      </c>
      <c r="G41" s="17" t="s">
        <v>64</v>
      </c>
      <c r="H41" s="2"/>
      <c r="I41" s="2"/>
    </row>
    <row r="42" customFormat="false" ht="15" hidden="false" customHeight="false" outlineLevel="0" collapsed="false">
      <c r="A42" s="26" t="str">
        <f aca="false">Settings!J8</f>
        <v>Run / KTLO</v>
      </c>
      <c r="B42" s="26" t="n">
        <f aca="false">COUNTIFS(Projects!$D$5:$D$54,A42,Projects!$K$5:$K$54,"&lt;&gt;Cancelled")</f>
        <v>1</v>
      </c>
      <c r="C42" s="27" t="n">
        <f aca="false">SUMIFS(Projects!$M$5:$M$54,Projects!$D$5:$D$54,A42)</f>
        <v>2.4</v>
      </c>
      <c r="D42" s="21" t="n">
        <f aca="false">IF($C$5=0,"",C42/$C$5)</f>
        <v>0.0459770114942529</v>
      </c>
      <c r="E42" s="2"/>
      <c r="F42" s="26" t="str">
        <f aca="false">Settings!H8</f>
        <v>Proposed</v>
      </c>
      <c r="G42" s="26" t="n">
        <f aca="false">COUNTIFS(Projects!$K$5:$K$54,F42,Projects!$A$5:$A$54,"&lt;&gt;")</f>
        <v>1</v>
      </c>
      <c r="H42" s="2"/>
      <c r="I42" s="2"/>
    </row>
    <row r="43" customFormat="false" ht="15" hidden="false" customHeight="false" outlineLevel="0" collapsed="false">
      <c r="A43" s="26" t="str">
        <f aca="false">Settings!J9</f>
        <v>Grow</v>
      </c>
      <c r="B43" s="26" t="n">
        <f aca="false">COUNTIFS(Projects!$D$5:$D$54,A43,Projects!$K$5:$K$54,"&lt;&gt;Cancelled")</f>
        <v>1</v>
      </c>
      <c r="C43" s="27" t="n">
        <f aca="false">SUMIFS(Projects!$M$5:$M$54,Projects!$D$5:$D$54,A43)</f>
        <v>5.4</v>
      </c>
      <c r="D43" s="21" t="n">
        <f aca="false">IF($C$5=0,"",C43/$C$5)</f>
        <v>0.103448275862069</v>
      </c>
      <c r="E43" s="2"/>
      <c r="F43" s="26" t="str">
        <f aca="false">Settings!H9</f>
        <v>Approved</v>
      </c>
      <c r="G43" s="26" t="n">
        <f aca="false">COUNTIFS(Projects!$K$5:$K$54,F43,Projects!$A$5:$A$54,"&lt;&gt;")</f>
        <v>1</v>
      </c>
      <c r="H43" s="2"/>
      <c r="I43" s="2"/>
    </row>
    <row r="44" customFormat="false" ht="15" hidden="false" customHeight="false" outlineLevel="0" collapsed="false">
      <c r="A44" s="26" t="str">
        <f aca="false">Settings!J10</f>
        <v>Transform</v>
      </c>
      <c r="B44" s="26" t="n">
        <f aca="false">COUNTIFS(Projects!$D$5:$D$54,A44,Projects!$K$5:$K$54,"&lt;&gt;Cancelled")</f>
        <v>1</v>
      </c>
      <c r="C44" s="27" t="n">
        <f aca="false">SUMIFS(Projects!$M$5:$M$54,Projects!$D$5:$D$54,A44)</f>
        <v>44.4</v>
      </c>
      <c r="D44" s="21" t="n">
        <f aca="false">IF($C$5=0,"",C44/$C$5)</f>
        <v>0.850574712643678</v>
      </c>
      <c r="E44" s="2"/>
      <c r="F44" s="26" t="str">
        <f aca="false">Settings!H10</f>
        <v>In Progress</v>
      </c>
      <c r="G44" s="26" t="n">
        <f aca="false">COUNTIFS(Projects!$K$5:$K$54,F44,Projects!$A$5:$A$54,"&lt;&gt;")</f>
        <v>1</v>
      </c>
      <c r="H44" s="2"/>
      <c r="I44" s="2"/>
    </row>
    <row r="45" customFormat="false" ht="15" hidden="false" customHeight="false" outlineLevel="0" collapsed="false">
      <c r="A45" s="26" t="str">
        <f aca="false">Settings!J11</f>
        <v>Compliance / Risk</v>
      </c>
      <c r="B45" s="26" t="n">
        <f aca="false">COUNTIFS(Projects!$D$5:$D$54,A45,Projects!$K$5:$K$54,"&lt;&gt;Cancelled")</f>
        <v>0</v>
      </c>
      <c r="C45" s="27" t="n">
        <f aca="false">SUMIFS(Projects!$M$5:$M$54,Projects!$D$5:$D$54,A45)</f>
        <v>0</v>
      </c>
      <c r="D45" s="21" t="n">
        <f aca="false">IF($C$5=0,"",C45/$C$5)</f>
        <v>0</v>
      </c>
      <c r="E45" s="2"/>
      <c r="F45" s="26" t="str">
        <f aca="false">Settings!H11</f>
        <v>On Hold</v>
      </c>
      <c r="G45" s="26" t="n">
        <f aca="false">COUNTIFS(Projects!$K$5:$K$54,F45,Projects!$A$5:$A$54,"&lt;&gt;")</f>
        <v>0</v>
      </c>
      <c r="H45" s="2"/>
      <c r="I45" s="2"/>
    </row>
    <row r="46" customFormat="false" ht="15" hidden="false" customHeight="false" outlineLevel="0" collapsed="false">
      <c r="A46" s="26" t="str">
        <f aca="false">Settings!J12</f>
        <v>Tech Debt</v>
      </c>
      <c r="B46" s="26" t="n">
        <f aca="false">COUNTIFS(Projects!$D$5:$D$54,A46,Projects!$K$5:$K$54,"&lt;&gt;Cancelled")</f>
        <v>0</v>
      </c>
      <c r="C46" s="27" t="n">
        <f aca="false">SUMIFS(Projects!$M$5:$M$54,Projects!$D$5:$D$54,A46)</f>
        <v>0</v>
      </c>
      <c r="D46" s="21" t="n">
        <f aca="false">IF($C$5=0,"",C46/$C$5)</f>
        <v>0</v>
      </c>
      <c r="E46" s="2"/>
      <c r="F46" s="26" t="str">
        <f aca="false">Settings!H12</f>
        <v>Done</v>
      </c>
      <c r="G46" s="26" t="n">
        <f aca="false">COUNTIFS(Projects!$K$5:$K$54,F46,Projects!$A$5:$A$54,"&lt;&gt;")</f>
        <v>0</v>
      </c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6" t="str">
        <f aca="false">Settings!H13</f>
        <v>Cancelled</v>
      </c>
      <c r="G47" s="26" t="n">
        <f aca="false">COUNTIFS(Projects!$K$5:$K$54,F47,Projects!$A$5:$A$54,"&lt;&gt;")</f>
        <v>0</v>
      </c>
      <c r="H47" s="2"/>
      <c r="I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40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9" t="s">
        <v>68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0" t="s">
        <v>69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0" hidden="false" customHeight="true" outlineLevel="0" collapsed="false">
      <c r="A4" s="17" t="s">
        <v>70</v>
      </c>
      <c r="B4" s="17" t="s">
        <v>71</v>
      </c>
      <c r="C4" s="17" t="s">
        <v>72</v>
      </c>
      <c r="D4" s="17" t="s">
        <v>73</v>
      </c>
      <c r="E4" s="17" t="s">
        <v>74</v>
      </c>
      <c r="F4" s="17" t="s">
        <v>64</v>
      </c>
      <c r="G4" s="17" t="s">
        <v>75</v>
      </c>
    </row>
    <row r="5" customFormat="false" ht="15" hidden="false" customHeight="false" outlineLevel="0" collapsed="false">
      <c r="A5" s="29" t="s">
        <v>76</v>
      </c>
      <c r="B5" s="29" t="s">
        <v>77</v>
      </c>
      <c r="C5" s="29" t="s">
        <v>78</v>
      </c>
      <c r="D5" s="29" t="s">
        <v>79</v>
      </c>
      <c r="E5" s="29" t="s">
        <v>80</v>
      </c>
      <c r="F5" s="26" t="n">
        <f aca="false">IF(A5="","",COUNTIF(Projects!$C$5:$C$54,A5))</f>
        <v>1</v>
      </c>
      <c r="G5" s="19" t="n">
        <f aca="false">IF(A5="","",SUMIFS(Projects!$M$5:$M$54,Projects!$C$5:$C$54,A5))</f>
        <v>44.4</v>
      </c>
    </row>
    <row r="6" customFormat="false" ht="15" hidden="false" customHeight="false" outlineLevel="0" collapsed="false">
      <c r="A6" s="29" t="s">
        <v>81</v>
      </c>
      <c r="B6" s="29" t="s">
        <v>82</v>
      </c>
      <c r="C6" s="29" t="s">
        <v>83</v>
      </c>
      <c r="D6" s="29" t="s">
        <v>84</v>
      </c>
      <c r="E6" s="29" t="s">
        <v>80</v>
      </c>
      <c r="F6" s="26" t="n">
        <f aca="false">IF(A6="","",COUNTIF(Projects!$C$5:$C$54,A6))</f>
        <v>2</v>
      </c>
      <c r="G6" s="19" t="n">
        <f aca="false">IF(A6="","",SUMIFS(Projects!$M$5:$M$54,Projects!$C$5:$C$54,A6))</f>
        <v>7.8</v>
      </c>
    </row>
    <row r="7" customFormat="false" ht="15" hidden="false" customHeight="false" outlineLevel="0" collapsed="false">
      <c r="A7" s="29" t="s">
        <v>85</v>
      </c>
      <c r="B7" s="29" t="s">
        <v>86</v>
      </c>
      <c r="C7" s="29" t="s">
        <v>87</v>
      </c>
      <c r="D7" s="29" t="s">
        <v>88</v>
      </c>
      <c r="E7" s="29"/>
      <c r="F7" s="26" t="n">
        <f aca="false">IF(A7="","",COUNTIF(Projects!$C$5:$C$54,A7))</f>
        <v>0</v>
      </c>
      <c r="G7" s="19" t="n">
        <f aca="false">IF(A7="","",SUMIFS(Projects!$M$5:$M$54,Projects!$C$5:$C$54,A7))</f>
        <v>0</v>
      </c>
    </row>
    <row r="8" customFormat="false" ht="15" hidden="false" customHeight="false" outlineLevel="0" collapsed="false">
      <c r="A8" s="29"/>
      <c r="B8" s="29"/>
      <c r="C8" s="29"/>
      <c r="D8" s="29"/>
      <c r="E8" s="29"/>
      <c r="F8" s="26" t="str">
        <f aca="false">IF(A8="","",COUNTIF(Projects!$C$5:$C$54,A8))</f>
        <v/>
      </c>
      <c r="G8" s="19" t="str">
        <f aca="false">IF(A8="","",SUMIFS(Projects!$M$5:$M$54,Projects!$C$5:$C$54,A8))</f>
        <v/>
      </c>
    </row>
    <row r="9" customFormat="false" ht="15" hidden="false" customHeight="false" outlineLevel="0" collapsed="false">
      <c r="A9" s="29"/>
      <c r="B9" s="29"/>
      <c r="C9" s="29"/>
      <c r="D9" s="29"/>
      <c r="E9" s="29"/>
      <c r="F9" s="26" t="str">
        <f aca="false">IF(A9="","",COUNTIF(Projects!$C$5:$C$54,A9))</f>
        <v/>
      </c>
      <c r="G9" s="19" t="str">
        <f aca="false">IF(A9="","",SUMIFS(Projects!$M$5:$M$54,Projects!$C$5:$C$54,A9))</f>
        <v/>
      </c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6" t="str">
        <f aca="false">IF(A10="","",COUNTIF(Projects!$C$5:$C$54,A10))</f>
        <v/>
      </c>
      <c r="G10" s="19" t="str">
        <f aca="false">IF(A10="","",SUMIFS(Projects!$M$5:$M$54,Projects!$C$5:$C$54,A10))</f>
        <v/>
      </c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6" t="str">
        <f aca="false">IF(A11="","",COUNTIF(Projects!$C$5:$C$54,A11))</f>
        <v/>
      </c>
      <c r="G11" s="19" t="str">
        <f aca="false">IF(A11="","",SUMIFS(Projects!$M$5:$M$54,Projects!$C$5:$C$54,A11))</f>
        <v/>
      </c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6" t="str">
        <f aca="false">IF(A12="","",COUNTIF(Projects!$C$5:$C$54,A12))</f>
        <v/>
      </c>
      <c r="G12" s="19" t="str">
        <f aca="false">IF(A12="","",SUMIFS(Projects!$M$5:$M$54,Projects!$C$5:$C$54,A12))</f>
        <v/>
      </c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6" t="str">
        <f aca="false">IF(A13="","",COUNTIF(Projects!$C$5:$C$54,A13))</f>
        <v/>
      </c>
      <c r="G13" s="19" t="str">
        <f aca="false">IF(A13="","",SUMIFS(Projects!$M$5:$M$54,Projects!$C$5:$C$54,A13))</f>
        <v/>
      </c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6" t="str">
        <f aca="false">IF(A14="","",COUNTIF(Projects!$C$5:$C$54,A14))</f>
        <v/>
      </c>
      <c r="G14" s="19" t="str">
        <f aca="false">IF(A14="","",SUMIFS(Projects!$M$5:$M$54,Projects!$C$5:$C$54,A14))</f>
        <v/>
      </c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6" t="str">
        <f aca="false">IF(A15="","",COUNTIF(Projects!$C$5:$C$54,A15))</f>
        <v/>
      </c>
      <c r="G15" s="19" t="str">
        <f aca="false">IF(A15="","",SUMIFS(Projects!$M$5:$M$54,Projects!$C$5:$C$54,A15))</f>
        <v/>
      </c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6" t="str">
        <f aca="false">IF(A16="","",COUNTIF(Projects!$C$5:$C$54,A16))</f>
        <v/>
      </c>
      <c r="G16" s="19" t="str">
        <f aca="false">IF(A16="","",SUMIFS(Projects!$M$5:$M$54,Projects!$C$5:$C$54,A16))</f>
        <v/>
      </c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6" t="str">
        <f aca="false">IF(A17="","",COUNTIF(Projects!$C$5:$C$54,A17))</f>
        <v/>
      </c>
      <c r="G17" s="19" t="str">
        <f aca="false">IF(A17="","",SUMIFS(Projects!$M$5:$M$54,Projects!$C$5:$C$54,A17))</f>
        <v/>
      </c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6" t="str">
        <f aca="false">IF(A18="","",COUNTIF(Projects!$C$5:$C$54,A18))</f>
        <v/>
      </c>
      <c r="G18" s="19" t="str">
        <f aca="false">IF(A18="","",SUMIFS(Projects!$M$5:$M$54,Projects!$C$5:$C$54,A18))</f>
        <v/>
      </c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6" t="str">
        <f aca="false">IF(A19="","",COUNTIF(Projects!$C$5:$C$54,A19))</f>
        <v/>
      </c>
      <c r="G19" s="19" t="str">
        <f aca="false">IF(A19="","",SUMIFS(Projects!$M$5:$M$54,Projects!$C$5:$C$54,A19))</f>
        <v/>
      </c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6" t="str">
        <f aca="false">IF(A20="","",COUNTIF(Projects!$C$5:$C$54,A20))</f>
        <v/>
      </c>
      <c r="G20" s="19" t="str">
        <f aca="false">IF(A20="","",SUMIFS(Projects!$M$5:$M$54,Projects!$C$5:$C$54,A20))</f>
        <v/>
      </c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6" t="str">
        <f aca="false">IF(A21="","",COUNTIF(Projects!$C$5:$C$54,A21))</f>
        <v/>
      </c>
      <c r="G21" s="19" t="str">
        <f aca="false">IF(A21="","",SUMIFS(Projects!$M$5:$M$54,Projects!$C$5:$C$54,A21))</f>
        <v/>
      </c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6" t="str">
        <f aca="false">IF(A22="","",COUNTIF(Projects!$C$5:$C$54,A22))</f>
        <v/>
      </c>
      <c r="G22" s="19" t="str">
        <f aca="false">IF(A22="","",SUMIFS(Projects!$M$5:$M$54,Projects!$C$5:$C$54,A22))</f>
        <v/>
      </c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6" t="str">
        <f aca="false">IF(A23="","",COUNTIF(Projects!$C$5:$C$54,A23))</f>
        <v/>
      </c>
      <c r="G23" s="19" t="str">
        <f aca="false">IF(A23="","",SUMIFS(Projects!$M$5:$M$54,Projects!$C$5:$C$54,A23))</f>
        <v/>
      </c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6" t="str">
        <f aca="false">IF(A24="","",COUNTIF(Projects!$C$5:$C$54,A24))</f>
        <v/>
      </c>
      <c r="G24" s="19" t="str">
        <f aca="false">IF(A24="","",SUMIFS(Projects!$M$5:$M$54,Projects!$C$5:$C$54,A24))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6" min="14" style="0" width="12"/>
    <col collapsed="false" customWidth="true" hidden="false" outlineLevel="0" max="17" min="17" style="0" width="32"/>
    <col collapsed="false" customWidth="true" hidden="false" outlineLevel="0" max="18" min="18" style="0" width="40"/>
  </cols>
  <sheetData>
    <row r="1" customFormat="false" ht="17.35" hidden="false" customHeight="false" outlineLevel="0" collapsed="false">
      <c r="A1" s="9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10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0" hidden="false" customHeight="true" outlineLevel="0" collapsed="false">
      <c r="A4" s="17" t="s">
        <v>91</v>
      </c>
      <c r="B4" s="17" t="s">
        <v>92</v>
      </c>
      <c r="C4" s="17" t="s">
        <v>93</v>
      </c>
      <c r="D4" s="17" t="s">
        <v>63</v>
      </c>
      <c r="E4" s="17" t="s">
        <v>94</v>
      </c>
      <c r="F4" s="17" t="s">
        <v>95</v>
      </c>
      <c r="G4" s="17" t="s">
        <v>96</v>
      </c>
      <c r="H4" s="17" t="s">
        <v>97</v>
      </c>
      <c r="I4" s="17" t="s">
        <v>98</v>
      </c>
      <c r="J4" s="17" t="s">
        <v>99</v>
      </c>
      <c r="K4" s="17" t="s">
        <v>67</v>
      </c>
      <c r="L4" s="17" t="s">
        <v>100</v>
      </c>
      <c r="M4" s="17" t="s">
        <v>75</v>
      </c>
      <c r="N4" s="17" t="s">
        <v>101</v>
      </c>
      <c r="O4" s="17" t="s">
        <v>102</v>
      </c>
      <c r="P4" s="17" t="s">
        <v>52</v>
      </c>
      <c r="Q4" s="17" t="s">
        <v>103</v>
      </c>
      <c r="R4" s="17" t="s">
        <v>104</v>
      </c>
    </row>
    <row r="5" customFormat="false" ht="15" hidden="false" customHeight="false" outlineLevel="0" collapsed="false">
      <c r="A5" s="29" t="s">
        <v>105</v>
      </c>
      <c r="B5" s="29" t="s">
        <v>106</v>
      </c>
      <c r="C5" s="29" t="s">
        <v>76</v>
      </c>
      <c r="D5" s="29" t="s">
        <v>107</v>
      </c>
      <c r="E5" s="29" t="s">
        <v>108</v>
      </c>
      <c r="F5" s="29" t="s">
        <v>109</v>
      </c>
      <c r="G5" s="29"/>
      <c r="H5" s="29" t="s">
        <v>110</v>
      </c>
      <c r="I5" s="30" t="n">
        <v>46391</v>
      </c>
      <c r="J5" s="30" t="n">
        <v>46738</v>
      </c>
      <c r="K5" s="29" t="s">
        <v>111</v>
      </c>
      <c r="L5" s="29" t="s">
        <v>112</v>
      </c>
      <c r="M5" s="19" t="n">
        <f aca="false">IF(A5="","",SUMIFS(Allocation!$Q$5:$Q$204,Allocation!$C$5:$C$204,A5))</f>
        <v>44.4</v>
      </c>
      <c r="N5" s="31" t="n">
        <f aca="false">IF(A5="","",SUMIFS(Allocation!$S$5:$S$204,Allocation!$C$5:$C$204,A5))</f>
        <v>580800</v>
      </c>
      <c r="O5" s="32" t="n">
        <v>0</v>
      </c>
      <c r="P5" s="31" t="n">
        <f aca="false">IF(A5="","",N5+O5)</f>
        <v>580800</v>
      </c>
      <c r="Q5" s="29" t="s">
        <v>113</v>
      </c>
      <c r="R5" s="29" t="s">
        <v>114</v>
      </c>
    </row>
    <row r="6" customFormat="false" ht="15" hidden="false" customHeight="false" outlineLevel="0" collapsed="false">
      <c r="A6" s="29" t="s">
        <v>115</v>
      </c>
      <c r="B6" s="29" t="s">
        <v>116</v>
      </c>
      <c r="C6" s="29" t="s">
        <v>81</v>
      </c>
      <c r="D6" s="29" t="s">
        <v>117</v>
      </c>
      <c r="E6" s="29" t="s">
        <v>118</v>
      </c>
      <c r="F6" s="29" t="s">
        <v>119</v>
      </c>
      <c r="G6" s="29" t="s">
        <v>120</v>
      </c>
      <c r="H6" s="29" t="s">
        <v>110</v>
      </c>
      <c r="I6" s="30" t="n">
        <v>46398</v>
      </c>
      <c r="J6" s="30" t="n">
        <v>46507</v>
      </c>
      <c r="K6" s="29" t="s">
        <v>121</v>
      </c>
      <c r="L6" s="29" t="s">
        <v>122</v>
      </c>
      <c r="M6" s="19" t="n">
        <f aca="false">IF(A6="","",SUMIFS(Allocation!$Q$5:$Q$204,Allocation!$C$5:$C$204,A6))</f>
        <v>2.4</v>
      </c>
      <c r="N6" s="31" t="n">
        <f aca="false">IF(A6="","",SUMIFS(Allocation!$S$5:$S$204,Allocation!$C$5:$C$204,A6))</f>
        <v>34400</v>
      </c>
      <c r="O6" s="32" t="n">
        <v>5000</v>
      </c>
      <c r="P6" s="31" t="n">
        <f aca="false">IF(A6="","",N6+O6)</f>
        <v>39400</v>
      </c>
      <c r="Q6" s="29" t="s">
        <v>123</v>
      </c>
      <c r="R6" s="29" t="s">
        <v>124</v>
      </c>
    </row>
    <row r="7" customFormat="false" ht="15" hidden="false" customHeight="false" outlineLevel="0" collapsed="false">
      <c r="A7" s="29" t="s">
        <v>125</v>
      </c>
      <c r="B7" s="29" t="s">
        <v>126</v>
      </c>
      <c r="C7" s="29" t="s">
        <v>81</v>
      </c>
      <c r="D7" s="29" t="s">
        <v>127</v>
      </c>
      <c r="E7" s="29" t="s">
        <v>118</v>
      </c>
      <c r="F7" s="29" t="s">
        <v>119</v>
      </c>
      <c r="G7" s="29"/>
      <c r="H7" s="29" t="s">
        <v>128</v>
      </c>
      <c r="I7" s="30" t="n">
        <v>46447</v>
      </c>
      <c r="J7" s="30" t="n">
        <v>46630</v>
      </c>
      <c r="K7" s="29" t="s">
        <v>129</v>
      </c>
      <c r="L7" s="29" t="s">
        <v>112</v>
      </c>
      <c r="M7" s="19" t="n">
        <f aca="false">IF(A7="","",SUMIFS(Allocation!$Q$5:$Q$204,Allocation!$C$5:$C$204,A7))</f>
        <v>5.4</v>
      </c>
      <c r="N7" s="31" t="n">
        <f aca="false">IF(A7="","",SUMIFS(Allocation!$S$5:$S$204,Allocation!$C$5:$C$204,A7))</f>
        <v>66600</v>
      </c>
      <c r="O7" s="32" t="n">
        <v>20000</v>
      </c>
      <c r="P7" s="31" t="n">
        <f aca="false">IF(A7="","",N7+O7)</f>
        <v>86600</v>
      </c>
      <c r="Q7" s="29" t="s">
        <v>130</v>
      </c>
      <c r="R7" s="29" t="s">
        <v>131</v>
      </c>
    </row>
    <row r="8" customFormat="false" ht="15" hidden="false" customHeight="false" outlineLevel="0" collapsed="false">
      <c r="A8" s="29"/>
      <c r="B8" s="29"/>
      <c r="C8" s="29"/>
      <c r="D8" s="29"/>
      <c r="E8" s="29"/>
      <c r="F8" s="29"/>
      <c r="G8" s="29"/>
      <c r="H8" s="29"/>
      <c r="I8" s="30"/>
      <c r="J8" s="30"/>
      <c r="K8" s="29"/>
      <c r="L8" s="29"/>
      <c r="M8" s="19" t="str">
        <f aca="false">IF(A8="","",SUMIFS(Allocation!$Q$5:$Q$204,Allocation!$C$5:$C$204,A8))</f>
        <v/>
      </c>
      <c r="N8" s="31" t="str">
        <f aca="false">IF(A8="","",SUMIFS(Allocation!$S$5:$S$204,Allocation!$C$5:$C$204,A8))</f>
        <v/>
      </c>
      <c r="O8" s="32"/>
      <c r="P8" s="31" t="str">
        <f aca="false">IF(A8="","",N8+O8)</f>
        <v/>
      </c>
      <c r="Q8" s="29"/>
      <c r="R8" s="29"/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  <c r="G9" s="29"/>
      <c r="H9" s="29"/>
      <c r="I9" s="30"/>
      <c r="J9" s="30"/>
      <c r="K9" s="29"/>
      <c r="L9" s="29"/>
      <c r="M9" s="19" t="str">
        <f aca="false">IF(A9="","",SUMIFS(Allocation!$Q$5:$Q$204,Allocation!$C$5:$C$204,A9))</f>
        <v/>
      </c>
      <c r="N9" s="31" t="str">
        <f aca="false">IF(A9="","",SUMIFS(Allocation!$S$5:$S$204,Allocation!$C$5:$C$204,A9))</f>
        <v/>
      </c>
      <c r="O9" s="32"/>
      <c r="P9" s="31" t="str">
        <f aca="false">IF(A9="","",N9+O9)</f>
        <v/>
      </c>
      <c r="Q9" s="29"/>
      <c r="R9" s="29"/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  <c r="G10" s="29"/>
      <c r="H10" s="29"/>
      <c r="I10" s="30"/>
      <c r="J10" s="30"/>
      <c r="K10" s="29"/>
      <c r="L10" s="29"/>
      <c r="M10" s="19" t="str">
        <f aca="false">IF(A10="","",SUMIFS(Allocation!$Q$5:$Q$204,Allocation!$C$5:$C$204,A10))</f>
        <v/>
      </c>
      <c r="N10" s="31" t="str">
        <f aca="false">IF(A10="","",SUMIFS(Allocation!$S$5:$S$204,Allocation!$C$5:$C$204,A10))</f>
        <v/>
      </c>
      <c r="O10" s="32"/>
      <c r="P10" s="31" t="str">
        <f aca="false">IF(A10="","",N10+O10)</f>
        <v/>
      </c>
      <c r="Q10" s="29"/>
      <c r="R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  <c r="H11" s="29"/>
      <c r="I11" s="30"/>
      <c r="J11" s="30"/>
      <c r="K11" s="29"/>
      <c r="L11" s="29"/>
      <c r="M11" s="19" t="str">
        <f aca="false">IF(A11="","",SUMIFS(Allocation!$Q$5:$Q$204,Allocation!$C$5:$C$204,A11))</f>
        <v/>
      </c>
      <c r="N11" s="31" t="str">
        <f aca="false">IF(A11="","",SUMIFS(Allocation!$S$5:$S$204,Allocation!$C$5:$C$204,A11))</f>
        <v/>
      </c>
      <c r="O11" s="32"/>
      <c r="P11" s="31" t="str">
        <f aca="false">IF(A11="","",N11+O11)</f>
        <v/>
      </c>
      <c r="Q11" s="29"/>
      <c r="R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9"/>
      <c r="H12" s="29"/>
      <c r="I12" s="30"/>
      <c r="J12" s="30"/>
      <c r="K12" s="29"/>
      <c r="L12" s="29"/>
      <c r="M12" s="19" t="str">
        <f aca="false">IF(A12="","",SUMIFS(Allocation!$Q$5:$Q$204,Allocation!$C$5:$C$204,A12))</f>
        <v/>
      </c>
      <c r="N12" s="31" t="str">
        <f aca="false">IF(A12="","",SUMIFS(Allocation!$S$5:$S$204,Allocation!$C$5:$C$204,A12))</f>
        <v/>
      </c>
      <c r="O12" s="32"/>
      <c r="P12" s="31" t="str">
        <f aca="false">IF(A12="","",N12+O12)</f>
        <v/>
      </c>
      <c r="Q12" s="29"/>
      <c r="R12" s="29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  <c r="H13" s="29"/>
      <c r="I13" s="30"/>
      <c r="J13" s="30"/>
      <c r="K13" s="29"/>
      <c r="L13" s="29"/>
      <c r="M13" s="19" t="str">
        <f aca="false">IF(A13="","",SUMIFS(Allocation!$Q$5:$Q$204,Allocation!$C$5:$C$204,A13))</f>
        <v/>
      </c>
      <c r="N13" s="31" t="str">
        <f aca="false">IF(A13="","",SUMIFS(Allocation!$S$5:$S$204,Allocation!$C$5:$C$204,A13))</f>
        <v/>
      </c>
      <c r="O13" s="32"/>
      <c r="P13" s="31" t="str">
        <f aca="false">IF(A13="","",N13+O13)</f>
        <v/>
      </c>
      <c r="Q13" s="29"/>
      <c r="R13" s="29"/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  <c r="G14" s="29"/>
      <c r="H14" s="29"/>
      <c r="I14" s="30"/>
      <c r="J14" s="30"/>
      <c r="K14" s="29"/>
      <c r="L14" s="29"/>
      <c r="M14" s="19" t="str">
        <f aca="false">IF(A14="","",SUMIFS(Allocation!$Q$5:$Q$204,Allocation!$C$5:$C$204,A14))</f>
        <v/>
      </c>
      <c r="N14" s="31" t="str">
        <f aca="false">IF(A14="","",SUMIFS(Allocation!$S$5:$S$204,Allocation!$C$5:$C$204,A14))</f>
        <v/>
      </c>
      <c r="O14" s="32"/>
      <c r="P14" s="31" t="str">
        <f aca="false">IF(A14="","",N14+O14)</f>
        <v/>
      </c>
      <c r="Q14" s="29"/>
      <c r="R14" s="29"/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  <c r="G15" s="29"/>
      <c r="H15" s="29"/>
      <c r="I15" s="30"/>
      <c r="J15" s="30"/>
      <c r="K15" s="29"/>
      <c r="L15" s="29"/>
      <c r="M15" s="19" t="str">
        <f aca="false">IF(A15="","",SUMIFS(Allocation!$Q$5:$Q$204,Allocation!$C$5:$C$204,A15))</f>
        <v/>
      </c>
      <c r="N15" s="31" t="str">
        <f aca="false">IF(A15="","",SUMIFS(Allocation!$S$5:$S$204,Allocation!$C$5:$C$204,A15))</f>
        <v/>
      </c>
      <c r="O15" s="32"/>
      <c r="P15" s="31" t="str">
        <f aca="false">IF(A15="","",N15+O15)</f>
        <v/>
      </c>
      <c r="Q15" s="29"/>
      <c r="R15" s="29"/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9"/>
      <c r="G16" s="29"/>
      <c r="H16" s="29"/>
      <c r="I16" s="30"/>
      <c r="J16" s="30"/>
      <c r="K16" s="29"/>
      <c r="L16" s="29"/>
      <c r="M16" s="19" t="str">
        <f aca="false">IF(A16="","",SUMIFS(Allocation!$Q$5:$Q$204,Allocation!$C$5:$C$204,A16))</f>
        <v/>
      </c>
      <c r="N16" s="31" t="str">
        <f aca="false">IF(A16="","",SUMIFS(Allocation!$S$5:$S$204,Allocation!$C$5:$C$204,A16))</f>
        <v/>
      </c>
      <c r="O16" s="32"/>
      <c r="P16" s="31" t="str">
        <f aca="false">IF(A16="","",N16+O16)</f>
        <v/>
      </c>
      <c r="Q16" s="29"/>
      <c r="R16" s="29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29"/>
      <c r="H17" s="29"/>
      <c r="I17" s="30"/>
      <c r="J17" s="30"/>
      <c r="K17" s="29"/>
      <c r="L17" s="29"/>
      <c r="M17" s="19" t="str">
        <f aca="false">IF(A17="","",SUMIFS(Allocation!$Q$5:$Q$204,Allocation!$C$5:$C$204,A17))</f>
        <v/>
      </c>
      <c r="N17" s="31" t="str">
        <f aca="false">IF(A17="","",SUMIFS(Allocation!$S$5:$S$204,Allocation!$C$5:$C$204,A17))</f>
        <v/>
      </c>
      <c r="O17" s="32"/>
      <c r="P17" s="31" t="str">
        <f aca="false">IF(A17="","",N17+O17)</f>
        <v/>
      </c>
      <c r="Q17" s="29"/>
      <c r="R17" s="29"/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9"/>
      <c r="G18" s="29"/>
      <c r="H18" s="29"/>
      <c r="I18" s="30"/>
      <c r="J18" s="30"/>
      <c r="K18" s="29"/>
      <c r="L18" s="29"/>
      <c r="M18" s="19" t="str">
        <f aca="false">IF(A18="","",SUMIFS(Allocation!$Q$5:$Q$204,Allocation!$C$5:$C$204,A18))</f>
        <v/>
      </c>
      <c r="N18" s="31" t="str">
        <f aca="false">IF(A18="","",SUMIFS(Allocation!$S$5:$S$204,Allocation!$C$5:$C$204,A18))</f>
        <v/>
      </c>
      <c r="O18" s="32"/>
      <c r="P18" s="31" t="str">
        <f aca="false">IF(A18="","",N18+O18)</f>
        <v/>
      </c>
      <c r="Q18" s="29"/>
      <c r="R18" s="29"/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  <c r="G19" s="29"/>
      <c r="H19" s="29"/>
      <c r="I19" s="30"/>
      <c r="J19" s="30"/>
      <c r="K19" s="29"/>
      <c r="L19" s="29"/>
      <c r="M19" s="19" t="str">
        <f aca="false">IF(A19="","",SUMIFS(Allocation!$Q$5:$Q$204,Allocation!$C$5:$C$204,A19))</f>
        <v/>
      </c>
      <c r="N19" s="31" t="str">
        <f aca="false">IF(A19="","",SUMIFS(Allocation!$S$5:$S$204,Allocation!$C$5:$C$204,A19))</f>
        <v/>
      </c>
      <c r="O19" s="32"/>
      <c r="P19" s="31" t="str">
        <f aca="false">IF(A19="","",N19+O19)</f>
        <v/>
      </c>
      <c r="Q19" s="29"/>
      <c r="R19" s="29"/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9"/>
      <c r="G20" s="29"/>
      <c r="H20" s="29"/>
      <c r="I20" s="30"/>
      <c r="J20" s="30"/>
      <c r="K20" s="29"/>
      <c r="L20" s="29"/>
      <c r="M20" s="19" t="str">
        <f aca="false">IF(A20="","",SUMIFS(Allocation!$Q$5:$Q$204,Allocation!$C$5:$C$204,A20))</f>
        <v/>
      </c>
      <c r="N20" s="31" t="str">
        <f aca="false">IF(A20="","",SUMIFS(Allocation!$S$5:$S$204,Allocation!$C$5:$C$204,A20))</f>
        <v/>
      </c>
      <c r="O20" s="32"/>
      <c r="P20" s="31" t="str">
        <f aca="false">IF(A20="","",N20+O20)</f>
        <v/>
      </c>
      <c r="Q20" s="29"/>
      <c r="R20" s="29"/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  <c r="G21" s="29"/>
      <c r="H21" s="29"/>
      <c r="I21" s="30"/>
      <c r="J21" s="30"/>
      <c r="K21" s="29"/>
      <c r="L21" s="29"/>
      <c r="M21" s="19" t="str">
        <f aca="false">IF(A21="","",SUMIFS(Allocation!$Q$5:$Q$204,Allocation!$C$5:$C$204,A21))</f>
        <v/>
      </c>
      <c r="N21" s="31" t="str">
        <f aca="false">IF(A21="","",SUMIFS(Allocation!$S$5:$S$204,Allocation!$C$5:$C$204,A21))</f>
        <v/>
      </c>
      <c r="O21" s="32"/>
      <c r="P21" s="31" t="str">
        <f aca="false">IF(A21="","",N21+O21)</f>
        <v/>
      </c>
      <c r="Q21" s="29"/>
      <c r="R21" s="29"/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  <c r="G22" s="29"/>
      <c r="H22" s="29"/>
      <c r="I22" s="30"/>
      <c r="J22" s="30"/>
      <c r="K22" s="29"/>
      <c r="L22" s="29"/>
      <c r="M22" s="19" t="str">
        <f aca="false">IF(A22="","",SUMIFS(Allocation!$Q$5:$Q$204,Allocation!$C$5:$C$204,A22))</f>
        <v/>
      </c>
      <c r="N22" s="31" t="str">
        <f aca="false">IF(A22="","",SUMIFS(Allocation!$S$5:$S$204,Allocation!$C$5:$C$204,A22))</f>
        <v/>
      </c>
      <c r="O22" s="32"/>
      <c r="P22" s="31" t="str">
        <f aca="false">IF(A22="","",N22+O22)</f>
        <v/>
      </c>
      <c r="Q22" s="29"/>
      <c r="R22" s="29"/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29"/>
      <c r="H23" s="29"/>
      <c r="I23" s="30"/>
      <c r="J23" s="30"/>
      <c r="K23" s="29"/>
      <c r="L23" s="29"/>
      <c r="M23" s="19" t="str">
        <f aca="false">IF(A23="","",SUMIFS(Allocation!$Q$5:$Q$204,Allocation!$C$5:$C$204,A23))</f>
        <v/>
      </c>
      <c r="N23" s="31" t="str">
        <f aca="false">IF(A23="","",SUMIFS(Allocation!$S$5:$S$204,Allocation!$C$5:$C$204,A23))</f>
        <v/>
      </c>
      <c r="O23" s="32"/>
      <c r="P23" s="31" t="str">
        <f aca="false">IF(A23="","",N23+O23)</f>
        <v/>
      </c>
      <c r="Q23" s="29"/>
      <c r="R23" s="29"/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  <c r="G24" s="29"/>
      <c r="H24" s="29"/>
      <c r="I24" s="30"/>
      <c r="J24" s="30"/>
      <c r="K24" s="29"/>
      <c r="L24" s="29"/>
      <c r="M24" s="19" t="str">
        <f aca="false">IF(A24="","",SUMIFS(Allocation!$Q$5:$Q$204,Allocation!$C$5:$C$204,A24))</f>
        <v/>
      </c>
      <c r="N24" s="31" t="str">
        <f aca="false">IF(A24="","",SUMIFS(Allocation!$S$5:$S$204,Allocation!$C$5:$C$204,A24))</f>
        <v/>
      </c>
      <c r="O24" s="32"/>
      <c r="P24" s="31" t="str">
        <f aca="false">IF(A24="","",N24+O24)</f>
        <v/>
      </c>
      <c r="Q24" s="29"/>
      <c r="R24" s="29"/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  <c r="G25" s="29"/>
      <c r="H25" s="29"/>
      <c r="I25" s="30"/>
      <c r="J25" s="30"/>
      <c r="K25" s="29"/>
      <c r="L25" s="29"/>
      <c r="M25" s="19" t="str">
        <f aca="false">IF(A25="","",SUMIFS(Allocation!$Q$5:$Q$204,Allocation!$C$5:$C$204,A25))</f>
        <v/>
      </c>
      <c r="N25" s="31" t="str">
        <f aca="false">IF(A25="","",SUMIFS(Allocation!$S$5:$S$204,Allocation!$C$5:$C$204,A25))</f>
        <v/>
      </c>
      <c r="O25" s="32"/>
      <c r="P25" s="31" t="str">
        <f aca="false">IF(A25="","",N25+O25)</f>
        <v/>
      </c>
      <c r="Q25" s="29"/>
      <c r="R25" s="29"/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30"/>
      <c r="J26" s="30"/>
      <c r="K26" s="29"/>
      <c r="L26" s="29"/>
      <c r="M26" s="19" t="str">
        <f aca="false">IF(A26="","",SUMIFS(Allocation!$Q$5:$Q$204,Allocation!$C$5:$C$204,A26))</f>
        <v/>
      </c>
      <c r="N26" s="31" t="str">
        <f aca="false">IF(A26="","",SUMIFS(Allocation!$S$5:$S$204,Allocation!$C$5:$C$204,A26))</f>
        <v/>
      </c>
      <c r="O26" s="32"/>
      <c r="P26" s="31" t="str">
        <f aca="false">IF(A26="","",N26+O26)</f>
        <v/>
      </c>
      <c r="Q26" s="29"/>
      <c r="R26" s="29"/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29"/>
      <c r="H27" s="29"/>
      <c r="I27" s="30"/>
      <c r="J27" s="30"/>
      <c r="K27" s="29"/>
      <c r="L27" s="29"/>
      <c r="M27" s="19" t="str">
        <f aca="false">IF(A27="","",SUMIFS(Allocation!$Q$5:$Q$204,Allocation!$C$5:$C$204,A27))</f>
        <v/>
      </c>
      <c r="N27" s="31" t="str">
        <f aca="false">IF(A27="","",SUMIFS(Allocation!$S$5:$S$204,Allocation!$C$5:$C$204,A27))</f>
        <v/>
      </c>
      <c r="O27" s="32"/>
      <c r="P27" s="31" t="str">
        <f aca="false">IF(A27="","",N27+O27)</f>
        <v/>
      </c>
      <c r="Q27" s="29"/>
      <c r="R27" s="29"/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29"/>
      <c r="G28" s="29"/>
      <c r="H28" s="29"/>
      <c r="I28" s="30"/>
      <c r="J28" s="30"/>
      <c r="K28" s="29"/>
      <c r="L28" s="29"/>
      <c r="M28" s="19" t="str">
        <f aca="false">IF(A28="","",SUMIFS(Allocation!$Q$5:$Q$204,Allocation!$C$5:$C$204,A28))</f>
        <v/>
      </c>
      <c r="N28" s="31" t="str">
        <f aca="false">IF(A28="","",SUMIFS(Allocation!$S$5:$S$204,Allocation!$C$5:$C$204,A28))</f>
        <v/>
      </c>
      <c r="O28" s="32"/>
      <c r="P28" s="31" t="str">
        <f aca="false">IF(A28="","",N28+O28)</f>
        <v/>
      </c>
      <c r="Q28" s="29"/>
      <c r="R28" s="29"/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  <c r="G29" s="29"/>
      <c r="H29" s="29"/>
      <c r="I29" s="30"/>
      <c r="J29" s="30"/>
      <c r="K29" s="29"/>
      <c r="L29" s="29"/>
      <c r="M29" s="19" t="str">
        <f aca="false">IF(A29="","",SUMIFS(Allocation!$Q$5:$Q$204,Allocation!$C$5:$C$204,A29))</f>
        <v/>
      </c>
      <c r="N29" s="31" t="str">
        <f aca="false">IF(A29="","",SUMIFS(Allocation!$S$5:$S$204,Allocation!$C$5:$C$204,A29))</f>
        <v/>
      </c>
      <c r="O29" s="32"/>
      <c r="P29" s="31" t="str">
        <f aca="false">IF(A29="","",N29+O29)</f>
        <v/>
      </c>
      <c r="Q29" s="29"/>
      <c r="R29" s="29"/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  <c r="G30" s="29"/>
      <c r="H30" s="29"/>
      <c r="I30" s="30"/>
      <c r="J30" s="30"/>
      <c r="K30" s="29"/>
      <c r="L30" s="29"/>
      <c r="M30" s="19" t="str">
        <f aca="false">IF(A30="","",SUMIFS(Allocation!$Q$5:$Q$204,Allocation!$C$5:$C$204,A30))</f>
        <v/>
      </c>
      <c r="N30" s="31" t="str">
        <f aca="false">IF(A30="","",SUMIFS(Allocation!$S$5:$S$204,Allocation!$C$5:$C$204,A30))</f>
        <v/>
      </c>
      <c r="O30" s="32"/>
      <c r="P30" s="31" t="str">
        <f aca="false">IF(A30="","",N30+O30)</f>
        <v/>
      </c>
      <c r="Q30" s="29"/>
      <c r="R30" s="29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29"/>
      <c r="H31" s="29"/>
      <c r="I31" s="30"/>
      <c r="J31" s="30"/>
      <c r="K31" s="29"/>
      <c r="L31" s="29"/>
      <c r="M31" s="19" t="str">
        <f aca="false">IF(A31="","",SUMIFS(Allocation!$Q$5:$Q$204,Allocation!$C$5:$C$204,A31))</f>
        <v/>
      </c>
      <c r="N31" s="31" t="str">
        <f aca="false">IF(A31="","",SUMIFS(Allocation!$S$5:$S$204,Allocation!$C$5:$C$204,A31))</f>
        <v/>
      </c>
      <c r="O31" s="32"/>
      <c r="P31" s="31" t="str">
        <f aca="false">IF(A31="","",N31+O31)</f>
        <v/>
      </c>
      <c r="Q31" s="29"/>
      <c r="R31" s="29"/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  <c r="G32" s="29"/>
      <c r="H32" s="29"/>
      <c r="I32" s="30"/>
      <c r="J32" s="30"/>
      <c r="K32" s="29"/>
      <c r="L32" s="29"/>
      <c r="M32" s="19" t="str">
        <f aca="false">IF(A32="","",SUMIFS(Allocation!$Q$5:$Q$204,Allocation!$C$5:$C$204,A32))</f>
        <v/>
      </c>
      <c r="N32" s="31" t="str">
        <f aca="false">IF(A32="","",SUMIFS(Allocation!$S$5:$S$204,Allocation!$C$5:$C$204,A32))</f>
        <v/>
      </c>
      <c r="O32" s="32"/>
      <c r="P32" s="31" t="str">
        <f aca="false">IF(A32="","",N32+O32)</f>
        <v/>
      </c>
      <c r="Q32" s="29"/>
      <c r="R32" s="29"/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29"/>
      <c r="G33" s="29"/>
      <c r="H33" s="29"/>
      <c r="I33" s="30"/>
      <c r="J33" s="30"/>
      <c r="K33" s="29"/>
      <c r="L33" s="29"/>
      <c r="M33" s="19" t="str">
        <f aca="false">IF(A33="","",SUMIFS(Allocation!$Q$5:$Q$204,Allocation!$C$5:$C$204,A33))</f>
        <v/>
      </c>
      <c r="N33" s="31" t="str">
        <f aca="false">IF(A33="","",SUMIFS(Allocation!$S$5:$S$204,Allocation!$C$5:$C$204,A33))</f>
        <v/>
      </c>
      <c r="O33" s="32"/>
      <c r="P33" s="31" t="str">
        <f aca="false">IF(A33="","",N33+O33)</f>
        <v/>
      </c>
      <c r="Q33" s="29"/>
      <c r="R33" s="29"/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29"/>
      <c r="G34" s="29"/>
      <c r="H34" s="29"/>
      <c r="I34" s="30"/>
      <c r="J34" s="30"/>
      <c r="K34" s="29"/>
      <c r="L34" s="29"/>
      <c r="M34" s="19" t="str">
        <f aca="false">IF(A34="","",SUMIFS(Allocation!$Q$5:$Q$204,Allocation!$C$5:$C$204,A34))</f>
        <v/>
      </c>
      <c r="N34" s="31" t="str">
        <f aca="false">IF(A34="","",SUMIFS(Allocation!$S$5:$S$204,Allocation!$C$5:$C$204,A34))</f>
        <v/>
      </c>
      <c r="O34" s="32"/>
      <c r="P34" s="31" t="str">
        <f aca="false">IF(A34="","",N34+O34)</f>
        <v/>
      </c>
      <c r="Q34" s="29"/>
      <c r="R34" s="29"/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29"/>
      <c r="G35" s="29"/>
      <c r="H35" s="29"/>
      <c r="I35" s="30"/>
      <c r="J35" s="30"/>
      <c r="K35" s="29"/>
      <c r="L35" s="29"/>
      <c r="M35" s="19" t="str">
        <f aca="false">IF(A35="","",SUMIFS(Allocation!$Q$5:$Q$204,Allocation!$C$5:$C$204,A35))</f>
        <v/>
      </c>
      <c r="N35" s="31" t="str">
        <f aca="false">IF(A35="","",SUMIFS(Allocation!$S$5:$S$204,Allocation!$C$5:$C$204,A35))</f>
        <v/>
      </c>
      <c r="O35" s="32"/>
      <c r="P35" s="31" t="str">
        <f aca="false">IF(A35="","",N35+O35)</f>
        <v/>
      </c>
      <c r="Q35" s="29"/>
      <c r="R35" s="29"/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29"/>
      <c r="G36" s="29"/>
      <c r="H36" s="29"/>
      <c r="I36" s="30"/>
      <c r="J36" s="30"/>
      <c r="K36" s="29"/>
      <c r="L36" s="29"/>
      <c r="M36" s="19" t="str">
        <f aca="false">IF(A36="","",SUMIFS(Allocation!$Q$5:$Q$204,Allocation!$C$5:$C$204,A36))</f>
        <v/>
      </c>
      <c r="N36" s="31" t="str">
        <f aca="false">IF(A36="","",SUMIFS(Allocation!$S$5:$S$204,Allocation!$C$5:$C$204,A36))</f>
        <v/>
      </c>
      <c r="O36" s="32"/>
      <c r="P36" s="31" t="str">
        <f aca="false">IF(A36="","",N36+O36)</f>
        <v/>
      </c>
      <c r="Q36" s="29"/>
      <c r="R36" s="29"/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29"/>
      <c r="G37" s="29"/>
      <c r="H37" s="29"/>
      <c r="I37" s="30"/>
      <c r="J37" s="30"/>
      <c r="K37" s="29"/>
      <c r="L37" s="29"/>
      <c r="M37" s="19" t="str">
        <f aca="false">IF(A37="","",SUMIFS(Allocation!$Q$5:$Q$204,Allocation!$C$5:$C$204,A37))</f>
        <v/>
      </c>
      <c r="N37" s="31" t="str">
        <f aca="false">IF(A37="","",SUMIFS(Allocation!$S$5:$S$204,Allocation!$C$5:$C$204,A37))</f>
        <v/>
      </c>
      <c r="O37" s="32"/>
      <c r="P37" s="31" t="str">
        <f aca="false">IF(A37="","",N37+O37)</f>
        <v/>
      </c>
      <c r="Q37" s="29"/>
      <c r="R37" s="29"/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29"/>
      <c r="G38" s="29"/>
      <c r="H38" s="29"/>
      <c r="I38" s="30"/>
      <c r="J38" s="30"/>
      <c r="K38" s="29"/>
      <c r="L38" s="29"/>
      <c r="M38" s="19" t="str">
        <f aca="false">IF(A38="","",SUMIFS(Allocation!$Q$5:$Q$204,Allocation!$C$5:$C$204,A38))</f>
        <v/>
      </c>
      <c r="N38" s="31" t="str">
        <f aca="false">IF(A38="","",SUMIFS(Allocation!$S$5:$S$204,Allocation!$C$5:$C$204,A38))</f>
        <v/>
      </c>
      <c r="O38" s="32"/>
      <c r="P38" s="31" t="str">
        <f aca="false">IF(A38="","",N38+O38)</f>
        <v/>
      </c>
      <c r="Q38" s="29"/>
      <c r="R38" s="29"/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29"/>
      <c r="G39" s="29"/>
      <c r="H39" s="29"/>
      <c r="I39" s="30"/>
      <c r="J39" s="30"/>
      <c r="K39" s="29"/>
      <c r="L39" s="29"/>
      <c r="M39" s="19" t="str">
        <f aca="false">IF(A39="","",SUMIFS(Allocation!$Q$5:$Q$204,Allocation!$C$5:$C$204,A39))</f>
        <v/>
      </c>
      <c r="N39" s="31" t="str">
        <f aca="false">IF(A39="","",SUMIFS(Allocation!$S$5:$S$204,Allocation!$C$5:$C$204,A39))</f>
        <v/>
      </c>
      <c r="O39" s="32"/>
      <c r="P39" s="31" t="str">
        <f aca="false">IF(A39="","",N39+O39)</f>
        <v/>
      </c>
      <c r="Q39" s="29"/>
      <c r="R39" s="29"/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29"/>
      <c r="G40" s="29"/>
      <c r="H40" s="29"/>
      <c r="I40" s="30"/>
      <c r="J40" s="30"/>
      <c r="K40" s="29"/>
      <c r="L40" s="29"/>
      <c r="M40" s="19" t="str">
        <f aca="false">IF(A40="","",SUMIFS(Allocation!$Q$5:$Q$204,Allocation!$C$5:$C$204,A40))</f>
        <v/>
      </c>
      <c r="N40" s="31" t="str">
        <f aca="false">IF(A40="","",SUMIFS(Allocation!$S$5:$S$204,Allocation!$C$5:$C$204,A40))</f>
        <v/>
      </c>
      <c r="O40" s="32"/>
      <c r="P40" s="31" t="str">
        <f aca="false">IF(A40="","",N40+O40)</f>
        <v/>
      </c>
      <c r="Q40" s="29"/>
      <c r="R40" s="29"/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29"/>
      <c r="G41" s="29"/>
      <c r="H41" s="29"/>
      <c r="I41" s="30"/>
      <c r="J41" s="30"/>
      <c r="K41" s="29"/>
      <c r="L41" s="29"/>
      <c r="M41" s="19" t="str">
        <f aca="false">IF(A41="","",SUMIFS(Allocation!$Q$5:$Q$204,Allocation!$C$5:$C$204,A41))</f>
        <v/>
      </c>
      <c r="N41" s="31" t="str">
        <f aca="false">IF(A41="","",SUMIFS(Allocation!$S$5:$S$204,Allocation!$C$5:$C$204,A41))</f>
        <v/>
      </c>
      <c r="O41" s="32"/>
      <c r="P41" s="31" t="str">
        <f aca="false">IF(A41="","",N41+O41)</f>
        <v/>
      </c>
      <c r="Q41" s="29"/>
      <c r="R41" s="29"/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29"/>
      <c r="G42" s="29"/>
      <c r="H42" s="29"/>
      <c r="I42" s="30"/>
      <c r="J42" s="30"/>
      <c r="K42" s="29"/>
      <c r="L42" s="29"/>
      <c r="M42" s="19" t="str">
        <f aca="false">IF(A42="","",SUMIFS(Allocation!$Q$5:$Q$204,Allocation!$C$5:$C$204,A42))</f>
        <v/>
      </c>
      <c r="N42" s="31" t="str">
        <f aca="false">IF(A42="","",SUMIFS(Allocation!$S$5:$S$204,Allocation!$C$5:$C$204,A42))</f>
        <v/>
      </c>
      <c r="O42" s="32"/>
      <c r="P42" s="31" t="str">
        <f aca="false">IF(A42="","",N42+O42)</f>
        <v/>
      </c>
      <c r="Q42" s="29"/>
      <c r="R42" s="29"/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29"/>
      <c r="G43" s="29"/>
      <c r="H43" s="29"/>
      <c r="I43" s="30"/>
      <c r="J43" s="30"/>
      <c r="K43" s="29"/>
      <c r="L43" s="29"/>
      <c r="M43" s="19" t="str">
        <f aca="false">IF(A43="","",SUMIFS(Allocation!$Q$5:$Q$204,Allocation!$C$5:$C$204,A43))</f>
        <v/>
      </c>
      <c r="N43" s="31" t="str">
        <f aca="false">IF(A43="","",SUMIFS(Allocation!$S$5:$S$204,Allocation!$C$5:$C$204,A43))</f>
        <v/>
      </c>
      <c r="O43" s="32"/>
      <c r="P43" s="31" t="str">
        <f aca="false">IF(A43="","",N43+O43)</f>
        <v/>
      </c>
      <c r="Q43" s="29"/>
      <c r="R43" s="29"/>
    </row>
    <row r="44" customFormat="false" ht="15" hidden="false" customHeight="false" outlineLevel="0" collapsed="false">
      <c r="A44" s="29"/>
      <c r="B44" s="29"/>
      <c r="C44" s="29"/>
      <c r="D44" s="29"/>
      <c r="E44" s="29"/>
      <c r="F44" s="29"/>
      <c r="G44" s="29"/>
      <c r="H44" s="29"/>
      <c r="I44" s="30"/>
      <c r="J44" s="30"/>
      <c r="K44" s="29"/>
      <c r="L44" s="29"/>
      <c r="M44" s="19" t="str">
        <f aca="false">IF(A44="","",SUMIFS(Allocation!$Q$5:$Q$204,Allocation!$C$5:$C$204,A44))</f>
        <v/>
      </c>
      <c r="N44" s="31" t="str">
        <f aca="false">IF(A44="","",SUMIFS(Allocation!$S$5:$S$204,Allocation!$C$5:$C$204,A44))</f>
        <v/>
      </c>
      <c r="O44" s="32"/>
      <c r="P44" s="31" t="str">
        <f aca="false">IF(A44="","",N44+O44)</f>
        <v/>
      </c>
      <c r="Q44" s="29"/>
      <c r="R44" s="29"/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29"/>
      <c r="G45" s="29"/>
      <c r="H45" s="29"/>
      <c r="I45" s="30"/>
      <c r="J45" s="30"/>
      <c r="K45" s="29"/>
      <c r="L45" s="29"/>
      <c r="M45" s="19" t="str">
        <f aca="false">IF(A45="","",SUMIFS(Allocation!$Q$5:$Q$204,Allocation!$C$5:$C$204,A45))</f>
        <v/>
      </c>
      <c r="N45" s="31" t="str">
        <f aca="false">IF(A45="","",SUMIFS(Allocation!$S$5:$S$204,Allocation!$C$5:$C$204,A45))</f>
        <v/>
      </c>
      <c r="O45" s="32"/>
      <c r="P45" s="31" t="str">
        <f aca="false">IF(A45="","",N45+O45)</f>
        <v/>
      </c>
      <c r="Q45" s="29"/>
      <c r="R45" s="29"/>
    </row>
    <row r="46" customFormat="false" ht="15" hidden="false" customHeight="false" outlineLevel="0" collapsed="false">
      <c r="A46" s="29"/>
      <c r="B46" s="29"/>
      <c r="C46" s="29"/>
      <c r="D46" s="29"/>
      <c r="E46" s="29"/>
      <c r="F46" s="29"/>
      <c r="G46" s="29"/>
      <c r="H46" s="29"/>
      <c r="I46" s="30"/>
      <c r="J46" s="30"/>
      <c r="K46" s="29"/>
      <c r="L46" s="29"/>
      <c r="M46" s="19" t="str">
        <f aca="false">IF(A46="","",SUMIFS(Allocation!$Q$5:$Q$204,Allocation!$C$5:$C$204,A46))</f>
        <v/>
      </c>
      <c r="N46" s="31" t="str">
        <f aca="false">IF(A46="","",SUMIFS(Allocation!$S$5:$S$204,Allocation!$C$5:$C$204,A46))</f>
        <v/>
      </c>
      <c r="O46" s="32"/>
      <c r="P46" s="31" t="str">
        <f aca="false">IF(A46="","",N46+O46)</f>
        <v/>
      </c>
      <c r="Q46" s="29"/>
      <c r="R46" s="29"/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29"/>
      <c r="G47" s="29"/>
      <c r="H47" s="29"/>
      <c r="I47" s="30"/>
      <c r="J47" s="30"/>
      <c r="K47" s="29"/>
      <c r="L47" s="29"/>
      <c r="M47" s="19" t="str">
        <f aca="false">IF(A47="","",SUMIFS(Allocation!$Q$5:$Q$204,Allocation!$C$5:$C$204,A47))</f>
        <v/>
      </c>
      <c r="N47" s="31" t="str">
        <f aca="false">IF(A47="","",SUMIFS(Allocation!$S$5:$S$204,Allocation!$C$5:$C$204,A47))</f>
        <v/>
      </c>
      <c r="O47" s="32"/>
      <c r="P47" s="31" t="str">
        <f aca="false">IF(A47="","",N47+O47)</f>
        <v/>
      </c>
      <c r="Q47" s="29"/>
      <c r="R47" s="29"/>
    </row>
    <row r="48" customFormat="false" ht="15" hidden="false" customHeight="false" outlineLevel="0" collapsed="false">
      <c r="A48" s="29"/>
      <c r="B48" s="29"/>
      <c r="C48" s="29"/>
      <c r="D48" s="29"/>
      <c r="E48" s="29"/>
      <c r="F48" s="29"/>
      <c r="G48" s="29"/>
      <c r="H48" s="29"/>
      <c r="I48" s="30"/>
      <c r="J48" s="30"/>
      <c r="K48" s="29"/>
      <c r="L48" s="29"/>
      <c r="M48" s="19" t="str">
        <f aca="false">IF(A48="","",SUMIFS(Allocation!$Q$5:$Q$204,Allocation!$C$5:$C$204,A48))</f>
        <v/>
      </c>
      <c r="N48" s="31" t="str">
        <f aca="false">IF(A48="","",SUMIFS(Allocation!$S$5:$S$204,Allocation!$C$5:$C$204,A48))</f>
        <v/>
      </c>
      <c r="O48" s="32"/>
      <c r="P48" s="31" t="str">
        <f aca="false">IF(A48="","",N48+O48)</f>
        <v/>
      </c>
      <c r="Q48" s="29"/>
      <c r="R48" s="29"/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29"/>
      <c r="G49" s="29"/>
      <c r="H49" s="29"/>
      <c r="I49" s="30"/>
      <c r="J49" s="30"/>
      <c r="K49" s="29"/>
      <c r="L49" s="29"/>
      <c r="M49" s="19" t="str">
        <f aca="false">IF(A49="","",SUMIFS(Allocation!$Q$5:$Q$204,Allocation!$C$5:$C$204,A49))</f>
        <v/>
      </c>
      <c r="N49" s="31" t="str">
        <f aca="false">IF(A49="","",SUMIFS(Allocation!$S$5:$S$204,Allocation!$C$5:$C$204,A49))</f>
        <v/>
      </c>
      <c r="O49" s="32"/>
      <c r="P49" s="31" t="str">
        <f aca="false">IF(A49="","",N49+O49)</f>
        <v/>
      </c>
      <c r="Q49" s="29"/>
      <c r="R49" s="29"/>
    </row>
    <row r="50" customFormat="false" ht="15" hidden="false" customHeight="false" outlineLevel="0" collapsed="false">
      <c r="A50" s="29"/>
      <c r="B50" s="29"/>
      <c r="C50" s="29"/>
      <c r="D50" s="29"/>
      <c r="E50" s="29"/>
      <c r="F50" s="29"/>
      <c r="G50" s="29"/>
      <c r="H50" s="29"/>
      <c r="I50" s="30"/>
      <c r="J50" s="30"/>
      <c r="K50" s="29"/>
      <c r="L50" s="29"/>
      <c r="M50" s="19" t="str">
        <f aca="false">IF(A50="","",SUMIFS(Allocation!$Q$5:$Q$204,Allocation!$C$5:$C$204,A50))</f>
        <v/>
      </c>
      <c r="N50" s="31" t="str">
        <f aca="false">IF(A50="","",SUMIFS(Allocation!$S$5:$S$204,Allocation!$C$5:$C$204,A50))</f>
        <v/>
      </c>
      <c r="O50" s="32"/>
      <c r="P50" s="31" t="str">
        <f aca="false">IF(A50="","",N50+O50)</f>
        <v/>
      </c>
      <c r="Q50" s="29"/>
      <c r="R50" s="29"/>
    </row>
    <row r="51" customFormat="false" ht="15" hidden="false" customHeight="false" outlineLevel="0" collapsed="false">
      <c r="A51" s="29"/>
      <c r="B51" s="29"/>
      <c r="C51" s="29"/>
      <c r="D51" s="29"/>
      <c r="E51" s="29"/>
      <c r="F51" s="29"/>
      <c r="G51" s="29"/>
      <c r="H51" s="29"/>
      <c r="I51" s="30"/>
      <c r="J51" s="30"/>
      <c r="K51" s="29"/>
      <c r="L51" s="29"/>
      <c r="M51" s="19" t="str">
        <f aca="false">IF(A51="","",SUMIFS(Allocation!$Q$5:$Q$204,Allocation!$C$5:$C$204,A51))</f>
        <v/>
      </c>
      <c r="N51" s="31" t="str">
        <f aca="false">IF(A51="","",SUMIFS(Allocation!$S$5:$S$204,Allocation!$C$5:$C$204,A51))</f>
        <v/>
      </c>
      <c r="O51" s="32"/>
      <c r="P51" s="31" t="str">
        <f aca="false">IF(A51="","",N51+O51)</f>
        <v/>
      </c>
      <c r="Q51" s="29"/>
      <c r="R51" s="29"/>
    </row>
    <row r="52" customFormat="false" ht="15" hidden="false" customHeight="false" outlineLevel="0" collapsed="false">
      <c r="A52" s="29"/>
      <c r="B52" s="29"/>
      <c r="C52" s="29"/>
      <c r="D52" s="29"/>
      <c r="E52" s="29"/>
      <c r="F52" s="29"/>
      <c r="G52" s="29"/>
      <c r="H52" s="29"/>
      <c r="I52" s="30"/>
      <c r="J52" s="30"/>
      <c r="K52" s="29"/>
      <c r="L52" s="29"/>
      <c r="M52" s="19" t="str">
        <f aca="false">IF(A52="","",SUMIFS(Allocation!$Q$5:$Q$204,Allocation!$C$5:$C$204,A52))</f>
        <v/>
      </c>
      <c r="N52" s="31" t="str">
        <f aca="false">IF(A52="","",SUMIFS(Allocation!$S$5:$S$204,Allocation!$C$5:$C$204,A52))</f>
        <v/>
      </c>
      <c r="O52" s="32"/>
      <c r="P52" s="31" t="str">
        <f aca="false">IF(A52="","",N52+O52)</f>
        <v/>
      </c>
      <c r="Q52" s="29"/>
      <c r="R52" s="29"/>
    </row>
    <row r="53" customFormat="false" ht="15" hidden="false" customHeight="false" outlineLevel="0" collapsed="false">
      <c r="A53" s="29"/>
      <c r="B53" s="29"/>
      <c r="C53" s="29"/>
      <c r="D53" s="29"/>
      <c r="E53" s="29"/>
      <c r="F53" s="29"/>
      <c r="G53" s="29"/>
      <c r="H53" s="29"/>
      <c r="I53" s="30"/>
      <c r="J53" s="30"/>
      <c r="K53" s="29"/>
      <c r="L53" s="29"/>
      <c r="M53" s="19" t="str">
        <f aca="false">IF(A53="","",SUMIFS(Allocation!$Q$5:$Q$204,Allocation!$C$5:$C$204,A53))</f>
        <v/>
      </c>
      <c r="N53" s="31" t="str">
        <f aca="false">IF(A53="","",SUMIFS(Allocation!$S$5:$S$204,Allocation!$C$5:$C$204,A53))</f>
        <v/>
      </c>
      <c r="O53" s="32"/>
      <c r="P53" s="31" t="str">
        <f aca="false">IF(A53="","",N53+O53)</f>
        <v/>
      </c>
      <c r="Q53" s="29"/>
      <c r="R53" s="29"/>
    </row>
    <row r="54" customFormat="false" ht="15" hidden="false" customHeight="false" outlineLevel="0" collapsed="false">
      <c r="A54" s="29"/>
      <c r="B54" s="29"/>
      <c r="C54" s="29"/>
      <c r="D54" s="29"/>
      <c r="E54" s="29"/>
      <c r="F54" s="29"/>
      <c r="G54" s="29"/>
      <c r="H54" s="29"/>
      <c r="I54" s="30"/>
      <c r="J54" s="30"/>
      <c r="K54" s="29"/>
      <c r="L54" s="29"/>
      <c r="M54" s="19" t="str">
        <f aca="false">IF(A54="","",SUMIFS(Allocation!$Q$5:$Q$204,Allocation!$C$5:$C$204,A54))</f>
        <v/>
      </c>
      <c r="N54" s="31" t="str">
        <f aca="false">IF(A54="","",SUMIFS(Allocation!$S$5:$S$204,Allocation!$C$5:$C$204,A54))</f>
        <v/>
      </c>
      <c r="O54" s="32"/>
      <c r="P54" s="31" t="str">
        <f aca="false">IF(A54="","",N54+O54)</f>
        <v/>
      </c>
      <c r="Q54" s="29"/>
      <c r="R54" s="29"/>
    </row>
  </sheetData>
  <conditionalFormatting sqref="L5:L54">
    <cfRule type="expression" priority="2" aboveAverage="0" equalAverage="0" bottom="0" percent="0" rank="0" text="" dxfId="8">
      <formula>$L5="Red"</formula>
    </cfRule>
    <cfRule type="expression" priority="3" aboveAverage="0" equalAverage="0" bottom="0" percent="0" rank="0" text="" dxfId="9">
      <formula>$L5="Amber"</formula>
    </cfRule>
    <cfRule type="expression" priority="4" aboveAverage="0" equalAverage="0" bottom="0" percent="0" rank="0" text="" dxfId="10">
      <formula>$L5="Green"</formula>
    </cfRule>
  </conditionalFormatting>
  <dataValidations count="6">
    <dataValidation allowBlank="true" errorStyle="stop" operator="between" showDropDown="false" showErrorMessage="false" showInputMessage="false" sqref="C5:C54" type="list">
      <formula1>Objectives!$A$5:$A$24</formula1>
      <formula2>0</formula2>
    </dataValidation>
    <dataValidation allowBlank="true" errorStyle="stop" operator="between" showDropDown="false" showErrorMessage="false" showInputMessage="false" sqref="D5:D54" type="list">
      <formula1>Settings!$J$8:$J$19</formula1>
      <formula2>0</formula2>
    </dataValidation>
    <dataValidation allowBlank="true" errorStyle="stop" operator="between" showDropDown="false" showErrorMessage="false" showInputMessage="false" sqref="E5:E54" type="list">
      <formula1>Settings!$I$8:$I$19</formula1>
      <formula2>0</formula2>
    </dataValidation>
    <dataValidation allowBlank="true" errorStyle="stop" operator="between" showDropDown="false" showErrorMessage="false" showInputMessage="false" sqref="F5:F54" type="list">
      <formula1>Settings!$K$8:$K$19</formula1>
      <formula2>0</formula2>
    </dataValidation>
    <dataValidation allowBlank="true" errorStyle="stop" operator="between" showDropDown="false" showErrorMessage="false" showInputMessage="false" sqref="K5:K54" type="list">
      <formula1>Settings!$H$8:$H$19</formula1>
      <formula2>0</formula2>
    </dataValidation>
    <dataValidation allowBlank="true" errorStyle="stop" operator="between" showDropDown="false" showErrorMessage="false" showInputMessage="false" sqref="L5:L54" type="list">
      <formula1>Settings!$L$8:$L$19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18" min="7" style="0" width="6"/>
  </cols>
  <sheetData>
    <row r="1" customFormat="false" ht="17.35" hidden="false" customHeight="false" outlineLevel="0" collapsed="false">
      <c r="A1" s="9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10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33" t="str">
        <f aca="false">Settings!$C$8</f>
        <v>Q1</v>
      </c>
      <c r="H4" s="33" t="str">
        <f aca="false">Settings!$C$9</f>
        <v>Q1</v>
      </c>
      <c r="I4" s="33" t="str">
        <f aca="false">Settings!$C$10</f>
        <v>Q1</v>
      </c>
      <c r="J4" s="33" t="str">
        <f aca="false">Settings!$C$11</f>
        <v>Q2</v>
      </c>
      <c r="K4" s="33" t="str">
        <f aca="false">Settings!$C$12</f>
        <v>Q2</v>
      </c>
      <c r="L4" s="33" t="str">
        <f aca="false">Settings!$C$13</f>
        <v>Q2</v>
      </c>
      <c r="M4" s="33" t="str">
        <f aca="false">Settings!$C$14</f>
        <v>Q3</v>
      </c>
      <c r="N4" s="33" t="str">
        <f aca="false">Settings!$C$15</f>
        <v>Q3</v>
      </c>
      <c r="O4" s="33" t="str">
        <f aca="false">Settings!$C$16</f>
        <v>Q3</v>
      </c>
      <c r="P4" s="33" t="str">
        <f aca="false">Settings!$C$17</f>
        <v>Q4</v>
      </c>
      <c r="Q4" s="33" t="str">
        <f aca="false">Settings!$C$18</f>
        <v>Q4</v>
      </c>
      <c r="R4" s="33" t="str">
        <f aca="false">Settings!$C$19</f>
        <v>Q4</v>
      </c>
    </row>
    <row r="5" customFormat="false" ht="30" hidden="false" customHeight="true" outlineLevel="0" collapsed="false">
      <c r="A5" s="17" t="s">
        <v>91</v>
      </c>
      <c r="B5" s="17" t="s">
        <v>92</v>
      </c>
      <c r="C5" s="17" t="s">
        <v>94</v>
      </c>
      <c r="D5" s="17" t="s">
        <v>67</v>
      </c>
      <c r="E5" s="17" t="s">
        <v>98</v>
      </c>
      <c r="F5" s="17" t="s">
        <v>99</v>
      </c>
      <c r="G5" s="34" t="n">
        <f aca="false">Settings!$A$8</f>
        <v>46388</v>
      </c>
      <c r="H5" s="34" t="n">
        <f aca="false">Settings!$A$9</f>
        <v>46419</v>
      </c>
      <c r="I5" s="34" t="n">
        <f aca="false">Settings!$A$10</f>
        <v>46447</v>
      </c>
      <c r="J5" s="34" t="n">
        <f aca="false">Settings!$A$11</f>
        <v>46478</v>
      </c>
      <c r="K5" s="34" t="n">
        <f aca="false">Settings!$A$12</f>
        <v>46508</v>
      </c>
      <c r="L5" s="34" t="n">
        <f aca="false">Settings!$A$13</f>
        <v>46539</v>
      </c>
      <c r="M5" s="34" t="n">
        <f aca="false">Settings!$A$14</f>
        <v>46569</v>
      </c>
      <c r="N5" s="34" t="n">
        <f aca="false">Settings!$A$15</f>
        <v>46600</v>
      </c>
      <c r="O5" s="34" t="n">
        <f aca="false">Settings!$A$16</f>
        <v>46631</v>
      </c>
      <c r="P5" s="34" t="n">
        <f aca="false">Settings!$A$17</f>
        <v>46661</v>
      </c>
      <c r="Q5" s="34" t="n">
        <f aca="false">Settings!$A$18</f>
        <v>46692</v>
      </c>
      <c r="R5" s="34" t="n">
        <f aca="false">Settings!$A$19</f>
        <v>46722</v>
      </c>
    </row>
    <row r="6" customFormat="false" ht="15" hidden="false" customHeight="false" outlineLevel="0" collapsed="false">
      <c r="A6" s="26" t="str">
        <f aca="false">IF(Projects!$A5="","",Projects!$A5)</f>
        <v>P001</v>
      </c>
      <c r="B6" s="26" t="str">
        <f aca="false">IF(Projects!$A5="","",Projects!$B5)</f>
        <v>RepApp Angular migration (strangler fig)</v>
      </c>
      <c r="C6" s="26" t="str">
        <f aca="false">IF(Projects!$A5="","",Projects!$E5)</f>
        <v>P1</v>
      </c>
      <c r="D6" s="26" t="str">
        <f aca="false">IF(Projects!$A5="","",Projects!$K5)</f>
        <v>In Progress</v>
      </c>
      <c r="E6" s="35" t="n">
        <f aca="false">IF(Projects!$A5="","",Projects!$I5)</f>
        <v>46391</v>
      </c>
      <c r="F6" s="35" t="n">
        <f aca="false">IF(Projects!$A5="","",Projects!$J5)</f>
        <v>46738</v>
      </c>
      <c r="G6" s="36" t="str">
        <f aca="false">IF($A6="","",IF(COUNTIFS(Milestones!$A$5:$A$104,$A6,Milestones!$D$5:$D$104,"&gt;="&amp;G$5,Milestones!$D$5:$D$104,"&lt;="&amp;EOMONTH(G$5,0))&gt;0,"◆",""))</f>
        <v/>
      </c>
      <c r="H6" s="36" t="str">
        <f aca="false">IF($A6="","",IF(COUNTIFS(Milestones!$A$5:$A$104,$A6,Milestones!$D$5:$D$104,"&gt;="&amp;H$5,Milestones!$D$5:$D$104,"&lt;="&amp;EOMONTH(H$5,0))&gt;0,"◆",""))</f>
        <v/>
      </c>
      <c r="I6" s="36" t="str">
        <f aca="false">IF($A6="","",IF(COUNTIFS(Milestones!$A$5:$A$104,$A6,Milestones!$D$5:$D$104,"&gt;="&amp;I$5,Milestones!$D$5:$D$104,"&lt;="&amp;EOMONTH(I$5,0))&gt;0,"◆",""))</f>
        <v>◆</v>
      </c>
      <c r="J6" s="36" t="str">
        <f aca="false">IF($A6="","",IF(COUNTIFS(Milestones!$A$5:$A$104,$A6,Milestones!$D$5:$D$104,"&gt;="&amp;J$5,Milestones!$D$5:$D$104,"&lt;="&amp;EOMONTH(J$5,0))&gt;0,"◆",""))</f>
        <v/>
      </c>
      <c r="K6" s="36" t="str">
        <f aca="false">IF($A6="","",IF(COUNTIFS(Milestones!$A$5:$A$104,$A6,Milestones!$D$5:$D$104,"&gt;="&amp;K$5,Milestones!$D$5:$D$104,"&lt;="&amp;EOMONTH(K$5,0))&gt;0,"◆",""))</f>
        <v/>
      </c>
      <c r="L6" s="36" t="str">
        <f aca="false">IF($A6="","",IF(COUNTIFS(Milestones!$A$5:$A$104,$A6,Milestones!$D$5:$D$104,"&gt;="&amp;L$5,Milestones!$D$5:$D$104,"&lt;="&amp;EOMONTH(L$5,0))&gt;0,"◆",""))</f>
        <v/>
      </c>
      <c r="M6" s="36" t="str">
        <f aca="false">IF($A6="","",IF(COUNTIFS(Milestones!$A$5:$A$104,$A6,Milestones!$D$5:$D$104,"&gt;="&amp;M$5,Milestones!$D$5:$D$104,"&lt;="&amp;EOMONTH(M$5,0))&gt;0,"◆",""))</f>
        <v>◆</v>
      </c>
      <c r="N6" s="36" t="str">
        <f aca="false">IF($A6="","",IF(COUNTIFS(Milestones!$A$5:$A$104,$A6,Milestones!$D$5:$D$104,"&gt;="&amp;N$5,Milestones!$D$5:$D$104,"&lt;="&amp;EOMONTH(N$5,0))&gt;0,"◆",""))</f>
        <v/>
      </c>
      <c r="O6" s="36" t="str">
        <f aca="false">IF($A6="","",IF(COUNTIFS(Milestones!$A$5:$A$104,$A6,Milestones!$D$5:$D$104,"&gt;="&amp;O$5,Milestones!$D$5:$D$104,"&lt;="&amp;EOMONTH(O$5,0))&gt;0,"◆",""))</f>
        <v/>
      </c>
      <c r="P6" s="36" t="str">
        <f aca="false">IF($A6="","",IF(COUNTIFS(Milestones!$A$5:$A$104,$A6,Milestones!$D$5:$D$104,"&gt;="&amp;P$5,Milestones!$D$5:$D$104,"&lt;="&amp;EOMONTH(P$5,0))&gt;0,"◆",""))</f>
        <v/>
      </c>
      <c r="Q6" s="36" t="str">
        <f aca="false">IF($A6="","",IF(COUNTIFS(Milestones!$A$5:$A$104,$A6,Milestones!$D$5:$D$104,"&gt;="&amp;Q$5,Milestones!$D$5:$D$104,"&lt;="&amp;EOMONTH(Q$5,0))&gt;0,"◆",""))</f>
        <v>◆</v>
      </c>
      <c r="R6" s="36" t="str">
        <f aca="false">IF($A6="","",IF(COUNTIFS(Milestones!$A$5:$A$104,$A6,Milestones!$D$5:$D$104,"&gt;="&amp;R$5,Milestones!$D$5:$D$104,"&lt;="&amp;EOMONTH(R$5,0))&gt;0,"◆",""))</f>
        <v/>
      </c>
    </row>
    <row r="7" customFormat="false" ht="15" hidden="false" customHeight="false" outlineLevel="0" collapsed="false">
      <c r="A7" s="26" t="str">
        <f aca="false">IF(Projects!$A6="","",Projects!$A6)</f>
        <v>P002</v>
      </c>
      <c r="B7" s="26" t="str">
        <f aca="false">IF(Projects!$A6="","",Projects!$B6)</f>
        <v>Application portfolio dashboard</v>
      </c>
      <c r="C7" s="26" t="str">
        <f aca="false">IF(Projects!$A6="","",Projects!$E6)</f>
        <v>P2</v>
      </c>
      <c r="D7" s="26" t="str">
        <f aca="false">IF(Projects!$A6="","",Projects!$K6)</f>
        <v>Approved</v>
      </c>
      <c r="E7" s="35" t="n">
        <f aca="false">IF(Projects!$A6="","",Projects!$I6)</f>
        <v>46398</v>
      </c>
      <c r="F7" s="35" t="n">
        <f aca="false">IF(Projects!$A6="","",Projects!$J6)</f>
        <v>46507</v>
      </c>
      <c r="G7" s="36" t="str">
        <f aca="false">IF($A7="","",IF(COUNTIFS(Milestones!$A$5:$A$104,$A7,Milestones!$D$5:$D$104,"&gt;="&amp;G$5,Milestones!$D$5:$D$104,"&lt;="&amp;EOMONTH(G$5,0))&gt;0,"◆",""))</f>
        <v/>
      </c>
      <c r="H7" s="36" t="str">
        <f aca="false">IF($A7="","",IF(COUNTIFS(Milestones!$A$5:$A$104,$A7,Milestones!$D$5:$D$104,"&gt;="&amp;H$5,Milestones!$D$5:$D$104,"&lt;="&amp;EOMONTH(H$5,0))&gt;0,"◆",""))</f>
        <v/>
      </c>
      <c r="I7" s="36" t="str">
        <f aca="false">IF($A7="","",IF(COUNTIFS(Milestones!$A$5:$A$104,$A7,Milestones!$D$5:$D$104,"&gt;="&amp;I$5,Milestones!$D$5:$D$104,"&lt;="&amp;EOMONTH(I$5,0))&gt;0,"◆",""))</f>
        <v>◆</v>
      </c>
      <c r="J7" s="36" t="str">
        <f aca="false">IF($A7="","",IF(COUNTIFS(Milestones!$A$5:$A$104,$A7,Milestones!$D$5:$D$104,"&gt;="&amp;J$5,Milestones!$D$5:$D$104,"&lt;="&amp;EOMONTH(J$5,0))&gt;0,"◆",""))</f>
        <v/>
      </c>
      <c r="K7" s="36" t="str">
        <f aca="false">IF($A7="","",IF(COUNTIFS(Milestones!$A$5:$A$104,$A7,Milestones!$D$5:$D$104,"&gt;="&amp;K$5,Milestones!$D$5:$D$104,"&lt;="&amp;EOMONTH(K$5,0))&gt;0,"◆",""))</f>
        <v/>
      </c>
      <c r="L7" s="36" t="str">
        <f aca="false">IF($A7="","",IF(COUNTIFS(Milestones!$A$5:$A$104,$A7,Milestones!$D$5:$D$104,"&gt;="&amp;L$5,Milestones!$D$5:$D$104,"&lt;="&amp;EOMONTH(L$5,0))&gt;0,"◆",""))</f>
        <v/>
      </c>
      <c r="M7" s="36" t="str">
        <f aca="false">IF($A7="","",IF(COUNTIFS(Milestones!$A$5:$A$104,$A7,Milestones!$D$5:$D$104,"&gt;="&amp;M$5,Milestones!$D$5:$D$104,"&lt;="&amp;EOMONTH(M$5,0))&gt;0,"◆",""))</f>
        <v/>
      </c>
      <c r="N7" s="36" t="str">
        <f aca="false">IF($A7="","",IF(COUNTIFS(Milestones!$A$5:$A$104,$A7,Milestones!$D$5:$D$104,"&gt;="&amp;N$5,Milestones!$D$5:$D$104,"&lt;="&amp;EOMONTH(N$5,0))&gt;0,"◆",""))</f>
        <v/>
      </c>
      <c r="O7" s="36" t="str">
        <f aca="false">IF($A7="","",IF(COUNTIFS(Milestones!$A$5:$A$104,$A7,Milestones!$D$5:$D$104,"&gt;="&amp;O$5,Milestones!$D$5:$D$104,"&lt;="&amp;EOMONTH(O$5,0))&gt;0,"◆",""))</f>
        <v/>
      </c>
      <c r="P7" s="36" t="str">
        <f aca="false">IF($A7="","",IF(COUNTIFS(Milestones!$A$5:$A$104,$A7,Milestones!$D$5:$D$104,"&gt;="&amp;P$5,Milestones!$D$5:$D$104,"&lt;="&amp;EOMONTH(P$5,0))&gt;0,"◆",""))</f>
        <v/>
      </c>
      <c r="Q7" s="36" t="str">
        <f aca="false">IF($A7="","",IF(COUNTIFS(Milestones!$A$5:$A$104,$A7,Milestones!$D$5:$D$104,"&gt;="&amp;Q$5,Milestones!$D$5:$D$104,"&lt;="&amp;EOMONTH(Q$5,0))&gt;0,"◆",""))</f>
        <v/>
      </c>
      <c r="R7" s="36" t="str">
        <f aca="false">IF($A7="","",IF(COUNTIFS(Milestones!$A$5:$A$104,$A7,Milestones!$D$5:$D$104,"&gt;="&amp;R$5,Milestones!$D$5:$D$104,"&lt;="&amp;EOMONTH(R$5,0))&gt;0,"◆",""))</f>
        <v/>
      </c>
    </row>
    <row r="8" customFormat="false" ht="15" hidden="false" customHeight="false" outlineLevel="0" collapsed="false">
      <c r="A8" s="26" t="str">
        <f aca="false">IF(Projects!$A7="","",Projects!$A7)</f>
        <v>P003</v>
      </c>
      <c r="B8" s="26" t="str">
        <f aca="false">IF(Projects!$A7="","",Projects!$B7)</f>
        <v>Observability &amp; alerting uplift</v>
      </c>
      <c r="C8" s="26" t="str">
        <f aca="false">IF(Projects!$A7="","",Projects!$E7)</f>
        <v>P2</v>
      </c>
      <c r="D8" s="26" t="str">
        <f aca="false">IF(Projects!$A7="","",Projects!$K7)</f>
        <v>Proposed</v>
      </c>
      <c r="E8" s="35" t="n">
        <f aca="false">IF(Projects!$A7="","",Projects!$I7)</f>
        <v>46447</v>
      </c>
      <c r="F8" s="35" t="n">
        <f aca="false">IF(Projects!$A7="","",Projects!$J7)</f>
        <v>46630</v>
      </c>
      <c r="G8" s="36" t="str">
        <f aca="false">IF($A8="","",IF(COUNTIFS(Milestones!$A$5:$A$104,$A8,Milestones!$D$5:$D$104,"&gt;="&amp;G$5,Milestones!$D$5:$D$104,"&lt;="&amp;EOMONTH(G$5,0))&gt;0,"◆",""))</f>
        <v/>
      </c>
      <c r="H8" s="36" t="str">
        <f aca="false">IF($A8="","",IF(COUNTIFS(Milestones!$A$5:$A$104,$A8,Milestones!$D$5:$D$104,"&gt;="&amp;H$5,Milestones!$D$5:$D$104,"&lt;="&amp;EOMONTH(H$5,0))&gt;0,"◆",""))</f>
        <v/>
      </c>
      <c r="I8" s="36" t="str">
        <f aca="false">IF($A8="","",IF(COUNTIFS(Milestones!$A$5:$A$104,$A8,Milestones!$D$5:$D$104,"&gt;="&amp;I$5,Milestones!$D$5:$D$104,"&lt;="&amp;EOMONTH(I$5,0))&gt;0,"◆",""))</f>
        <v/>
      </c>
      <c r="J8" s="36" t="str">
        <f aca="false">IF($A8="","",IF(COUNTIFS(Milestones!$A$5:$A$104,$A8,Milestones!$D$5:$D$104,"&gt;="&amp;J$5,Milestones!$D$5:$D$104,"&lt;="&amp;EOMONTH(J$5,0))&gt;0,"◆",""))</f>
        <v/>
      </c>
      <c r="K8" s="36" t="str">
        <f aca="false">IF($A8="","",IF(COUNTIFS(Milestones!$A$5:$A$104,$A8,Milestones!$D$5:$D$104,"&gt;="&amp;K$5,Milestones!$D$5:$D$104,"&lt;="&amp;EOMONTH(K$5,0))&gt;0,"◆",""))</f>
        <v/>
      </c>
      <c r="L8" s="36" t="str">
        <f aca="false">IF($A8="","",IF(COUNTIFS(Milestones!$A$5:$A$104,$A8,Milestones!$D$5:$D$104,"&gt;="&amp;L$5,Milestones!$D$5:$D$104,"&lt;="&amp;EOMONTH(L$5,0))&gt;0,"◆",""))</f>
        <v>◆</v>
      </c>
      <c r="M8" s="36" t="str">
        <f aca="false">IF($A8="","",IF(COUNTIFS(Milestones!$A$5:$A$104,$A8,Milestones!$D$5:$D$104,"&gt;="&amp;M$5,Milestones!$D$5:$D$104,"&lt;="&amp;EOMONTH(M$5,0))&gt;0,"◆",""))</f>
        <v/>
      </c>
      <c r="N8" s="36" t="str">
        <f aca="false">IF($A8="","",IF(COUNTIFS(Milestones!$A$5:$A$104,$A8,Milestones!$D$5:$D$104,"&gt;="&amp;N$5,Milestones!$D$5:$D$104,"&lt;="&amp;EOMONTH(N$5,0))&gt;0,"◆",""))</f>
        <v/>
      </c>
      <c r="O8" s="36" t="str">
        <f aca="false">IF($A8="","",IF(COUNTIFS(Milestones!$A$5:$A$104,$A8,Milestones!$D$5:$D$104,"&gt;="&amp;O$5,Milestones!$D$5:$D$104,"&lt;="&amp;EOMONTH(O$5,0))&gt;0,"◆",""))</f>
        <v/>
      </c>
      <c r="P8" s="36" t="str">
        <f aca="false">IF($A8="","",IF(COUNTIFS(Milestones!$A$5:$A$104,$A8,Milestones!$D$5:$D$104,"&gt;="&amp;P$5,Milestones!$D$5:$D$104,"&lt;="&amp;EOMONTH(P$5,0))&gt;0,"◆",""))</f>
        <v/>
      </c>
      <c r="Q8" s="36" t="str">
        <f aca="false">IF($A8="","",IF(COUNTIFS(Milestones!$A$5:$A$104,$A8,Milestones!$D$5:$D$104,"&gt;="&amp;Q$5,Milestones!$D$5:$D$104,"&lt;="&amp;EOMONTH(Q$5,0))&gt;0,"◆",""))</f>
        <v/>
      </c>
      <c r="R8" s="36" t="str">
        <f aca="false">IF($A8="","",IF(COUNTIFS(Milestones!$A$5:$A$104,$A8,Milestones!$D$5:$D$104,"&gt;="&amp;R$5,Milestones!$D$5:$D$104,"&lt;="&amp;EOMONTH(R$5,0))&gt;0,"◆",""))</f>
        <v/>
      </c>
    </row>
    <row r="9" customFormat="false" ht="15" hidden="false" customHeight="false" outlineLevel="0" collapsed="false">
      <c r="A9" s="26" t="str">
        <f aca="false">IF(Projects!$A8="","",Projects!$A8)</f>
        <v/>
      </c>
      <c r="B9" s="26" t="str">
        <f aca="false">IF(Projects!$A8="","",Projects!$B8)</f>
        <v/>
      </c>
      <c r="C9" s="26" t="str">
        <f aca="false">IF(Projects!$A8="","",Projects!$E8)</f>
        <v/>
      </c>
      <c r="D9" s="26" t="str">
        <f aca="false">IF(Projects!$A8="","",Projects!$K8)</f>
        <v/>
      </c>
      <c r="E9" s="35" t="str">
        <f aca="false">IF(Projects!$A8="","",Projects!$I8)</f>
        <v/>
      </c>
      <c r="F9" s="35" t="str">
        <f aca="false">IF(Projects!$A8="","",Projects!$J8)</f>
        <v/>
      </c>
      <c r="G9" s="36" t="str">
        <f aca="false">IF($A9="","",IF(COUNTIFS(Milestones!$A$5:$A$104,$A9,Milestones!$D$5:$D$104,"&gt;="&amp;G$5,Milestones!$D$5:$D$104,"&lt;="&amp;EOMONTH(G$5,0))&gt;0,"◆",""))</f>
        <v/>
      </c>
      <c r="H9" s="36" t="str">
        <f aca="false">IF($A9="","",IF(COUNTIFS(Milestones!$A$5:$A$104,$A9,Milestones!$D$5:$D$104,"&gt;="&amp;H$5,Milestones!$D$5:$D$104,"&lt;="&amp;EOMONTH(H$5,0))&gt;0,"◆",""))</f>
        <v/>
      </c>
      <c r="I9" s="36" t="str">
        <f aca="false">IF($A9="","",IF(COUNTIFS(Milestones!$A$5:$A$104,$A9,Milestones!$D$5:$D$104,"&gt;="&amp;I$5,Milestones!$D$5:$D$104,"&lt;="&amp;EOMONTH(I$5,0))&gt;0,"◆",""))</f>
        <v/>
      </c>
      <c r="J9" s="36" t="str">
        <f aca="false">IF($A9="","",IF(COUNTIFS(Milestones!$A$5:$A$104,$A9,Milestones!$D$5:$D$104,"&gt;="&amp;J$5,Milestones!$D$5:$D$104,"&lt;="&amp;EOMONTH(J$5,0))&gt;0,"◆",""))</f>
        <v/>
      </c>
      <c r="K9" s="36" t="str">
        <f aca="false">IF($A9="","",IF(COUNTIFS(Milestones!$A$5:$A$104,$A9,Milestones!$D$5:$D$104,"&gt;="&amp;K$5,Milestones!$D$5:$D$104,"&lt;="&amp;EOMONTH(K$5,0))&gt;0,"◆",""))</f>
        <v/>
      </c>
      <c r="L9" s="36" t="str">
        <f aca="false">IF($A9="","",IF(COUNTIFS(Milestones!$A$5:$A$104,$A9,Milestones!$D$5:$D$104,"&gt;="&amp;L$5,Milestones!$D$5:$D$104,"&lt;="&amp;EOMONTH(L$5,0))&gt;0,"◆",""))</f>
        <v/>
      </c>
      <c r="M9" s="36" t="str">
        <f aca="false">IF($A9="","",IF(COUNTIFS(Milestones!$A$5:$A$104,$A9,Milestones!$D$5:$D$104,"&gt;="&amp;M$5,Milestones!$D$5:$D$104,"&lt;="&amp;EOMONTH(M$5,0))&gt;0,"◆",""))</f>
        <v/>
      </c>
      <c r="N9" s="36" t="str">
        <f aca="false">IF($A9="","",IF(COUNTIFS(Milestones!$A$5:$A$104,$A9,Milestones!$D$5:$D$104,"&gt;="&amp;N$5,Milestones!$D$5:$D$104,"&lt;="&amp;EOMONTH(N$5,0))&gt;0,"◆",""))</f>
        <v/>
      </c>
      <c r="O9" s="36" t="str">
        <f aca="false">IF($A9="","",IF(COUNTIFS(Milestones!$A$5:$A$104,$A9,Milestones!$D$5:$D$104,"&gt;="&amp;O$5,Milestones!$D$5:$D$104,"&lt;="&amp;EOMONTH(O$5,0))&gt;0,"◆",""))</f>
        <v/>
      </c>
      <c r="P9" s="36" t="str">
        <f aca="false">IF($A9="","",IF(COUNTIFS(Milestones!$A$5:$A$104,$A9,Milestones!$D$5:$D$104,"&gt;="&amp;P$5,Milestones!$D$5:$D$104,"&lt;="&amp;EOMONTH(P$5,0))&gt;0,"◆",""))</f>
        <v/>
      </c>
      <c r="Q9" s="36" t="str">
        <f aca="false">IF($A9="","",IF(COUNTIFS(Milestones!$A$5:$A$104,$A9,Milestones!$D$5:$D$104,"&gt;="&amp;Q$5,Milestones!$D$5:$D$104,"&lt;="&amp;EOMONTH(Q$5,0))&gt;0,"◆",""))</f>
        <v/>
      </c>
      <c r="R9" s="36" t="str">
        <f aca="false">IF($A9="","",IF(COUNTIFS(Milestones!$A$5:$A$104,$A9,Milestones!$D$5:$D$104,"&gt;="&amp;R$5,Milestones!$D$5:$D$104,"&lt;="&amp;EOMONTH(R$5,0))&gt;0,"◆",""))</f>
        <v/>
      </c>
    </row>
    <row r="10" customFormat="false" ht="15" hidden="false" customHeight="false" outlineLevel="0" collapsed="false">
      <c r="A10" s="26" t="str">
        <f aca="false">IF(Projects!$A9="","",Projects!$A9)</f>
        <v/>
      </c>
      <c r="B10" s="26" t="str">
        <f aca="false">IF(Projects!$A9="","",Projects!$B9)</f>
        <v/>
      </c>
      <c r="C10" s="26" t="str">
        <f aca="false">IF(Projects!$A9="","",Projects!$E9)</f>
        <v/>
      </c>
      <c r="D10" s="26" t="str">
        <f aca="false">IF(Projects!$A9="","",Projects!$K9)</f>
        <v/>
      </c>
      <c r="E10" s="35" t="str">
        <f aca="false">IF(Projects!$A9="","",Projects!$I9)</f>
        <v/>
      </c>
      <c r="F10" s="35" t="str">
        <f aca="false">IF(Projects!$A9="","",Projects!$J9)</f>
        <v/>
      </c>
      <c r="G10" s="36" t="str">
        <f aca="false">IF($A10="","",IF(COUNTIFS(Milestones!$A$5:$A$104,$A10,Milestones!$D$5:$D$104,"&gt;="&amp;G$5,Milestones!$D$5:$D$104,"&lt;="&amp;EOMONTH(G$5,0))&gt;0,"◆",""))</f>
        <v/>
      </c>
      <c r="H10" s="36" t="str">
        <f aca="false">IF($A10="","",IF(COUNTIFS(Milestones!$A$5:$A$104,$A10,Milestones!$D$5:$D$104,"&gt;="&amp;H$5,Milestones!$D$5:$D$104,"&lt;="&amp;EOMONTH(H$5,0))&gt;0,"◆",""))</f>
        <v/>
      </c>
      <c r="I10" s="36" t="str">
        <f aca="false">IF($A10="","",IF(COUNTIFS(Milestones!$A$5:$A$104,$A10,Milestones!$D$5:$D$104,"&gt;="&amp;I$5,Milestones!$D$5:$D$104,"&lt;="&amp;EOMONTH(I$5,0))&gt;0,"◆",""))</f>
        <v/>
      </c>
      <c r="J10" s="36" t="str">
        <f aca="false">IF($A10="","",IF(COUNTIFS(Milestones!$A$5:$A$104,$A10,Milestones!$D$5:$D$104,"&gt;="&amp;J$5,Milestones!$D$5:$D$104,"&lt;="&amp;EOMONTH(J$5,0))&gt;0,"◆",""))</f>
        <v/>
      </c>
      <c r="K10" s="36" t="str">
        <f aca="false">IF($A10="","",IF(COUNTIFS(Milestones!$A$5:$A$104,$A10,Milestones!$D$5:$D$104,"&gt;="&amp;K$5,Milestones!$D$5:$D$104,"&lt;="&amp;EOMONTH(K$5,0))&gt;0,"◆",""))</f>
        <v/>
      </c>
      <c r="L10" s="36" t="str">
        <f aca="false">IF($A10="","",IF(COUNTIFS(Milestones!$A$5:$A$104,$A10,Milestones!$D$5:$D$104,"&gt;="&amp;L$5,Milestones!$D$5:$D$104,"&lt;="&amp;EOMONTH(L$5,0))&gt;0,"◆",""))</f>
        <v/>
      </c>
      <c r="M10" s="36" t="str">
        <f aca="false">IF($A10="","",IF(COUNTIFS(Milestones!$A$5:$A$104,$A10,Milestones!$D$5:$D$104,"&gt;="&amp;M$5,Milestones!$D$5:$D$104,"&lt;="&amp;EOMONTH(M$5,0))&gt;0,"◆",""))</f>
        <v/>
      </c>
      <c r="N10" s="36" t="str">
        <f aca="false">IF($A10="","",IF(COUNTIFS(Milestones!$A$5:$A$104,$A10,Milestones!$D$5:$D$104,"&gt;="&amp;N$5,Milestones!$D$5:$D$104,"&lt;="&amp;EOMONTH(N$5,0))&gt;0,"◆",""))</f>
        <v/>
      </c>
      <c r="O10" s="36" t="str">
        <f aca="false">IF($A10="","",IF(COUNTIFS(Milestones!$A$5:$A$104,$A10,Milestones!$D$5:$D$104,"&gt;="&amp;O$5,Milestones!$D$5:$D$104,"&lt;="&amp;EOMONTH(O$5,0))&gt;0,"◆",""))</f>
        <v/>
      </c>
      <c r="P10" s="36" t="str">
        <f aca="false">IF($A10="","",IF(COUNTIFS(Milestones!$A$5:$A$104,$A10,Milestones!$D$5:$D$104,"&gt;="&amp;P$5,Milestones!$D$5:$D$104,"&lt;="&amp;EOMONTH(P$5,0))&gt;0,"◆",""))</f>
        <v/>
      </c>
      <c r="Q10" s="36" t="str">
        <f aca="false">IF($A10="","",IF(COUNTIFS(Milestones!$A$5:$A$104,$A10,Milestones!$D$5:$D$104,"&gt;="&amp;Q$5,Milestones!$D$5:$D$104,"&lt;="&amp;EOMONTH(Q$5,0))&gt;0,"◆",""))</f>
        <v/>
      </c>
      <c r="R10" s="36" t="str">
        <f aca="false">IF($A10="","",IF(COUNTIFS(Milestones!$A$5:$A$104,$A10,Milestones!$D$5:$D$104,"&gt;="&amp;R$5,Milestones!$D$5:$D$104,"&lt;="&amp;EOMONTH(R$5,0))&gt;0,"◆",""))</f>
        <v/>
      </c>
    </row>
    <row r="11" customFormat="false" ht="15" hidden="false" customHeight="false" outlineLevel="0" collapsed="false">
      <c r="A11" s="26" t="str">
        <f aca="false">IF(Projects!$A10="","",Projects!$A10)</f>
        <v/>
      </c>
      <c r="B11" s="26" t="str">
        <f aca="false">IF(Projects!$A10="","",Projects!$B10)</f>
        <v/>
      </c>
      <c r="C11" s="26" t="str">
        <f aca="false">IF(Projects!$A10="","",Projects!$E10)</f>
        <v/>
      </c>
      <c r="D11" s="26" t="str">
        <f aca="false">IF(Projects!$A10="","",Projects!$K10)</f>
        <v/>
      </c>
      <c r="E11" s="35" t="str">
        <f aca="false">IF(Projects!$A10="","",Projects!$I10)</f>
        <v/>
      </c>
      <c r="F11" s="35" t="str">
        <f aca="false">IF(Projects!$A10="","",Projects!$J10)</f>
        <v/>
      </c>
      <c r="G11" s="36" t="str">
        <f aca="false">IF($A11="","",IF(COUNTIFS(Milestones!$A$5:$A$104,$A11,Milestones!$D$5:$D$104,"&gt;="&amp;G$5,Milestones!$D$5:$D$104,"&lt;="&amp;EOMONTH(G$5,0))&gt;0,"◆",""))</f>
        <v/>
      </c>
      <c r="H11" s="36" t="str">
        <f aca="false">IF($A11="","",IF(COUNTIFS(Milestones!$A$5:$A$104,$A11,Milestones!$D$5:$D$104,"&gt;="&amp;H$5,Milestones!$D$5:$D$104,"&lt;="&amp;EOMONTH(H$5,0))&gt;0,"◆",""))</f>
        <v/>
      </c>
      <c r="I11" s="36" t="str">
        <f aca="false">IF($A11="","",IF(COUNTIFS(Milestones!$A$5:$A$104,$A11,Milestones!$D$5:$D$104,"&gt;="&amp;I$5,Milestones!$D$5:$D$104,"&lt;="&amp;EOMONTH(I$5,0))&gt;0,"◆",""))</f>
        <v/>
      </c>
      <c r="J11" s="36" t="str">
        <f aca="false">IF($A11="","",IF(COUNTIFS(Milestones!$A$5:$A$104,$A11,Milestones!$D$5:$D$104,"&gt;="&amp;J$5,Milestones!$D$5:$D$104,"&lt;="&amp;EOMONTH(J$5,0))&gt;0,"◆",""))</f>
        <v/>
      </c>
      <c r="K11" s="36" t="str">
        <f aca="false">IF($A11="","",IF(COUNTIFS(Milestones!$A$5:$A$104,$A11,Milestones!$D$5:$D$104,"&gt;="&amp;K$5,Milestones!$D$5:$D$104,"&lt;="&amp;EOMONTH(K$5,0))&gt;0,"◆",""))</f>
        <v/>
      </c>
      <c r="L11" s="36" t="str">
        <f aca="false">IF($A11="","",IF(COUNTIFS(Milestones!$A$5:$A$104,$A11,Milestones!$D$5:$D$104,"&gt;="&amp;L$5,Milestones!$D$5:$D$104,"&lt;="&amp;EOMONTH(L$5,0))&gt;0,"◆",""))</f>
        <v/>
      </c>
      <c r="M11" s="36" t="str">
        <f aca="false">IF($A11="","",IF(COUNTIFS(Milestones!$A$5:$A$104,$A11,Milestones!$D$5:$D$104,"&gt;="&amp;M$5,Milestones!$D$5:$D$104,"&lt;="&amp;EOMONTH(M$5,0))&gt;0,"◆",""))</f>
        <v/>
      </c>
      <c r="N11" s="36" t="str">
        <f aca="false">IF($A11="","",IF(COUNTIFS(Milestones!$A$5:$A$104,$A11,Milestones!$D$5:$D$104,"&gt;="&amp;N$5,Milestones!$D$5:$D$104,"&lt;="&amp;EOMONTH(N$5,0))&gt;0,"◆",""))</f>
        <v/>
      </c>
      <c r="O11" s="36" t="str">
        <f aca="false">IF($A11="","",IF(COUNTIFS(Milestones!$A$5:$A$104,$A11,Milestones!$D$5:$D$104,"&gt;="&amp;O$5,Milestones!$D$5:$D$104,"&lt;="&amp;EOMONTH(O$5,0))&gt;0,"◆",""))</f>
        <v/>
      </c>
      <c r="P11" s="36" t="str">
        <f aca="false">IF($A11="","",IF(COUNTIFS(Milestones!$A$5:$A$104,$A11,Milestones!$D$5:$D$104,"&gt;="&amp;P$5,Milestones!$D$5:$D$104,"&lt;="&amp;EOMONTH(P$5,0))&gt;0,"◆",""))</f>
        <v/>
      </c>
      <c r="Q11" s="36" t="str">
        <f aca="false">IF($A11="","",IF(COUNTIFS(Milestones!$A$5:$A$104,$A11,Milestones!$D$5:$D$104,"&gt;="&amp;Q$5,Milestones!$D$5:$D$104,"&lt;="&amp;EOMONTH(Q$5,0))&gt;0,"◆",""))</f>
        <v/>
      </c>
      <c r="R11" s="36" t="str">
        <f aca="false">IF($A11="","",IF(COUNTIFS(Milestones!$A$5:$A$104,$A11,Milestones!$D$5:$D$104,"&gt;="&amp;R$5,Milestones!$D$5:$D$104,"&lt;="&amp;EOMONTH(R$5,0))&gt;0,"◆",""))</f>
        <v/>
      </c>
    </row>
    <row r="12" customFormat="false" ht="15" hidden="false" customHeight="false" outlineLevel="0" collapsed="false">
      <c r="A12" s="26" t="str">
        <f aca="false">IF(Projects!$A11="","",Projects!$A11)</f>
        <v/>
      </c>
      <c r="B12" s="26" t="str">
        <f aca="false">IF(Projects!$A11="","",Projects!$B11)</f>
        <v/>
      </c>
      <c r="C12" s="26" t="str">
        <f aca="false">IF(Projects!$A11="","",Projects!$E11)</f>
        <v/>
      </c>
      <c r="D12" s="26" t="str">
        <f aca="false">IF(Projects!$A11="","",Projects!$K11)</f>
        <v/>
      </c>
      <c r="E12" s="35" t="str">
        <f aca="false">IF(Projects!$A11="","",Projects!$I11)</f>
        <v/>
      </c>
      <c r="F12" s="35" t="str">
        <f aca="false">IF(Projects!$A11="","",Projects!$J11)</f>
        <v/>
      </c>
      <c r="G12" s="36" t="str">
        <f aca="false">IF($A12="","",IF(COUNTIFS(Milestones!$A$5:$A$104,$A12,Milestones!$D$5:$D$104,"&gt;="&amp;G$5,Milestones!$D$5:$D$104,"&lt;="&amp;EOMONTH(G$5,0))&gt;0,"◆",""))</f>
        <v/>
      </c>
      <c r="H12" s="36" t="str">
        <f aca="false">IF($A12="","",IF(COUNTIFS(Milestones!$A$5:$A$104,$A12,Milestones!$D$5:$D$104,"&gt;="&amp;H$5,Milestones!$D$5:$D$104,"&lt;="&amp;EOMONTH(H$5,0))&gt;0,"◆",""))</f>
        <v/>
      </c>
      <c r="I12" s="36" t="str">
        <f aca="false">IF($A12="","",IF(COUNTIFS(Milestones!$A$5:$A$104,$A12,Milestones!$D$5:$D$104,"&gt;="&amp;I$5,Milestones!$D$5:$D$104,"&lt;="&amp;EOMONTH(I$5,0))&gt;0,"◆",""))</f>
        <v/>
      </c>
      <c r="J12" s="36" t="str">
        <f aca="false">IF($A12="","",IF(COUNTIFS(Milestones!$A$5:$A$104,$A12,Milestones!$D$5:$D$104,"&gt;="&amp;J$5,Milestones!$D$5:$D$104,"&lt;="&amp;EOMONTH(J$5,0))&gt;0,"◆",""))</f>
        <v/>
      </c>
      <c r="K12" s="36" t="str">
        <f aca="false">IF($A12="","",IF(COUNTIFS(Milestones!$A$5:$A$104,$A12,Milestones!$D$5:$D$104,"&gt;="&amp;K$5,Milestones!$D$5:$D$104,"&lt;="&amp;EOMONTH(K$5,0))&gt;0,"◆",""))</f>
        <v/>
      </c>
      <c r="L12" s="36" t="str">
        <f aca="false">IF($A12="","",IF(COUNTIFS(Milestones!$A$5:$A$104,$A12,Milestones!$D$5:$D$104,"&gt;="&amp;L$5,Milestones!$D$5:$D$104,"&lt;="&amp;EOMONTH(L$5,0))&gt;0,"◆",""))</f>
        <v/>
      </c>
      <c r="M12" s="36" t="str">
        <f aca="false">IF($A12="","",IF(COUNTIFS(Milestones!$A$5:$A$104,$A12,Milestones!$D$5:$D$104,"&gt;="&amp;M$5,Milestones!$D$5:$D$104,"&lt;="&amp;EOMONTH(M$5,0))&gt;0,"◆",""))</f>
        <v/>
      </c>
      <c r="N12" s="36" t="str">
        <f aca="false">IF($A12="","",IF(COUNTIFS(Milestones!$A$5:$A$104,$A12,Milestones!$D$5:$D$104,"&gt;="&amp;N$5,Milestones!$D$5:$D$104,"&lt;="&amp;EOMONTH(N$5,0))&gt;0,"◆",""))</f>
        <v/>
      </c>
      <c r="O12" s="36" t="str">
        <f aca="false">IF($A12="","",IF(COUNTIFS(Milestones!$A$5:$A$104,$A12,Milestones!$D$5:$D$104,"&gt;="&amp;O$5,Milestones!$D$5:$D$104,"&lt;="&amp;EOMONTH(O$5,0))&gt;0,"◆",""))</f>
        <v/>
      </c>
      <c r="P12" s="36" t="str">
        <f aca="false">IF($A12="","",IF(COUNTIFS(Milestones!$A$5:$A$104,$A12,Milestones!$D$5:$D$104,"&gt;="&amp;P$5,Milestones!$D$5:$D$104,"&lt;="&amp;EOMONTH(P$5,0))&gt;0,"◆",""))</f>
        <v/>
      </c>
      <c r="Q12" s="36" t="str">
        <f aca="false">IF($A12="","",IF(COUNTIFS(Milestones!$A$5:$A$104,$A12,Milestones!$D$5:$D$104,"&gt;="&amp;Q$5,Milestones!$D$5:$D$104,"&lt;="&amp;EOMONTH(Q$5,0))&gt;0,"◆",""))</f>
        <v/>
      </c>
      <c r="R12" s="36" t="str">
        <f aca="false">IF($A12="","",IF(COUNTIFS(Milestones!$A$5:$A$104,$A12,Milestones!$D$5:$D$104,"&gt;="&amp;R$5,Milestones!$D$5:$D$104,"&lt;="&amp;EOMONTH(R$5,0))&gt;0,"◆",""))</f>
        <v/>
      </c>
    </row>
    <row r="13" customFormat="false" ht="15" hidden="false" customHeight="false" outlineLevel="0" collapsed="false">
      <c r="A13" s="26" t="str">
        <f aca="false">IF(Projects!$A12="","",Projects!$A12)</f>
        <v/>
      </c>
      <c r="B13" s="26" t="str">
        <f aca="false">IF(Projects!$A12="","",Projects!$B12)</f>
        <v/>
      </c>
      <c r="C13" s="26" t="str">
        <f aca="false">IF(Projects!$A12="","",Projects!$E12)</f>
        <v/>
      </c>
      <c r="D13" s="26" t="str">
        <f aca="false">IF(Projects!$A12="","",Projects!$K12)</f>
        <v/>
      </c>
      <c r="E13" s="35" t="str">
        <f aca="false">IF(Projects!$A12="","",Projects!$I12)</f>
        <v/>
      </c>
      <c r="F13" s="35" t="str">
        <f aca="false">IF(Projects!$A12="","",Projects!$J12)</f>
        <v/>
      </c>
      <c r="G13" s="36" t="str">
        <f aca="false">IF($A13="","",IF(COUNTIFS(Milestones!$A$5:$A$104,$A13,Milestones!$D$5:$D$104,"&gt;="&amp;G$5,Milestones!$D$5:$D$104,"&lt;="&amp;EOMONTH(G$5,0))&gt;0,"◆",""))</f>
        <v/>
      </c>
      <c r="H13" s="36" t="str">
        <f aca="false">IF($A13="","",IF(COUNTIFS(Milestones!$A$5:$A$104,$A13,Milestones!$D$5:$D$104,"&gt;="&amp;H$5,Milestones!$D$5:$D$104,"&lt;="&amp;EOMONTH(H$5,0))&gt;0,"◆",""))</f>
        <v/>
      </c>
      <c r="I13" s="36" t="str">
        <f aca="false">IF($A13="","",IF(COUNTIFS(Milestones!$A$5:$A$104,$A13,Milestones!$D$5:$D$104,"&gt;="&amp;I$5,Milestones!$D$5:$D$104,"&lt;="&amp;EOMONTH(I$5,0))&gt;0,"◆",""))</f>
        <v/>
      </c>
      <c r="J13" s="36" t="str">
        <f aca="false">IF($A13="","",IF(COUNTIFS(Milestones!$A$5:$A$104,$A13,Milestones!$D$5:$D$104,"&gt;="&amp;J$5,Milestones!$D$5:$D$104,"&lt;="&amp;EOMONTH(J$5,0))&gt;0,"◆",""))</f>
        <v/>
      </c>
      <c r="K13" s="36" t="str">
        <f aca="false">IF($A13="","",IF(COUNTIFS(Milestones!$A$5:$A$104,$A13,Milestones!$D$5:$D$104,"&gt;="&amp;K$5,Milestones!$D$5:$D$104,"&lt;="&amp;EOMONTH(K$5,0))&gt;0,"◆",""))</f>
        <v/>
      </c>
      <c r="L13" s="36" t="str">
        <f aca="false">IF($A13="","",IF(COUNTIFS(Milestones!$A$5:$A$104,$A13,Milestones!$D$5:$D$104,"&gt;="&amp;L$5,Milestones!$D$5:$D$104,"&lt;="&amp;EOMONTH(L$5,0))&gt;0,"◆",""))</f>
        <v/>
      </c>
      <c r="M13" s="36" t="str">
        <f aca="false">IF($A13="","",IF(COUNTIFS(Milestones!$A$5:$A$104,$A13,Milestones!$D$5:$D$104,"&gt;="&amp;M$5,Milestones!$D$5:$D$104,"&lt;="&amp;EOMONTH(M$5,0))&gt;0,"◆",""))</f>
        <v/>
      </c>
      <c r="N13" s="36" t="str">
        <f aca="false">IF($A13="","",IF(COUNTIFS(Milestones!$A$5:$A$104,$A13,Milestones!$D$5:$D$104,"&gt;="&amp;N$5,Milestones!$D$5:$D$104,"&lt;="&amp;EOMONTH(N$5,0))&gt;0,"◆",""))</f>
        <v/>
      </c>
      <c r="O13" s="36" t="str">
        <f aca="false">IF($A13="","",IF(COUNTIFS(Milestones!$A$5:$A$104,$A13,Milestones!$D$5:$D$104,"&gt;="&amp;O$5,Milestones!$D$5:$D$104,"&lt;="&amp;EOMONTH(O$5,0))&gt;0,"◆",""))</f>
        <v/>
      </c>
      <c r="P13" s="36" t="str">
        <f aca="false">IF($A13="","",IF(COUNTIFS(Milestones!$A$5:$A$104,$A13,Milestones!$D$5:$D$104,"&gt;="&amp;P$5,Milestones!$D$5:$D$104,"&lt;="&amp;EOMONTH(P$5,0))&gt;0,"◆",""))</f>
        <v/>
      </c>
      <c r="Q13" s="36" t="str">
        <f aca="false">IF($A13="","",IF(COUNTIFS(Milestones!$A$5:$A$104,$A13,Milestones!$D$5:$D$104,"&gt;="&amp;Q$5,Milestones!$D$5:$D$104,"&lt;="&amp;EOMONTH(Q$5,0))&gt;0,"◆",""))</f>
        <v/>
      </c>
      <c r="R13" s="36" t="str">
        <f aca="false">IF($A13="","",IF(COUNTIFS(Milestones!$A$5:$A$104,$A13,Milestones!$D$5:$D$104,"&gt;="&amp;R$5,Milestones!$D$5:$D$104,"&lt;="&amp;EOMONTH(R$5,0))&gt;0,"◆",""))</f>
        <v/>
      </c>
    </row>
    <row r="14" customFormat="false" ht="15" hidden="false" customHeight="false" outlineLevel="0" collapsed="false">
      <c r="A14" s="26" t="str">
        <f aca="false">IF(Projects!$A13="","",Projects!$A13)</f>
        <v/>
      </c>
      <c r="B14" s="26" t="str">
        <f aca="false">IF(Projects!$A13="","",Projects!$B13)</f>
        <v/>
      </c>
      <c r="C14" s="26" t="str">
        <f aca="false">IF(Projects!$A13="","",Projects!$E13)</f>
        <v/>
      </c>
      <c r="D14" s="26" t="str">
        <f aca="false">IF(Projects!$A13="","",Projects!$K13)</f>
        <v/>
      </c>
      <c r="E14" s="35" t="str">
        <f aca="false">IF(Projects!$A13="","",Projects!$I13)</f>
        <v/>
      </c>
      <c r="F14" s="35" t="str">
        <f aca="false">IF(Projects!$A13="","",Projects!$J13)</f>
        <v/>
      </c>
      <c r="G14" s="36" t="str">
        <f aca="false">IF($A14="","",IF(COUNTIFS(Milestones!$A$5:$A$104,$A14,Milestones!$D$5:$D$104,"&gt;="&amp;G$5,Milestones!$D$5:$D$104,"&lt;="&amp;EOMONTH(G$5,0))&gt;0,"◆",""))</f>
        <v/>
      </c>
      <c r="H14" s="36" t="str">
        <f aca="false">IF($A14="","",IF(COUNTIFS(Milestones!$A$5:$A$104,$A14,Milestones!$D$5:$D$104,"&gt;="&amp;H$5,Milestones!$D$5:$D$104,"&lt;="&amp;EOMONTH(H$5,0))&gt;0,"◆",""))</f>
        <v/>
      </c>
      <c r="I14" s="36" t="str">
        <f aca="false">IF($A14="","",IF(COUNTIFS(Milestones!$A$5:$A$104,$A14,Milestones!$D$5:$D$104,"&gt;="&amp;I$5,Milestones!$D$5:$D$104,"&lt;="&amp;EOMONTH(I$5,0))&gt;0,"◆",""))</f>
        <v/>
      </c>
      <c r="J14" s="36" t="str">
        <f aca="false">IF($A14="","",IF(COUNTIFS(Milestones!$A$5:$A$104,$A14,Milestones!$D$5:$D$104,"&gt;="&amp;J$5,Milestones!$D$5:$D$104,"&lt;="&amp;EOMONTH(J$5,0))&gt;0,"◆",""))</f>
        <v/>
      </c>
      <c r="K14" s="36" t="str">
        <f aca="false">IF($A14="","",IF(COUNTIFS(Milestones!$A$5:$A$104,$A14,Milestones!$D$5:$D$104,"&gt;="&amp;K$5,Milestones!$D$5:$D$104,"&lt;="&amp;EOMONTH(K$5,0))&gt;0,"◆",""))</f>
        <v/>
      </c>
      <c r="L14" s="36" t="str">
        <f aca="false">IF($A14="","",IF(COUNTIFS(Milestones!$A$5:$A$104,$A14,Milestones!$D$5:$D$104,"&gt;="&amp;L$5,Milestones!$D$5:$D$104,"&lt;="&amp;EOMONTH(L$5,0))&gt;0,"◆",""))</f>
        <v/>
      </c>
      <c r="M14" s="36" t="str">
        <f aca="false">IF($A14="","",IF(COUNTIFS(Milestones!$A$5:$A$104,$A14,Milestones!$D$5:$D$104,"&gt;="&amp;M$5,Milestones!$D$5:$D$104,"&lt;="&amp;EOMONTH(M$5,0))&gt;0,"◆",""))</f>
        <v/>
      </c>
      <c r="N14" s="36" t="str">
        <f aca="false">IF($A14="","",IF(COUNTIFS(Milestones!$A$5:$A$104,$A14,Milestones!$D$5:$D$104,"&gt;="&amp;N$5,Milestones!$D$5:$D$104,"&lt;="&amp;EOMONTH(N$5,0))&gt;0,"◆",""))</f>
        <v/>
      </c>
      <c r="O14" s="36" t="str">
        <f aca="false">IF($A14="","",IF(COUNTIFS(Milestones!$A$5:$A$104,$A14,Milestones!$D$5:$D$104,"&gt;="&amp;O$5,Milestones!$D$5:$D$104,"&lt;="&amp;EOMONTH(O$5,0))&gt;0,"◆",""))</f>
        <v/>
      </c>
      <c r="P14" s="36" t="str">
        <f aca="false">IF($A14="","",IF(COUNTIFS(Milestones!$A$5:$A$104,$A14,Milestones!$D$5:$D$104,"&gt;="&amp;P$5,Milestones!$D$5:$D$104,"&lt;="&amp;EOMONTH(P$5,0))&gt;0,"◆",""))</f>
        <v/>
      </c>
      <c r="Q14" s="36" t="str">
        <f aca="false">IF($A14="","",IF(COUNTIFS(Milestones!$A$5:$A$104,$A14,Milestones!$D$5:$D$104,"&gt;="&amp;Q$5,Milestones!$D$5:$D$104,"&lt;="&amp;EOMONTH(Q$5,0))&gt;0,"◆",""))</f>
        <v/>
      </c>
      <c r="R14" s="36" t="str">
        <f aca="false">IF($A14="","",IF(COUNTIFS(Milestones!$A$5:$A$104,$A14,Milestones!$D$5:$D$104,"&gt;="&amp;R$5,Milestones!$D$5:$D$104,"&lt;="&amp;EOMONTH(R$5,0))&gt;0,"◆",""))</f>
        <v/>
      </c>
    </row>
    <row r="15" customFormat="false" ht="15" hidden="false" customHeight="false" outlineLevel="0" collapsed="false">
      <c r="A15" s="26" t="str">
        <f aca="false">IF(Projects!$A14="","",Projects!$A14)</f>
        <v/>
      </c>
      <c r="B15" s="26" t="str">
        <f aca="false">IF(Projects!$A14="","",Projects!$B14)</f>
        <v/>
      </c>
      <c r="C15" s="26" t="str">
        <f aca="false">IF(Projects!$A14="","",Projects!$E14)</f>
        <v/>
      </c>
      <c r="D15" s="26" t="str">
        <f aca="false">IF(Projects!$A14="","",Projects!$K14)</f>
        <v/>
      </c>
      <c r="E15" s="35" t="str">
        <f aca="false">IF(Projects!$A14="","",Projects!$I14)</f>
        <v/>
      </c>
      <c r="F15" s="35" t="str">
        <f aca="false">IF(Projects!$A14="","",Projects!$J14)</f>
        <v/>
      </c>
      <c r="G15" s="36" t="str">
        <f aca="false">IF($A15="","",IF(COUNTIFS(Milestones!$A$5:$A$104,$A15,Milestones!$D$5:$D$104,"&gt;="&amp;G$5,Milestones!$D$5:$D$104,"&lt;="&amp;EOMONTH(G$5,0))&gt;0,"◆",""))</f>
        <v/>
      </c>
      <c r="H15" s="36" t="str">
        <f aca="false">IF($A15="","",IF(COUNTIFS(Milestones!$A$5:$A$104,$A15,Milestones!$D$5:$D$104,"&gt;="&amp;H$5,Milestones!$D$5:$D$104,"&lt;="&amp;EOMONTH(H$5,0))&gt;0,"◆",""))</f>
        <v/>
      </c>
      <c r="I15" s="36" t="str">
        <f aca="false">IF($A15="","",IF(COUNTIFS(Milestones!$A$5:$A$104,$A15,Milestones!$D$5:$D$104,"&gt;="&amp;I$5,Milestones!$D$5:$D$104,"&lt;="&amp;EOMONTH(I$5,0))&gt;0,"◆",""))</f>
        <v/>
      </c>
      <c r="J15" s="36" t="str">
        <f aca="false">IF($A15="","",IF(COUNTIFS(Milestones!$A$5:$A$104,$A15,Milestones!$D$5:$D$104,"&gt;="&amp;J$5,Milestones!$D$5:$D$104,"&lt;="&amp;EOMONTH(J$5,0))&gt;0,"◆",""))</f>
        <v/>
      </c>
      <c r="K15" s="36" t="str">
        <f aca="false">IF($A15="","",IF(COUNTIFS(Milestones!$A$5:$A$104,$A15,Milestones!$D$5:$D$104,"&gt;="&amp;K$5,Milestones!$D$5:$D$104,"&lt;="&amp;EOMONTH(K$5,0))&gt;0,"◆",""))</f>
        <v/>
      </c>
      <c r="L15" s="36" t="str">
        <f aca="false">IF($A15="","",IF(COUNTIFS(Milestones!$A$5:$A$104,$A15,Milestones!$D$5:$D$104,"&gt;="&amp;L$5,Milestones!$D$5:$D$104,"&lt;="&amp;EOMONTH(L$5,0))&gt;0,"◆",""))</f>
        <v/>
      </c>
      <c r="M15" s="36" t="str">
        <f aca="false">IF($A15="","",IF(COUNTIFS(Milestones!$A$5:$A$104,$A15,Milestones!$D$5:$D$104,"&gt;="&amp;M$5,Milestones!$D$5:$D$104,"&lt;="&amp;EOMONTH(M$5,0))&gt;0,"◆",""))</f>
        <v/>
      </c>
      <c r="N15" s="36" t="str">
        <f aca="false">IF($A15="","",IF(COUNTIFS(Milestones!$A$5:$A$104,$A15,Milestones!$D$5:$D$104,"&gt;="&amp;N$5,Milestones!$D$5:$D$104,"&lt;="&amp;EOMONTH(N$5,0))&gt;0,"◆",""))</f>
        <v/>
      </c>
      <c r="O15" s="36" t="str">
        <f aca="false">IF($A15="","",IF(COUNTIFS(Milestones!$A$5:$A$104,$A15,Milestones!$D$5:$D$104,"&gt;="&amp;O$5,Milestones!$D$5:$D$104,"&lt;="&amp;EOMONTH(O$5,0))&gt;0,"◆",""))</f>
        <v/>
      </c>
      <c r="P15" s="36" t="str">
        <f aca="false">IF($A15="","",IF(COUNTIFS(Milestones!$A$5:$A$104,$A15,Milestones!$D$5:$D$104,"&gt;="&amp;P$5,Milestones!$D$5:$D$104,"&lt;="&amp;EOMONTH(P$5,0))&gt;0,"◆",""))</f>
        <v/>
      </c>
      <c r="Q15" s="36" t="str">
        <f aca="false">IF($A15="","",IF(COUNTIFS(Milestones!$A$5:$A$104,$A15,Milestones!$D$5:$D$104,"&gt;="&amp;Q$5,Milestones!$D$5:$D$104,"&lt;="&amp;EOMONTH(Q$5,0))&gt;0,"◆",""))</f>
        <v/>
      </c>
      <c r="R15" s="36" t="str">
        <f aca="false">IF($A15="","",IF(COUNTIFS(Milestones!$A$5:$A$104,$A15,Milestones!$D$5:$D$104,"&gt;="&amp;R$5,Milestones!$D$5:$D$104,"&lt;="&amp;EOMONTH(R$5,0))&gt;0,"◆",""))</f>
        <v/>
      </c>
    </row>
    <row r="16" customFormat="false" ht="15" hidden="false" customHeight="false" outlineLevel="0" collapsed="false">
      <c r="A16" s="26" t="str">
        <f aca="false">IF(Projects!$A15="","",Projects!$A15)</f>
        <v/>
      </c>
      <c r="B16" s="26" t="str">
        <f aca="false">IF(Projects!$A15="","",Projects!$B15)</f>
        <v/>
      </c>
      <c r="C16" s="26" t="str">
        <f aca="false">IF(Projects!$A15="","",Projects!$E15)</f>
        <v/>
      </c>
      <c r="D16" s="26" t="str">
        <f aca="false">IF(Projects!$A15="","",Projects!$K15)</f>
        <v/>
      </c>
      <c r="E16" s="35" t="str">
        <f aca="false">IF(Projects!$A15="","",Projects!$I15)</f>
        <v/>
      </c>
      <c r="F16" s="35" t="str">
        <f aca="false">IF(Projects!$A15="","",Projects!$J15)</f>
        <v/>
      </c>
      <c r="G16" s="36" t="str">
        <f aca="false">IF($A16="","",IF(COUNTIFS(Milestones!$A$5:$A$104,$A16,Milestones!$D$5:$D$104,"&gt;="&amp;G$5,Milestones!$D$5:$D$104,"&lt;="&amp;EOMONTH(G$5,0))&gt;0,"◆",""))</f>
        <v/>
      </c>
      <c r="H16" s="36" t="str">
        <f aca="false">IF($A16="","",IF(COUNTIFS(Milestones!$A$5:$A$104,$A16,Milestones!$D$5:$D$104,"&gt;="&amp;H$5,Milestones!$D$5:$D$104,"&lt;="&amp;EOMONTH(H$5,0))&gt;0,"◆",""))</f>
        <v/>
      </c>
      <c r="I16" s="36" t="str">
        <f aca="false">IF($A16="","",IF(COUNTIFS(Milestones!$A$5:$A$104,$A16,Milestones!$D$5:$D$104,"&gt;="&amp;I$5,Milestones!$D$5:$D$104,"&lt;="&amp;EOMONTH(I$5,0))&gt;0,"◆",""))</f>
        <v/>
      </c>
      <c r="J16" s="36" t="str">
        <f aca="false">IF($A16="","",IF(COUNTIFS(Milestones!$A$5:$A$104,$A16,Milestones!$D$5:$D$104,"&gt;="&amp;J$5,Milestones!$D$5:$D$104,"&lt;="&amp;EOMONTH(J$5,0))&gt;0,"◆",""))</f>
        <v/>
      </c>
      <c r="K16" s="36" t="str">
        <f aca="false">IF($A16="","",IF(COUNTIFS(Milestones!$A$5:$A$104,$A16,Milestones!$D$5:$D$104,"&gt;="&amp;K$5,Milestones!$D$5:$D$104,"&lt;="&amp;EOMONTH(K$5,0))&gt;0,"◆",""))</f>
        <v/>
      </c>
      <c r="L16" s="36" t="str">
        <f aca="false">IF($A16="","",IF(COUNTIFS(Milestones!$A$5:$A$104,$A16,Milestones!$D$5:$D$104,"&gt;="&amp;L$5,Milestones!$D$5:$D$104,"&lt;="&amp;EOMONTH(L$5,0))&gt;0,"◆",""))</f>
        <v/>
      </c>
      <c r="M16" s="36" t="str">
        <f aca="false">IF($A16="","",IF(COUNTIFS(Milestones!$A$5:$A$104,$A16,Milestones!$D$5:$D$104,"&gt;="&amp;M$5,Milestones!$D$5:$D$104,"&lt;="&amp;EOMONTH(M$5,0))&gt;0,"◆",""))</f>
        <v/>
      </c>
      <c r="N16" s="36" t="str">
        <f aca="false">IF($A16="","",IF(COUNTIFS(Milestones!$A$5:$A$104,$A16,Milestones!$D$5:$D$104,"&gt;="&amp;N$5,Milestones!$D$5:$D$104,"&lt;="&amp;EOMONTH(N$5,0))&gt;0,"◆",""))</f>
        <v/>
      </c>
      <c r="O16" s="36" t="str">
        <f aca="false">IF($A16="","",IF(COUNTIFS(Milestones!$A$5:$A$104,$A16,Milestones!$D$5:$D$104,"&gt;="&amp;O$5,Milestones!$D$5:$D$104,"&lt;="&amp;EOMONTH(O$5,0))&gt;0,"◆",""))</f>
        <v/>
      </c>
      <c r="P16" s="36" t="str">
        <f aca="false">IF($A16="","",IF(COUNTIFS(Milestones!$A$5:$A$104,$A16,Milestones!$D$5:$D$104,"&gt;="&amp;P$5,Milestones!$D$5:$D$104,"&lt;="&amp;EOMONTH(P$5,0))&gt;0,"◆",""))</f>
        <v/>
      </c>
      <c r="Q16" s="36" t="str">
        <f aca="false">IF($A16="","",IF(COUNTIFS(Milestones!$A$5:$A$104,$A16,Milestones!$D$5:$D$104,"&gt;="&amp;Q$5,Milestones!$D$5:$D$104,"&lt;="&amp;EOMONTH(Q$5,0))&gt;0,"◆",""))</f>
        <v/>
      </c>
      <c r="R16" s="36" t="str">
        <f aca="false">IF($A16="","",IF(COUNTIFS(Milestones!$A$5:$A$104,$A16,Milestones!$D$5:$D$104,"&gt;="&amp;R$5,Milestones!$D$5:$D$104,"&lt;="&amp;EOMONTH(R$5,0))&gt;0,"◆",""))</f>
        <v/>
      </c>
    </row>
    <row r="17" customFormat="false" ht="15" hidden="false" customHeight="false" outlineLevel="0" collapsed="false">
      <c r="A17" s="26" t="str">
        <f aca="false">IF(Projects!$A16="","",Projects!$A16)</f>
        <v/>
      </c>
      <c r="B17" s="26" t="str">
        <f aca="false">IF(Projects!$A16="","",Projects!$B16)</f>
        <v/>
      </c>
      <c r="C17" s="26" t="str">
        <f aca="false">IF(Projects!$A16="","",Projects!$E16)</f>
        <v/>
      </c>
      <c r="D17" s="26" t="str">
        <f aca="false">IF(Projects!$A16="","",Projects!$K16)</f>
        <v/>
      </c>
      <c r="E17" s="35" t="str">
        <f aca="false">IF(Projects!$A16="","",Projects!$I16)</f>
        <v/>
      </c>
      <c r="F17" s="35" t="str">
        <f aca="false">IF(Projects!$A16="","",Projects!$J16)</f>
        <v/>
      </c>
      <c r="G17" s="36" t="str">
        <f aca="false">IF($A17="","",IF(COUNTIFS(Milestones!$A$5:$A$104,$A17,Milestones!$D$5:$D$104,"&gt;="&amp;G$5,Milestones!$D$5:$D$104,"&lt;="&amp;EOMONTH(G$5,0))&gt;0,"◆",""))</f>
        <v/>
      </c>
      <c r="H17" s="36" t="str">
        <f aca="false">IF($A17="","",IF(COUNTIFS(Milestones!$A$5:$A$104,$A17,Milestones!$D$5:$D$104,"&gt;="&amp;H$5,Milestones!$D$5:$D$104,"&lt;="&amp;EOMONTH(H$5,0))&gt;0,"◆",""))</f>
        <v/>
      </c>
      <c r="I17" s="36" t="str">
        <f aca="false">IF($A17="","",IF(COUNTIFS(Milestones!$A$5:$A$104,$A17,Milestones!$D$5:$D$104,"&gt;="&amp;I$5,Milestones!$D$5:$D$104,"&lt;="&amp;EOMONTH(I$5,0))&gt;0,"◆",""))</f>
        <v/>
      </c>
      <c r="J17" s="36" t="str">
        <f aca="false">IF($A17="","",IF(COUNTIFS(Milestones!$A$5:$A$104,$A17,Milestones!$D$5:$D$104,"&gt;="&amp;J$5,Milestones!$D$5:$D$104,"&lt;="&amp;EOMONTH(J$5,0))&gt;0,"◆",""))</f>
        <v/>
      </c>
      <c r="K17" s="36" t="str">
        <f aca="false">IF($A17="","",IF(COUNTIFS(Milestones!$A$5:$A$104,$A17,Milestones!$D$5:$D$104,"&gt;="&amp;K$5,Milestones!$D$5:$D$104,"&lt;="&amp;EOMONTH(K$5,0))&gt;0,"◆",""))</f>
        <v/>
      </c>
      <c r="L17" s="36" t="str">
        <f aca="false">IF($A17="","",IF(COUNTIFS(Milestones!$A$5:$A$104,$A17,Milestones!$D$5:$D$104,"&gt;="&amp;L$5,Milestones!$D$5:$D$104,"&lt;="&amp;EOMONTH(L$5,0))&gt;0,"◆",""))</f>
        <v/>
      </c>
      <c r="M17" s="36" t="str">
        <f aca="false">IF($A17="","",IF(COUNTIFS(Milestones!$A$5:$A$104,$A17,Milestones!$D$5:$D$104,"&gt;="&amp;M$5,Milestones!$D$5:$D$104,"&lt;="&amp;EOMONTH(M$5,0))&gt;0,"◆",""))</f>
        <v/>
      </c>
      <c r="N17" s="36" t="str">
        <f aca="false">IF($A17="","",IF(COUNTIFS(Milestones!$A$5:$A$104,$A17,Milestones!$D$5:$D$104,"&gt;="&amp;N$5,Milestones!$D$5:$D$104,"&lt;="&amp;EOMONTH(N$5,0))&gt;0,"◆",""))</f>
        <v/>
      </c>
      <c r="O17" s="36" t="str">
        <f aca="false">IF($A17="","",IF(COUNTIFS(Milestones!$A$5:$A$104,$A17,Milestones!$D$5:$D$104,"&gt;="&amp;O$5,Milestones!$D$5:$D$104,"&lt;="&amp;EOMONTH(O$5,0))&gt;0,"◆",""))</f>
        <v/>
      </c>
      <c r="P17" s="36" t="str">
        <f aca="false">IF($A17="","",IF(COUNTIFS(Milestones!$A$5:$A$104,$A17,Milestones!$D$5:$D$104,"&gt;="&amp;P$5,Milestones!$D$5:$D$104,"&lt;="&amp;EOMONTH(P$5,0))&gt;0,"◆",""))</f>
        <v/>
      </c>
      <c r="Q17" s="36" t="str">
        <f aca="false">IF($A17="","",IF(COUNTIFS(Milestones!$A$5:$A$104,$A17,Milestones!$D$5:$D$104,"&gt;="&amp;Q$5,Milestones!$D$5:$D$104,"&lt;="&amp;EOMONTH(Q$5,0))&gt;0,"◆",""))</f>
        <v/>
      </c>
      <c r="R17" s="36" t="str">
        <f aca="false">IF($A17="","",IF(COUNTIFS(Milestones!$A$5:$A$104,$A17,Milestones!$D$5:$D$104,"&gt;="&amp;R$5,Milestones!$D$5:$D$104,"&lt;="&amp;EOMONTH(R$5,0))&gt;0,"◆",""))</f>
        <v/>
      </c>
    </row>
    <row r="18" customFormat="false" ht="15" hidden="false" customHeight="false" outlineLevel="0" collapsed="false">
      <c r="A18" s="26" t="str">
        <f aca="false">IF(Projects!$A17="","",Projects!$A17)</f>
        <v/>
      </c>
      <c r="B18" s="26" t="str">
        <f aca="false">IF(Projects!$A17="","",Projects!$B17)</f>
        <v/>
      </c>
      <c r="C18" s="26" t="str">
        <f aca="false">IF(Projects!$A17="","",Projects!$E17)</f>
        <v/>
      </c>
      <c r="D18" s="26" t="str">
        <f aca="false">IF(Projects!$A17="","",Projects!$K17)</f>
        <v/>
      </c>
      <c r="E18" s="35" t="str">
        <f aca="false">IF(Projects!$A17="","",Projects!$I17)</f>
        <v/>
      </c>
      <c r="F18" s="35" t="str">
        <f aca="false">IF(Projects!$A17="","",Projects!$J17)</f>
        <v/>
      </c>
      <c r="G18" s="36" t="str">
        <f aca="false">IF($A18="","",IF(COUNTIFS(Milestones!$A$5:$A$104,$A18,Milestones!$D$5:$D$104,"&gt;="&amp;G$5,Milestones!$D$5:$D$104,"&lt;="&amp;EOMONTH(G$5,0))&gt;0,"◆",""))</f>
        <v/>
      </c>
      <c r="H18" s="36" t="str">
        <f aca="false">IF($A18="","",IF(COUNTIFS(Milestones!$A$5:$A$104,$A18,Milestones!$D$5:$D$104,"&gt;="&amp;H$5,Milestones!$D$5:$D$104,"&lt;="&amp;EOMONTH(H$5,0))&gt;0,"◆",""))</f>
        <v/>
      </c>
      <c r="I18" s="36" t="str">
        <f aca="false">IF($A18="","",IF(COUNTIFS(Milestones!$A$5:$A$104,$A18,Milestones!$D$5:$D$104,"&gt;="&amp;I$5,Milestones!$D$5:$D$104,"&lt;="&amp;EOMONTH(I$5,0))&gt;0,"◆",""))</f>
        <v/>
      </c>
      <c r="J18" s="36" t="str">
        <f aca="false">IF($A18="","",IF(COUNTIFS(Milestones!$A$5:$A$104,$A18,Milestones!$D$5:$D$104,"&gt;="&amp;J$5,Milestones!$D$5:$D$104,"&lt;="&amp;EOMONTH(J$5,0))&gt;0,"◆",""))</f>
        <v/>
      </c>
      <c r="K18" s="36" t="str">
        <f aca="false">IF($A18="","",IF(COUNTIFS(Milestones!$A$5:$A$104,$A18,Milestones!$D$5:$D$104,"&gt;="&amp;K$5,Milestones!$D$5:$D$104,"&lt;="&amp;EOMONTH(K$5,0))&gt;0,"◆",""))</f>
        <v/>
      </c>
      <c r="L18" s="36" t="str">
        <f aca="false">IF($A18="","",IF(COUNTIFS(Milestones!$A$5:$A$104,$A18,Milestones!$D$5:$D$104,"&gt;="&amp;L$5,Milestones!$D$5:$D$104,"&lt;="&amp;EOMONTH(L$5,0))&gt;0,"◆",""))</f>
        <v/>
      </c>
      <c r="M18" s="36" t="str">
        <f aca="false">IF($A18="","",IF(COUNTIFS(Milestones!$A$5:$A$104,$A18,Milestones!$D$5:$D$104,"&gt;="&amp;M$5,Milestones!$D$5:$D$104,"&lt;="&amp;EOMONTH(M$5,0))&gt;0,"◆",""))</f>
        <v/>
      </c>
      <c r="N18" s="36" t="str">
        <f aca="false">IF($A18="","",IF(COUNTIFS(Milestones!$A$5:$A$104,$A18,Milestones!$D$5:$D$104,"&gt;="&amp;N$5,Milestones!$D$5:$D$104,"&lt;="&amp;EOMONTH(N$5,0))&gt;0,"◆",""))</f>
        <v/>
      </c>
      <c r="O18" s="36" t="str">
        <f aca="false">IF($A18="","",IF(COUNTIFS(Milestones!$A$5:$A$104,$A18,Milestones!$D$5:$D$104,"&gt;="&amp;O$5,Milestones!$D$5:$D$104,"&lt;="&amp;EOMONTH(O$5,0))&gt;0,"◆",""))</f>
        <v/>
      </c>
      <c r="P18" s="36" t="str">
        <f aca="false">IF($A18="","",IF(COUNTIFS(Milestones!$A$5:$A$104,$A18,Milestones!$D$5:$D$104,"&gt;="&amp;P$5,Milestones!$D$5:$D$104,"&lt;="&amp;EOMONTH(P$5,0))&gt;0,"◆",""))</f>
        <v/>
      </c>
      <c r="Q18" s="36" t="str">
        <f aca="false">IF($A18="","",IF(COUNTIFS(Milestones!$A$5:$A$104,$A18,Milestones!$D$5:$D$104,"&gt;="&amp;Q$5,Milestones!$D$5:$D$104,"&lt;="&amp;EOMONTH(Q$5,0))&gt;0,"◆",""))</f>
        <v/>
      </c>
      <c r="R18" s="36" t="str">
        <f aca="false">IF($A18="","",IF(COUNTIFS(Milestones!$A$5:$A$104,$A18,Milestones!$D$5:$D$104,"&gt;="&amp;R$5,Milestones!$D$5:$D$104,"&lt;="&amp;EOMONTH(R$5,0))&gt;0,"◆",""))</f>
        <v/>
      </c>
    </row>
    <row r="19" customFormat="false" ht="15" hidden="false" customHeight="false" outlineLevel="0" collapsed="false">
      <c r="A19" s="26" t="str">
        <f aca="false">IF(Projects!$A18="","",Projects!$A18)</f>
        <v/>
      </c>
      <c r="B19" s="26" t="str">
        <f aca="false">IF(Projects!$A18="","",Projects!$B18)</f>
        <v/>
      </c>
      <c r="C19" s="26" t="str">
        <f aca="false">IF(Projects!$A18="","",Projects!$E18)</f>
        <v/>
      </c>
      <c r="D19" s="26" t="str">
        <f aca="false">IF(Projects!$A18="","",Projects!$K18)</f>
        <v/>
      </c>
      <c r="E19" s="35" t="str">
        <f aca="false">IF(Projects!$A18="","",Projects!$I18)</f>
        <v/>
      </c>
      <c r="F19" s="35" t="str">
        <f aca="false">IF(Projects!$A18="","",Projects!$J18)</f>
        <v/>
      </c>
      <c r="G19" s="36" t="str">
        <f aca="false">IF($A19="","",IF(COUNTIFS(Milestones!$A$5:$A$104,$A19,Milestones!$D$5:$D$104,"&gt;="&amp;G$5,Milestones!$D$5:$D$104,"&lt;="&amp;EOMONTH(G$5,0))&gt;0,"◆",""))</f>
        <v/>
      </c>
      <c r="H19" s="36" t="str">
        <f aca="false">IF($A19="","",IF(COUNTIFS(Milestones!$A$5:$A$104,$A19,Milestones!$D$5:$D$104,"&gt;="&amp;H$5,Milestones!$D$5:$D$104,"&lt;="&amp;EOMONTH(H$5,0))&gt;0,"◆",""))</f>
        <v/>
      </c>
      <c r="I19" s="36" t="str">
        <f aca="false">IF($A19="","",IF(COUNTIFS(Milestones!$A$5:$A$104,$A19,Milestones!$D$5:$D$104,"&gt;="&amp;I$5,Milestones!$D$5:$D$104,"&lt;="&amp;EOMONTH(I$5,0))&gt;0,"◆",""))</f>
        <v/>
      </c>
      <c r="J19" s="36" t="str">
        <f aca="false">IF($A19="","",IF(COUNTIFS(Milestones!$A$5:$A$104,$A19,Milestones!$D$5:$D$104,"&gt;="&amp;J$5,Milestones!$D$5:$D$104,"&lt;="&amp;EOMONTH(J$5,0))&gt;0,"◆",""))</f>
        <v/>
      </c>
      <c r="K19" s="36" t="str">
        <f aca="false">IF($A19="","",IF(COUNTIFS(Milestones!$A$5:$A$104,$A19,Milestones!$D$5:$D$104,"&gt;="&amp;K$5,Milestones!$D$5:$D$104,"&lt;="&amp;EOMONTH(K$5,0))&gt;0,"◆",""))</f>
        <v/>
      </c>
      <c r="L19" s="36" t="str">
        <f aca="false">IF($A19="","",IF(COUNTIFS(Milestones!$A$5:$A$104,$A19,Milestones!$D$5:$D$104,"&gt;="&amp;L$5,Milestones!$D$5:$D$104,"&lt;="&amp;EOMONTH(L$5,0))&gt;0,"◆",""))</f>
        <v/>
      </c>
      <c r="M19" s="36" t="str">
        <f aca="false">IF($A19="","",IF(COUNTIFS(Milestones!$A$5:$A$104,$A19,Milestones!$D$5:$D$104,"&gt;="&amp;M$5,Milestones!$D$5:$D$104,"&lt;="&amp;EOMONTH(M$5,0))&gt;0,"◆",""))</f>
        <v/>
      </c>
      <c r="N19" s="36" t="str">
        <f aca="false">IF($A19="","",IF(COUNTIFS(Milestones!$A$5:$A$104,$A19,Milestones!$D$5:$D$104,"&gt;="&amp;N$5,Milestones!$D$5:$D$104,"&lt;="&amp;EOMONTH(N$5,0))&gt;0,"◆",""))</f>
        <v/>
      </c>
      <c r="O19" s="36" t="str">
        <f aca="false">IF($A19="","",IF(COUNTIFS(Milestones!$A$5:$A$104,$A19,Milestones!$D$5:$D$104,"&gt;="&amp;O$5,Milestones!$D$5:$D$104,"&lt;="&amp;EOMONTH(O$5,0))&gt;0,"◆",""))</f>
        <v/>
      </c>
      <c r="P19" s="36" t="str">
        <f aca="false">IF($A19="","",IF(COUNTIFS(Milestones!$A$5:$A$104,$A19,Milestones!$D$5:$D$104,"&gt;="&amp;P$5,Milestones!$D$5:$D$104,"&lt;="&amp;EOMONTH(P$5,0))&gt;0,"◆",""))</f>
        <v/>
      </c>
      <c r="Q19" s="36" t="str">
        <f aca="false">IF($A19="","",IF(COUNTIFS(Milestones!$A$5:$A$104,$A19,Milestones!$D$5:$D$104,"&gt;="&amp;Q$5,Milestones!$D$5:$D$104,"&lt;="&amp;EOMONTH(Q$5,0))&gt;0,"◆",""))</f>
        <v/>
      </c>
      <c r="R19" s="36" t="str">
        <f aca="false">IF($A19="","",IF(COUNTIFS(Milestones!$A$5:$A$104,$A19,Milestones!$D$5:$D$104,"&gt;="&amp;R$5,Milestones!$D$5:$D$104,"&lt;="&amp;EOMONTH(R$5,0))&gt;0,"◆",""))</f>
        <v/>
      </c>
    </row>
    <row r="20" customFormat="false" ht="15" hidden="false" customHeight="false" outlineLevel="0" collapsed="false">
      <c r="A20" s="26" t="str">
        <f aca="false">IF(Projects!$A19="","",Projects!$A19)</f>
        <v/>
      </c>
      <c r="B20" s="26" t="str">
        <f aca="false">IF(Projects!$A19="","",Projects!$B19)</f>
        <v/>
      </c>
      <c r="C20" s="26" t="str">
        <f aca="false">IF(Projects!$A19="","",Projects!$E19)</f>
        <v/>
      </c>
      <c r="D20" s="26" t="str">
        <f aca="false">IF(Projects!$A19="","",Projects!$K19)</f>
        <v/>
      </c>
      <c r="E20" s="35" t="str">
        <f aca="false">IF(Projects!$A19="","",Projects!$I19)</f>
        <v/>
      </c>
      <c r="F20" s="35" t="str">
        <f aca="false">IF(Projects!$A19="","",Projects!$J19)</f>
        <v/>
      </c>
      <c r="G20" s="36" t="str">
        <f aca="false">IF($A20="","",IF(COUNTIFS(Milestones!$A$5:$A$104,$A20,Milestones!$D$5:$D$104,"&gt;="&amp;G$5,Milestones!$D$5:$D$104,"&lt;="&amp;EOMONTH(G$5,0))&gt;0,"◆",""))</f>
        <v/>
      </c>
      <c r="H20" s="36" t="str">
        <f aca="false">IF($A20="","",IF(COUNTIFS(Milestones!$A$5:$A$104,$A20,Milestones!$D$5:$D$104,"&gt;="&amp;H$5,Milestones!$D$5:$D$104,"&lt;="&amp;EOMONTH(H$5,0))&gt;0,"◆",""))</f>
        <v/>
      </c>
      <c r="I20" s="36" t="str">
        <f aca="false">IF($A20="","",IF(COUNTIFS(Milestones!$A$5:$A$104,$A20,Milestones!$D$5:$D$104,"&gt;="&amp;I$5,Milestones!$D$5:$D$104,"&lt;="&amp;EOMONTH(I$5,0))&gt;0,"◆",""))</f>
        <v/>
      </c>
      <c r="J20" s="36" t="str">
        <f aca="false">IF($A20="","",IF(COUNTIFS(Milestones!$A$5:$A$104,$A20,Milestones!$D$5:$D$104,"&gt;="&amp;J$5,Milestones!$D$5:$D$104,"&lt;="&amp;EOMONTH(J$5,0))&gt;0,"◆",""))</f>
        <v/>
      </c>
      <c r="K20" s="36" t="str">
        <f aca="false">IF($A20="","",IF(COUNTIFS(Milestones!$A$5:$A$104,$A20,Milestones!$D$5:$D$104,"&gt;="&amp;K$5,Milestones!$D$5:$D$104,"&lt;="&amp;EOMONTH(K$5,0))&gt;0,"◆",""))</f>
        <v/>
      </c>
      <c r="L20" s="36" t="str">
        <f aca="false">IF($A20="","",IF(COUNTIFS(Milestones!$A$5:$A$104,$A20,Milestones!$D$5:$D$104,"&gt;="&amp;L$5,Milestones!$D$5:$D$104,"&lt;="&amp;EOMONTH(L$5,0))&gt;0,"◆",""))</f>
        <v/>
      </c>
      <c r="M20" s="36" t="str">
        <f aca="false">IF($A20="","",IF(COUNTIFS(Milestones!$A$5:$A$104,$A20,Milestones!$D$5:$D$104,"&gt;="&amp;M$5,Milestones!$D$5:$D$104,"&lt;="&amp;EOMONTH(M$5,0))&gt;0,"◆",""))</f>
        <v/>
      </c>
      <c r="N20" s="36" t="str">
        <f aca="false">IF($A20="","",IF(COUNTIFS(Milestones!$A$5:$A$104,$A20,Milestones!$D$5:$D$104,"&gt;="&amp;N$5,Milestones!$D$5:$D$104,"&lt;="&amp;EOMONTH(N$5,0))&gt;0,"◆",""))</f>
        <v/>
      </c>
      <c r="O20" s="36" t="str">
        <f aca="false">IF($A20="","",IF(COUNTIFS(Milestones!$A$5:$A$104,$A20,Milestones!$D$5:$D$104,"&gt;="&amp;O$5,Milestones!$D$5:$D$104,"&lt;="&amp;EOMONTH(O$5,0))&gt;0,"◆",""))</f>
        <v/>
      </c>
      <c r="P20" s="36" t="str">
        <f aca="false">IF($A20="","",IF(COUNTIFS(Milestones!$A$5:$A$104,$A20,Milestones!$D$5:$D$104,"&gt;="&amp;P$5,Milestones!$D$5:$D$104,"&lt;="&amp;EOMONTH(P$5,0))&gt;0,"◆",""))</f>
        <v/>
      </c>
      <c r="Q20" s="36" t="str">
        <f aca="false">IF($A20="","",IF(COUNTIFS(Milestones!$A$5:$A$104,$A20,Milestones!$D$5:$D$104,"&gt;="&amp;Q$5,Milestones!$D$5:$D$104,"&lt;="&amp;EOMONTH(Q$5,0))&gt;0,"◆",""))</f>
        <v/>
      </c>
      <c r="R20" s="36" t="str">
        <f aca="false">IF($A20="","",IF(COUNTIFS(Milestones!$A$5:$A$104,$A20,Milestones!$D$5:$D$104,"&gt;="&amp;R$5,Milestones!$D$5:$D$104,"&lt;="&amp;EOMONTH(R$5,0))&gt;0,"◆",""))</f>
        <v/>
      </c>
    </row>
    <row r="21" customFormat="false" ht="15" hidden="false" customHeight="false" outlineLevel="0" collapsed="false">
      <c r="A21" s="26" t="str">
        <f aca="false">IF(Projects!$A20="","",Projects!$A20)</f>
        <v/>
      </c>
      <c r="B21" s="26" t="str">
        <f aca="false">IF(Projects!$A20="","",Projects!$B20)</f>
        <v/>
      </c>
      <c r="C21" s="26" t="str">
        <f aca="false">IF(Projects!$A20="","",Projects!$E20)</f>
        <v/>
      </c>
      <c r="D21" s="26" t="str">
        <f aca="false">IF(Projects!$A20="","",Projects!$K20)</f>
        <v/>
      </c>
      <c r="E21" s="35" t="str">
        <f aca="false">IF(Projects!$A20="","",Projects!$I20)</f>
        <v/>
      </c>
      <c r="F21" s="35" t="str">
        <f aca="false">IF(Projects!$A20="","",Projects!$J20)</f>
        <v/>
      </c>
      <c r="G21" s="36" t="str">
        <f aca="false">IF($A21="","",IF(COUNTIFS(Milestones!$A$5:$A$104,$A21,Milestones!$D$5:$D$104,"&gt;="&amp;G$5,Milestones!$D$5:$D$104,"&lt;="&amp;EOMONTH(G$5,0))&gt;0,"◆",""))</f>
        <v/>
      </c>
      <c r="H21" s="36" t="str">
        <f aca="false">IF($A21="","",IF(COUNTIFS(Milestones!$A$5:$A$104,$A21,Milestones!$D$5:$D$104,"&gt;="&amp;H$5,Milestones!$D$5:$D$104,"&lt;="&amp;EOMONTH(H$5,0))&gt;0,"◆",""))</f>
        <v/>
      </c>
      <c r="I21" s="36" t="str">
        <f aca="false">IF($A21="","",IF(COUNTIFS(Milestones!$A$5:$A$104,$A21,Milestones!$D$5:$D$104,"&gt;="&amp;I$5,Milestones!$D$5:$D$104,"&lt;="&amp;EOMONTH(I$5,0))&gt;0,"◆",""))</f>
        <v/>
      </c>
      <c r="J21" s="36" t="str">
        <f aca="false">IF($A21="","",IF(COUNTIFS(Milestones!$A$5:$A$104,$A21,Milestones!$D$5:$D$104,"&gt;="&amp;J$5,Milestones!$D$5:$D$104,"&lt;="&amp;EOMONTH(J$5,0))&gt;0,"◆",""))</f>
        <v/>
      </c>
      <c r="K21" s="36" t="str">
        <f aca="false">IF($A21="","",IF(COUNTIFS(Milestones!$A$5:$A$104,$A21,Milestones!$D$5:$D$104,"&gt;="&amp;K$5,Milestones!$D$5:$D$104,"&lt;="&amp;EOMONTH(K$5,0))&gt;0,"◆",""))</f>
        <v/>
      </c>
      <c r="L21" s="36" t="str">
        <f aca="false">IF($A21="","",IF(COUNTIFS(Milestones!$A$5:$A$104,$A21,Milestones!$D$5:$D$104,"&gt;="&amp;L$5,Milestones!$D$5:$D$104,"&lt;="&amp;EOMONTH(L$5,0))&gt;0,"◆",""))</f>
        <v/>
      </c>
      <c r="M21" s="36" t="str">
        <f aca="false">IF($A21="","",IF(COUNTIFS(Milestones!$A$5:$A$104,$A21,Milestones!$D$5:$D$104,"&gt;="&amp;M$5,Milestones!$D$5:$D$104,"&lt;="&amp;EOMONTH(M$5,0))&gt;0,"◆",""))</f>
        <v/>
      </c>
      <c r="N21" s="36" t="str">
        <f aca="false">IF($A21="","",IF(COUNTIFS(Milestones!$A$5:$A$104,$A21,Milestones!$D$5:$D$104,"&gt;="&amp;N$5,Milestones!$D$5:$D$104,"&lt;="&amp;EOMONTH(N$5,0))&gt;0,"◆",""))</f>
        <v/>
      </c>
      <c r="O21" s="36" t="str">
        <f aca="false">IF($A21="","",IF(COUNTIFS(Milestones!$A$5:$A$104,$A21,Milestones!$D$5:$D$104,"&gt;="&amp;O$5,Milestones!$D$5:$D$104,"&lt;="&amp;EOMONTH(O$5,0))&gt;0,"◆",""))</f>
        <v/>
      </c>
      <c r="P21" s="36" t="str">
        <f aca="false">IF($A21="","",IF(COUNTIFS(Milestones!$A$5:$A$104,$A21,Milestones!$D$5:$D$104,"&gt;="&amp;P$5,Milestones!$D$5:$D$104,"&lt;="&amp;EOMONTH(P$5,0))&gt;0,"◆",""))</f>
        <v/>
      </c>
      <c r="Q21" s="36" t="str">
        <f aca="false">IF($A21="","",IF(COUNTIFS(Milestones!$A$5:$A$104,$A21,Milestones!$D$5:$D$104,"&gt;="&amp;Q$5,Milestones!$D$5:$D$104,"&lt;="&amp;EOMONTH(Q$5,0))&gt;0,"◆",""))</f>
        <v/>
      </c>
      <c r="R21" s="36" t="str">
        <f aca="false">IF($A21="","",IF(COUNTIFS(Milestones!$A$5:$A$104,$A21,Milestones!$D$5:$D$104,"&gt;="&amp;R$5,Milestones!$D$5:$D$104,"&lt;="&amp;EOMONTH(R$5,0))&gt;0,"◆",""))</f>
        <v/>
      </c>
    </row>
    <row r="22" customFormat="false" ht="15" hidden="false" customHeight="false" outlineLevel="0" collapsed="false">
      <c r="A22" s="26" t="str">
        <f aca="false">IF(Projects!$A21="","",Projects!$A21)</f>
        <v/>
      </c>
      <c r="B22" s="26" t="str">
        <f aca="false">IF(Projects!$A21="","",Projects!$B21)</f>
        <v/>
      </c>
      <c r="C22" s="26" t="str">
        <f aca="false">IF(Projects!$A21="","",Projects!$E21)</f>
        <v/>
      </c>
      <c r="D22" s="26" t="str">
        <f aca="false">IF(Projects!$A21="","",Projects!$K21)</f>
        <v/>
      </c>
      <c r="E22" s="35" t="str">
        <f aca="false">IF(Projects!$A21="","",Projects!$I21)</f>
        <v/>
      </c>
      <c r="F22" s="35" t="str">
        <f aca="false">IF(Projects!$A21="","",Projects!$J21)</f>
        <v/>
      </c>
      <c r="G22" s="36" t="str">
        <f aca="false">IF($A22="","",IF(COUNTIFS(Milestones!$A$5:$A$104,$A22,Milestones!$D$5:$D$104,"&gt;="&amp;G$5,Milestones!$D$5:$D$104,"&lt;="&amp;EOMONTH(G$5,0))&gt;0,"◆",""))</f>
        <v/>
      </c>
      <c r="H22" s="36" t="str">
        <f aca="false">IF($A22="","",IF(COUNTIFS(Milestones!$A$5:$A$104,$A22,Milestones!$D$5:$D$104,"&gt;="&amp;H$5,Milestones!$D$5:$D$104,"&lt;="&amp;EOMONTH(H$5,0))&gt;0,"◆",""))</f>
        <v/>
      </c>
      <c r="I22" s="36" t="str">
        <f aca="false">IF($A22="","",IF(COUNTIFS(Milestones!$A$5:$A$104,$A22,Milestones!$D$5:$D$104,"&gt;="&amp;I$5,Milestones!$D$5:$D$104,"&lt;="&amp;EOMONTH(I$5,0))&gt;0,"◆",""))</f>
        <v/>
      </c>
      <c r="J22" s="36" t="str">
        <f aca="false">IF($A22="","",IF(COUNTIFS(Milestones!$A$5:$A$104,$A22,Milestones!$D$5:$D$104,"&gt;="&amp;J$5,Milestones!$D$5:$D$104,"&lt;="&amp;EOMONTH(J$5,0))&gt;0,"◆",""))</f>
        <v/>
      </c>
      <c r="K22" s="36" t="str">
        <f aca="false">IF($A22="","",IF(COUNTIFS(Milestones!$A$5:$A$104,$A22,Milestones!$D$5:$D$104,"&gt;="&amp;K$5,Milestones!$D$5:$D$104,"&lt;="&amp;EOMONTH(K$5,0))&gt;0,"◆",""))</f>
        <v/>
      </c>
      <c r="L22" s="36" t="str">
        <f aca="false">IF($A22="","",IF(COUNTIFS(Milestones!$A$5:$A$104,$A22,Milestones!$D$5:$D$104,"&gt;="&amp;L$5,Milestones!$D$5:$D$104,"&lt;="&amp;EOMONTH(L$5,0))&gt;0,"◆",""))</f>
        <v/>
      </c>
      <c r="M22" s="36" t="str">
        <f aca="false">IF($A22="","",IF(COUNTIFS(Milestones!$A$5:$A$104,$A22,Milestones!$D$5:$D$104,"&gt;="&amp;M$5,Milestones!$D$5:$D$104,"&lt;="&amp;EOMONTH(M$5,0))&gt;0,"◆",""))</f>
        <v/>
      </c>
      <c r="N22" s="36" t="str">
        <f aca="false">IF($A22="","",IF(COUNTIFS(Milestones!$A$5:$A$104,$A22,Milestones!$D$5:$D$104,"&gt;="&amp;N$5,Milestones!$D$5:$D$104,"&lt;="&amp;EOMONTH(N$5,0))&gt;0,"◆",""))</f>
        <v/>
      </c>
      <c r="O22" s="36" t="str">
        <f aca="false">IF($A22="","",IF(COUNTIFS(Milestones!$A$5:$A$104,$A22,Milestones!$D$5:$D$104,"&gt;="&amp;O$5,Milestones!$D$5:$D$104,"&lt;="&amp;EOMONTH(O$5,0))&gt;0,"◆",""))</f>
        <v/>
      </c>
      <c r="P22" s="36" t="str">
        <f aca="false">IF($A22="","",IF(COUNTIFS(Milestones!$A$5:$A$104,$A22,Milestones!$D$5:$D$104,"&gt;="&amp;P$5,Milestones!$D$5:$D$104,"&lt;="&amp;EOMONTH(P$5,0))&gt;0,"◆",""))</f>
        <v/>
      </c>
      <c r="Q22" s="36" t="str">
        <f aca="false">IF($A22="","",IF(COUNTIFS(Milestones!$A$5:$A$104,$A22,Milestones!$D$5:$D$104,"&gt;="&amp;Q$5,Milestones!$D$5:$D$104,"&lt;="&amp;EOMONTH(Q$5,0))&gt;0,"◆",""))</f>
        <v/>
      </c>
      <c r="R22" s="36" t="str">
        <f aca="false">IF($A22="","",IF(COUNTIFS(Milestones!$A$5:$A$104,$A22,Milestones!$D$5:$D$104,"&gt;="&amp;R$5,Milestones!$D$5:$D$104,"&lt;="&amp;EOMONTH(R$5,0))&gt;0,"◆",""))</f>
        <v/>
      </c>
    </row>
    <row r="23" customFormat="false" ht="15" hidden="false" customHeight="false" outlineLevel="0" collapsed="false">
      <c r="A23" s="26" t="str">
        <f aca="false">IF(Projects!$A22="","",Projects!$A22)</f>
        <v/>
      </c>
      <c r="B23" s="26" t="str">
        <f aca="false">IF(Projects!$A22="","",Projects!$B22)</f>
        <v/>
      </c>
      <c r="C23" s="26" t="str">
        <f aca="false">IF(Projects!$A22="","",Projects!$E22)</f>
        <v/>
      </c>
      <c r="D23" s="26" t="str">
        <f aca="false">IF(Projects!$A22="","",Projects!$K22)</f>
        <v/>
      </c>
      <c r="E23" s="35" t="str">
        <f aca="false">IF(Projects!$A22="","",Projects!$I22)</f>
        <v/>
      </c>
      <c r="F23" s="35" t="str">
        <f aca="false">IF(Projects!$A22="","",Projects!$J22)</f>
        <v/>
      </c>
      <c r="G23" s="36" t="str">
        <f aca="false">IF($A23="","",IF(COUNTIFS(Milestones!$A$5:$A$104,$A23,Milestones!$D$5:$D$104,"&gt;="&amp;G$5,Milestones!$D$5:$D$104,"&lt;="&amp;EOMONTH(G$5,0))&gt;0,"◆",""))</f>
        <v/>
      </c>
      <c r="H23" s="36" t="str">
        <f aca="false">IF($A23="","",IF(COUNTIFS(Milestones!$A$5:$A$104,$A23,Milestones!$D$5:$D$104,"&gt;="&amp;H$5,Milestones!$D$5:$D$104,"&lt;="&amp;EOMONTH(H$5,0))&gt;0,"◆",""))</f>
        <v/>
      </c>
      <c r="I23" s="36" t="str">
        <f aca="false">IF($A23="","",IF(COUNTIFS(Milestones!$A$5:$A$104,$A23,Milestones!$D$5:$D$104,"&gt;="&amp;I$5,Milestones!$D$5:$D$104,"&lt;="&amp;EOMONTH(I$5,0))&gt;0,"◆",""))</f>
        <v/>
      </c>
      <c r="J23" s="36" t="str">
        <f aca="false">IF($A23="","",IF(COUNTIFS(Milestones!$A$5:$A$104,$A23,Milestones!$D$5:$D$104,"&gt;="&amp;J$5,Milestones!$D$5:$D$104,"&lt;="&amp;EOMONTH(J$5,0))&gt;0,"◆",""))</f>
        <v/>
      </c>
      <c r="K23" s="36" t="str">
        <f aca="false">IF($A23="","",IF(COUNTIFS(Milestones!$A$5:$A$104,$A23,Milestones!$D$5:$D$104,"&gt;="&amp;K$5,Milestones!$D$5:$D$104,"&lt;="&amp;EOMONTH(K$5,0))&gt;0,"◆",""))</f>
        <v/>
      </c>
      <c r="L23" s="36" t="str">
        <f aca="false">IF($A23="","",IF(COUNTIFS(Milestones!$A$5:$A$104,$A23,Milestones!$D$5:$D$104,"&gt;="&amp;L$5,Milestones!$D$5:$D$104,"&lt;="&amp;EOMONTH(L$5,0))&gt;0,"◆",""))</f>
        <v/>
      </c>
      <c r="M23" s="36" t="str">
        <f aca="false">IF($A23="","",IF(COUNTIFS(Milestones!$A$5:$A$104,$A23,Milestones!$D$5:$D$104,"&gt;="&amp;M$5,Milestones!$D$5:$D$104,"&lt;="&amp;EOMONTH(M$5,0))&gt;0,"◆",""))</f>
        <v/>
      </c>
      <c r="N23" s="36" t="str">
        <f aca="false">IF($A23="","",IF(COUNTIFS(Milestones!$A$5:$A$104,$A23,Milestones!$D$5:$D$104,"&gt;="&amp;N$5,Milestones!$D$5:$D$104,"&lt;="&amp;EOMONTH(N$5,0))&gt;0,"◆",""))</f>
        <v/>
      </c>
      <c r="O23" s="36" t="str">
        <f aca="false">IF($A23="","",IF(COUNTIFS(Milestones!$A$5:$A$104,$A23,Milestones!$D$5:$D$104,"&gt;="&amp;O$5,Milestones!$D$5:$D$104,"&lt;="&amp;EOMONTH(O$5,0))&gt;0,"◆",""))</f>
        <v/>
      </c>
      <c r="P23" s="36" t="str">
        <f aca="false">IF($A23="","",IF(COUNTIFS(Milestones!$A$5:$A$104,$A23,Milestones!$D$5:$D$104,"&gt;="&amp;P$5,Milestones!$D$5:$D$104,"&lt;="&amp;EOMONTH(P$5,0))&gt;0,"◆",""))</f>
        <v/>
      </c>
      <c r="Q23" s="36" t="str">
        <f aca="false">IF($A23="","",IF(COUNTIFS(Milestones!$A$5:$A$104,$A23,Milestones!$D$5:$D$104,"&gt;="&amp;Q$5,Milestones!$D$5:$D$104,"&lt;="&amp;EOMONTH(Q$5,0))&gt;0,"◆",""))</f>
        <v/>
      </c>
      <c r="R23" s="36" t="str">
        <f aca="false">IF($A23="","",IF(COUNTIFS(Milestones!$A$5:$A$104,$A23,Milestones!$D$5:$D$104,"&gt;="&amp;R$5,Milestones!$D$5:$D$104,"&lt;="&amp;EOMONTH(R$5,0))&gt;0,"◆",""))</f>
        <v/>
      </c>
    </row>
    <row r="24" customFormat="false" ht="15" hidden="false" customHeight="false" outlineLevel="0" collapsed="false">
      <c r="A24" s="26" t="str">
        <f aca="false">IF(Projects!$A23="","",Projects!$A23)</f>
        <v/>
      </c>
      <c r="B24" s="26" t="str">
        <f aca="false">IF(Projects!$A23="","",Projects!$B23)</f>
        <v/>
      </c>
      <c r="C24" s="26" t="str">
        <f aca="false">IF(Projects!$A23="","",Projects!$E23)</f>
        <v/>
      </c>
      <c r="D24" s="26" t="str">
        <f aca="false">IF(Projects!$A23="","",Projects!$K23)</f>
        <v/>
      </c>
      <c r="E24" s="35" t="str">
        <f aca="false">IF(Projects!$A23="","",Projects!$I23)</f>
        <v/>
      </c>
      <c r="F24" s="35" t="str">
        <f aca="false">IF(Projects!$A23="","",Projects!$J23)</f>
        <v/>
      </c>
      <c r="G24" s="36" t="str">
        <f aca="false">IF($A24="","",IF(COUNTIFS(Milestones!$A$5:$A$104,$A24,Milestones!$D$5:$D$104,"&gt;="&amp;G$5,Milestones!$D$5:$D$104,"&lt;="&amp;EOMONTH(G$5,0))&gt;0,"◆",""))</f>
        <v/>
      </c>
      <c r="H24" s="36" t="str">
        <f aca="false">IF($A24="","",IF(COUNTIFS(Milestones!$A$5:$A$104,$A24,Milestones!$D$5:$D$104,"&gt;="&amp;H$5,Milestones!$D$5:$D$104,"&lt;="&amp;EOMONTH(H$5,0))&gt;0,"◆",""))</f>
        <v/>
      </c>
      <c r="I24" s="36" t="str">
        <f aca="false">IF($A24="","",IF(COUNTIFS(Milestones!$A$5:$A$104,$A24,Milestones!$D$5:$D$104,"&gt;="&amp;I$5,Milestones!$D$5:$D$104,"&lt;="&amp;EOMONTH(I$5,0))&gt;0,"◆",""))</f>
        <v/>
      </c>
      <c r="J24" s="36" t="str">
        <f aca="false">IF($A24="","",IF(COUNTIFS(Milestones!$A$5:$A$104,$A24,Milestones!$D$5:$D$104,"&gt;="&amp;J$5,Milestones!$D$5:$D$104,"&lt;="&amp;EOMONTH(J$5,0))&gt;0,"◆",""))</f>
        <v/>
      </c>
      <c r="K24" s="36" t="str">
        <f aca="false">IF($A24="","",IF(COUNTIFS(Milestones!$A$5:$A$104,$A24,Milestones!$D$5:$D$104,"&gt;="&amp;K$5,Milestones!$D$5:$D$104,"&lt;="&amp;EOMONTH(K$5,0))&gt;0,"◆",""))</f>
        <v/>
      </c>
      <c r="L24" s="36" t="str">
        <f aca="false">IF($A24="","",IF(COUNTIFS(Milestones!$A$5:$A$104,$A24,Milestones!$D$5:$D$104,"&gt;="&amp;L$5,Milestones!$D$5:$D$104,"&lt;="&amp;EOMONTH(L$5,0))&gt;0,"◆",""))</f>
        <v/>
      </c>
      <c r="M24" s="36" t="str">
        <f aca="false">IF($A24="","",IF(COUNTIFS(Milestones!$A$5:$A$104,$A24,Milestones!$D$5:$D$104,"&gt;="&amp;M$5,Milestones!$D$5:$D$104,"&lt;="&amp;EOMONTH(M$5,0))&gt;0,"◆",""))</f>
        <v/>
      </c>
      <c r="N24" s="36" t="str">
        <f aca="false">IF($A24="","",IF(COUNTIFS(Milestones!$A$5:$A$104,$A24,Milestones!$D$5:$D$104,"&gt;="&amp;N$5,Milestones!$D$5:$D$104,"&lt;="&amp;EOMONTH(N$5,0))&gt;0,"◆",""))</f>
        <v/>
      </c>
      <c r="O24" s="36" t="str">
        <f aca="false">IF($A24="","",IF(COUNTIFS(Milestones!$A$5:$A$104,$A24,Milestones!$D$5:$D$104,"&gt;="&amp;O$5,Milestones!$D$5:$D$104,"&lt;="&amp;EOMONTH(O$5,0))&gt;0,"◆",""))</f>
        <v/>
      </c>
      <c r="P24" s="36" t="str">
        <f aca="false">IF($A24="","",IF(COUNTIFS(Milestones!$A$5:$A$104,$A24,Milestones!$D$5:$D$104,"&gt;="&amp;P$5,Milestones!$D$5:$D$104,"&lt;="&amp;EOMONTH(P$5,0))&gt;0,"◆",""))</f>
        <v/>
      </c>
      <c r="Q24" s="36" t="str">
        <f aca="false">IF($A24="","",IF(COUNTIFS(Milestones!$A$5:$A$104,$A24,Milestones!$D$5:$D$104,"&gt;="&amp;Q$5,Milestones!$D$5:$D$104,"&lt;="&amp;EOMONTH(Q$5,0))&gt;0,"◆",""))</f>
        <v/>
      </c>
      <c r="R24" s="36" t="str">
        <f aca="false">IF($A24="","",IF(COUNTIFS(Milestones!$A$5:$A$104,$A24,Milestones!$D$5:$D$104,"&gt;="&amp;R$5,Milestones!$D$5:$D$104,"&lt;="&amp;EOMONTH(R$5,0))&gt;0,"◆",""))</f>
        <v/>
      </c>
    </row>
    <row r="25" customFormat="false" ht="15" hidden="false" customHeight="false" outlineLevel="0" collapsed="false">
      <c r="A25" s="26" t="str">
        <f aca="false">IF(Projects!$A24="","",Projects!$A24)</f>
        <v/>
      </c>
      <c r="B25" s="26" t="str">
        <f aca="false">IF(Projects!$A24="","",Projects!$B24)</f>
        <v/>
      </c>
      <c r="C25" s="26" t="str">
        <f aca="false">IF(Projects!$A24="","",Projects!$E24)</f>
        <v/>
      </c>
      <c r="D25" s="26" t="str">
        <f aca="false">IF(Projects!$A24="","",Projects!$K24)</f>
        <v/>
      </c>
      <c r="E25" s="35" t="str">
        <f aca="false">IF(Projects!$A24="","",Projects!$I24)</f>
        <v/>
      </c>
      <c r="F25" s="35" t="str">
        <f aca="false">IF(Projects!$A24="","",Projects!$J24)</f>
        <v/>
      </c>
      <c r="G25" s="36" t="str">
        <f aca="false">IF($A25="","",IF(COUNTIFS(Milestones!$A$5:$A$104,$A25,Milestones!$D$5:$D$104,"&gt;="&amp;G$5,Milestones!$D$5:$D$104,"&lt;="&amp;EOMONTH(G$5,0))&gt;0,"◆",""))</f>
        <v/>
      </c>
      <c r="H25" s="36" t="str">
        <f aca="false">IF($A25="","",IF(COUNTIFS(Milestones!$A$5:$A$104,$A25,Milestones!$D$5:$D$104,"&gt;="&amp;H$5,Milestones!$D$5:$D$104,"&lt;="&amp;EOMONTH(H$5,0))&gt;0,"◆",""))</f>
        <v/>
      </c>
      <c r="I25" s="36" t="str">
        <f aca="false">IF($A25="","",IF(COUNTIFS(Milestones!$A$5:$A$104,$A25,Milestones!$D$5:$D$104,"&gt;="&amp;I$5,Milestones!$D$5:$D$104,"&lt;="&amp;EOMONTH(I$5,0))&gt;0,"◆",""))</f>
        <v/>
      </c>
      <c r="J25" s="36" t="str">
        <f aca="false">IF($A25="","",IF(COUNTIFS(Milestones!$A$5:$A$104,$A25,Milestones!$D$5:$D$104,"&gt;="&amp;J$5,Milestones!$D$5:$D$104,"&lt;="&amp;EOMONTH(J$5,0))&gt;0,"◆",""))</f>
        <v/>
      </c>
      <c r="K25" s="36" t="str">
        <f aca="false">IF($A25="","",IF(COUNTIFS(Milestones!$A$5:$A$104,$A25,Milestones!$D$5:$D$104,"&gt;="&amp;K$5,Milestones!$D$5:$D$104,"&lt;="&amp;EOMONTH(K$5,0))&gt;0,"◆",""))</f>
        <v/>
      </c>
      <c r="L25" s="36" t="str">
        <f aca="false">IF($A25="","",IF(COUNTIFS(Milestones!$A$5:$A$104,$A25,Milestones!$D$5:$D$104,"&gt;="&amp;L$5,Milestones!$D$5:$D$104,"&lt;="&amp;EOMONTH(L$5,0))&gt;0,"◆",""))</f>
        <v/>
      </c>
      <c r="M25" s="36" t="str">
        <f aca="false">IF($A25="","",IF(COUNTIFS(Milestones!$A$5:$A$104,$A25,Milestones!$D$5:$D$104,"&gt;="&amp;M$5,Milestones!$D$5:$D$104,"&lt;="&amp;EOMONTH(M$5,0))&gt;0,"◆",""))</f>
        <v/>
      </c>
      <c r="N25" s="36" t="str">
        <f aca="false">IF($A25="","",IF(COUNTIFS(Milestones!$A$5:$A$104,$A25,Milestones!$D$5:$D$104,"&gt;="&amp;N$5,Milestones!$D$5:$D$104,"&lt;="&amp;EOMONTH(N$5,0))&gt;0,"◆",""))</f>
        <v/>
      </c>
      <c r="O25" s="36" t="str">
        <f aca="false">IF($A25="","",IF(COUNTIFS(Milestones!$A$5:$A$104,$A25,Milestones!$D$5:$D$104,"&gt;="&amp;O$5,Milestones!$D$5:$D$104,"&lt;="&amp;EOMONTH(O$5,0))&gt;0,"◆",""))</f>
        <v/>
      </c>
      <c r="P25" s="36" t="str">
        <f aca="false">IF($A25="","",IF(COUNTIFS(Milestones!$A$5:$A$104,$A25,Milestones!$D$5:$D$104,"&gt;="&amp;P$5,Milestones!$D$5:$D$104,"&lt;="&amp;EOMONTH(P$5,0))&gt;0,"◆",""))</f>
        <v/>
      </c>
      <c r="Q25" s="36" t="str">
        <f aca="false">IF($A25="","",IF(COUNTIFS(Milestones!$A$5:$A$104,$A25,Milestones!$D$5:$D$104,"&gt;="&amp;Q$5,Milestones!$D$5:$D$104,"&lt;="&amp;EOMONTH(Q$5,0))&gt;0,"◆",""))</f>
        <v/>
      </c>
      <c r="R25" s="36" t="str">
        <f aca="false">IF($A25="","",IF(COUNTIFS(Milestones!$A$5:$A$104,$A25,Milestones!$D$5:$D$104,"&gt;="&amp;R$5,Milestones!$D$5:$D$104,"&lt;="&amp;EOMONTH(R$5,0))&gt;0,"◆",""))</f>
        <v/>
      </c>
    </row>
    <row r="26" customFormat="false" ht="15" hidden="false" customHeight="false" outlineLevel="0" collapsed="false">
      <c r="A26" s="26" t="str">
        <f aca="false">IF(Projects!$A25="","",Projects!$A25)</f>
        <v/>
      </c>
      <c r="B26" s="26" t="str">
        <f aca="false">IF(Projects!$A25="","",Projects!$B25)</f>
        <v/>
      </c>
      <c r="C26" s="26" t="str">
        <f aca="false">IF(Projects!$A25="","",Projects!$E25)</f>
        <v/>
      </c>
      <c r="D26" s="26" t="str">
        <f aca="false">IF(Projects!$A25="","",Projects!$K25)</f>
        <v/>
      </c>
      <c r="E26" s="35" t="str">
        <f aca="false">IF(Projects!$A25="","",Projects!$I25)</f>
        <v/>
      </c>
      <c r="F26" s="35" t="str">
        <f aca="false">IF(Projects!$A25="","",Projects!$J25)</f>
        <v/>
      </c>
      <c r="G26" s="36" t="str">
        <f aca="false">IF($A26="","",IF(COUNTIFS(Milestones!$A$5:$A$104,$A26,Milestones!$D$5:$D$104,"&gt;="&amp;G$5,Milestones!$D$5:$D$104,"&lt;="&amp;EOMONTH(G$5,0))&gt;0,"◆",""))</f>
        <v/>
      </c>
      <c r="H26" s="36" t="str">
        <f aca="false">IF($A26="","",IF(COUNTIFS(Milestones!$A$5:$A$104,$A26,Milestones!$D$5:$D$104,"&gt;="&amp;H$5,Milestones!$D$5:$D$104,"&lt;="&amp;EOMONTH(H$5,0))&gt;0,"◆",""))</f>
        <v/>
      </c>
      <c r="I26" s="36" t="str">
        <f aca="false">IF($A26="","",IF(COUNTIFS(Milestones!$A$5:$A$104,$A26,Milestones!$D$5:$D$104,"&gt;="&amp;I$5,Milestones!$D$5:$D$104,"&lt;="&amp;EOMONTH(I$5,0))&gt;0,"◆",""))</f>
        <v/>
      </c>
      <c r="J26" s="36" t="str">
        <f aca="false">IF($A26="","",IF(COUNTIFS(Milestones!$A$5:$A$104,$A26,Milestones!$D$5:$D$104,"&gt;="&amp;J$5,Milestones!$D$5:$D$104,"&lt;="&amp;EOMONTH(J$5,0))&gt;0,"◆",""))</f>
        <v/>
      </c>
      <c r="K26" s="36" t="str">
        <f aca="false">IF($A26="","",IF(COUNTIFS(Milestones!$A$5:$A$104,$A26,Milestones!$D$5:$D$104,"&gt;="&amp;K$5,Milestones!$D$5:$D$104,"&lt;="&amp;EOMONTH(K$5,0))&gt;0,"◆",""))</f>
        <v/>
      </c>
      <c r="L26" s="36" t="str">
        <f aca="false">IF($A26="","",IF(COUNTIFS(Milestones!$A$5:$A$104,$A26,Milestones!$D$5:$D$104,"&gt;="&amp;L$5,Milestones!$D$5:$D$104,"&lt;="&amp;EOMONTH(L$5,0))&gt;0,"◆",""))</f>
        <v/>
      </c>
      <c r="M26" s="36" t="str">
        <f aca="false">IF($A26="","",IF(COUNTIFS(Milestones!$A$5:$A$104,$A26,Milestones!$D$5:$D$104,"&gt;="&amp;M$5,Milestones!$D$5:$D$104,"&lt;="&amp;EOMONTH(M$5,0))&gt;0,"◆",""))</f>
        <v/>
      </c>
      <c r="N26" s="36" t="str">
        <f aca="false">IF($A26="","",IF(COUNTIFS(Milestones!$A$5:$A$104,$A26,Milestones!$D$5:$D$104,"&gt;="&amp;N$5,Milestones!$D$5:$D$104,"&lt;="&amp;EOMONTH(N$5,0))&gt;0,"◆",""))</f>
        <v/>
      </c>
      <c r="O26" s="36" t="str">
        <f aca="false">IF($A26="","",IF(COUNTIFS(Milestones!$A$5:$A$104,$A26,Milestones!$D$5:$D$104,"&gt;="&amp;O$5,Milestones!$D$5:$D$104,"&lt;="&amp;EOMONTH(O$5,0))&gt;0,"◆",""))</f>
        <v/>
      </c>
      <c r="P26" s="36" t="str">
        <f aca="false">IF($A26="","",IF(COUNTIFS(Milestones!$A$5:$A$104,$A26,Milestones!$D$5:$D$104,"&gt;="&amp;P$5,Milestones!$D$5:$D$104,"&lt;="&amp;EOMONTH(P$5,0))&gt;0,"◆",""))</f>
        <v/>
      </c>
      <c r="Q26" s="36" t="str">
        <f aca="false">IF($A26="","",IF(COUNTIFS(Milestones!$A$5:$A$104,$A26,Milestones!$D$5:$D$104,"&gt;="&amp;Q$5,Milestones!$D$5:$D$104,"&lt;="&amp;EOMONTH(Q$5,0))&gt;0,"◆",""))</f>
        <v/>
      </c>
      <c r="R26" s="36" t="str">
        <f aca="false">IF($A26="","",IF(COUNTIFS(Milestones!$A$5:$A$104,$A26,Milestones!$D$5:$D$104,"&gt;="&amp;R$5,Milestones!$D$5:$D$104,"&lt;="&amp;EOMONTH(R$5,0))&gt;0,"◆",""))</f>
        <v/>
      </c>
    </row>
    <row r="27" customFormat="false" ht="15" hidden="false" customHeight="false" outlineLevel="0" collapsed="false">
      <c r="A27" s="26" t="str">
        <f aca="false">IF(Projects!$A26="","",Projects!$A26)</f>
        <v/>
      </c>
      <c r="B27" s="26" t="str">
        <f aca="false">IF(Projects!$A26="","",Projects!$B26)</f>
        <v/>
      </c>
      <c r="C27" s="26" t="str">
        <f aca="false">IF(Projects!$A26="","",Projects!$E26)</f>
        <v/>
      </c>
      <c r="D27" s="26" t="str">
        <f aca="false">IF(Projects!$A26="","",Projects!$K26)</f>
        <v/>
      </c>
      <c r="E27" s="35" t="str">
        <f aca="false">IF(Projects!$A26="","",Projects!$I26)</f>
        <v/>
      </c>
      <c r="F27" s="35" t="str">
        <f aca="false">IF(Projects!$A26="","",Projects!$J26)</f>
        <v/>
      </c>
      <c r="G27" s="36" t="str">
        <f aca="false">IF($A27="","",IF(COUNTIFS(Milestones!$A$5:$A$104,$A27,Milestones!$D$5:$D$104,"&gt;="&amp;G$5,Milestones!$D$5:$D$104,"&lt;="&amp;EOMONTH(G$5,0))&gt;0,"◆",""))</f>
        <v/>
      </c>
      <c r="H27" s="36" t="str">
        <f aca="false">IF($A27="","",IF(COUNTIFS(Milestones!$A$5:$A$104,$A27,Milestones!$D$5:$D$104,"&gt;="&amp;H$5,Milestones!$D$5:$D$104,"&lt;="&amp;EOMONTH(H$5,0))&gt;0,"◆",""))</f>
        <v/>
      </c>
      <c r="I27" s="36" t="str">
        <f aca="false">IF($A27="","",IF(COUNTIFS(Milestones!$A$5:$A$104,$A27,Milestones!$D$5:$D$104,"&gt;="&amp;I$5,Milestones!$D$5:$D$104,"&lt;="&amp;EOMONTH(I$5,0))&gt;0,"◆",""))</f>
        <v/>
      </c>
      <c r="J27" s="36" t="str">
        <f aca="false">IF($A27="","",IF(COUNTIFS(Milestones!$A$5:$A$104,$A27,Milestones!$D$5:$D$104,"&gt;="&amp;J$5,Milestones!$D$5:$D$104,"&lt;="&amp;EOMONTH(J$5,0))&gt;0,"◆",""))</f>
        <v/>
      </c>
      <c r="K27" s="36" t="str">
        <f aca="false">IF($A27="","",IF(COUNTIFS(Milestones!$A$5:$A$104,$A27,Milestones!$D$5:$D$104,"&gt;="&amp;K$5,Milestones!$D$5:$D$104,"&lt;="&amp;EOMONTH(K$5,0))&gt;0,"◆",""))</f>
        <v/>
      </c>
      <c r="L27" s="36" t="str">
        <f aca="false">IF($A27="","",IF(COUNTIFS(Milestones!$A$5:$A$104,$A27,Milestones!$D$5:$D$104,"&gt;="&amp;L$5,Milestones!$D$5:$D$104,"&lt;="&amp;EOMONTH(L$5,0))&gt;0,"◆",""))</f>
        <v/>
      </c>
      <c r="M27" s="36" t="str">
        <f aca="false">IF($A27="","",IF(COUNTIFS(Milestones!$A$5:$A$104,$A27,Milestones!$D$5:$D$104,"&gt;="&amp;M$5,Milestones!$D$5:$D$104,"&lt;="&amp;EOMONTH(M$5,0))&gt;0,"◆",""))</f>
        <v/>
      </c>
      <c r="N27" s="36" t="str">
        <f aca="false">IF($A27="","",IF(COUNTIFS(Milestones!$A$5:$A$104,$A27,Milestones!$D$5:$D$104,"&gt;="&amp;N$5,Milestones!$D$5:$D$104,"&lt;="&amp;EOMONTH(N$5,0))&gt;0,"◆",""))</f>
        <v/>
      </c>
      <c r="O27" s="36" t="str">
        <f aca="false">IF($A27="","",IF(COUNTIFS(Milestones!$A$5:$A$104,$A27,Milestones!$D$5:$D$104,"&gt;="&amp;O$5,Milestones!$D$5:$D$104,"&lt;="&amp;EOMONTH(O$5,0))&gt;0,"◆",""))</f>
        <v/>
      </c>
      <c r="P27" s="36" t="str">
        <f aca="false">IF($A27="","",IF(COUNTIFS(Milestones!$A$5:$A$104,$A27,Milestones!$D$5:$D$104,"&gt;="&amp;P$5,Milestones!$D$5:$D$104,"&lt;="&amp;EOMONTH(P$5,0))&gt;0,"◆",""))</f>
        <v/>
      </c>
      <c r="Q27" s="36" t="str">
        <f aca="false">IF($A27="","",IF(COUNTIFS(Milestones!$A$5:$A$104,$A27,Milestones!$D$5:$D$104,"&gt;="&amp;Q$5,Milestones!$D$5:$D$104,"&lt;="&amp;EOMONTH(Q$5,0))&gt;0,"◆",""))</f>
        <v/>
      </c>
      <c r="R27" s="36" t="str">
        <f aca="false">IF($A27="","",IF(COUNTIFS(Milestones!$A$5:$A$104,$A27,Milestones!$D$5:$D$104,"&gt;="&amp;R$5,Milestones!$D$5:$D$104,"&lt;="&amp;EOMONTH(R$5,0))&gt;0,"◆",""))</f>
        <v/>
      </c>
    </row>
    <row r="28" customFormat="false" ht="15" hidden="false" customHeight="false" outlineLevel="0" collapsed="false">
      <c r="A28" s="26" t="str">
        <f aca="false">IF(Projects!$A27="","",Projects!$A27)</f>
        <v/>
      </c>
      <c r="B28" s="26" t="str">
        <f aca="false">IF(Projects!$A27="","",Projects!$B27)</f>
        <v/>
      </c>
      <c r="C28" s="26" t="str">
        <f aca="false">IF(Projects!$A27="","",Projects!$E27)</f>
        <v/>
      </c>
      <c r="D28" s="26" t="str">
        <f aca="false">IF(Projects!$A27="","",Projects!$K27)</f>
        <v/>
      </c>
      <c r="E28" s="35" t="str">
        <f aca="false">IF(Projects!$A27="","",Projects!$I27)</f>
        <v/>
      </c>
      <c r="F28" s="35" t="str">
        <f aca="false">IF(Projects!$A27="","",Projects!$J27)</f>
        <v/>
      </c>
      <c r="G28" s="36" t="str">
        <f aca="false">IF($A28="","",IF(COUNTIFS(Milestones!$A$5:$A$104,$A28,Milestones!$D$5:$D$104,"&gt;="&amp;G$5,Milestones!$D$5:$D$104,"&lt;="&amp;EOMONTH(G$5,0))&gt;0,"◆",""))</f>
        <v/>
      </c>
      <c r="H28" s="36" t="str">
        <f aca="false">IF($A28="","",IF(COUNTIFS(Milestones!$A$5:$A$104,$A28,Milestones!$D$5:$D$104,"&gt;="&amp;H$5,Milestones!$D$5:$D$104,"&lt;="&amp;EOMONTH(H$5,0))&gt;0,"◆",""))</f>
        <v/>
      </c>
      <c r="I28" s="36" t="str">
        <f aca="false">IF($A28="","",IF(COUNTIFS(Milestones!$A$5:$A$104,$A28,Milestones!$D$5:$D$104,"&gt;="&amp;I$5,Milestones!$D$5:$D$104,"&lt;="&amp;EOMONTH(I$5,0))&gt;0,"◆",""))</f>
        <v/>
      </c>
      <c r="J28" s="36" t="str">
        <f aca="false">IF($A28="","",IF(COUNTIFS(Milestones!$A$5:$A$104,$A28,Milestones!$D$5:$D$104,"&gt;="&amp;J$5,Milestones!$D$5:$D$104,"&lt;="&amp;EOMONTH(J$5,0))&gt;0,"◆",""))</f>
        <v/>
      </c>
      <c r="K28" s="36" t="str">
        <f aca="false">IF($A28="","",IF(COUNTIFS(Milestones!$A$5:$A$104,$A28,Milestones!$D$5:$D$104,"&gt;="&amp;K$5,Milestones!$D$5:$D$104,"&lt;="&amp;EOMONTH(K$5,0))&gt;0,"◆",""))</f>
        <v/>
      </c>
      <c r="L28" s="36" t="str">
        <f aca="false">IF($A28="","",IF(COUNTIFS(Milestones!$A$5:$A$104,$A28,Milestones!$D$5:$D$104,"&gt;="&amp;L$5,Milestones!$D$5:$D$104,"&lt;="&amp;EOMONTH(L$5,0))&gt;0,"◆",""))</f>
        <v/>
      </c>
      <c r="M28" s="36" t="str">
        <f aca="false">IF($A28="","",IF(COUNTIFS(Milestones!$A$5:$A$104,$A28,Milestones!$D$5:$D$104,"&gt;="&amp;M$5,Milestones!$D$5:$D$104,"&lt;="&amp;EOMONTH(M$5,0))&gt;0,"◆",""))</f>
        <v/>
      </c>
      <c r="N28" s="36" t="str">
        <f aca="false">IF($A28="","",IF(COUNTIFS(Milestones!$A$5:$A$104,$A28,Milestones!$D$5:$D$104,"&gt;="&amp;N$5,Milestones!$D$5:$D$104,"&lt;="&amp;EOMONTH(N$5,0))&gt;0,"◆",""))</f>
        <v/>
      </c>
      <c r="O28" s="36" t="str">
        <f aca="false">IF($A28="","",IF(COUNTIFS(Milestones!$A$5:$A$104,$A28,Milestones!$D$5:$D$104,"&gt;="&amp;O$5,Milestones!$D$5:$D$104,"&lt;="&amp;EOMONTH(O$5,0))&gt;0,"◆",""))</f>
        <v/>
      </c>
      <c r="P28" s="36" t="str">
        <f aca="false">IF($A28="","",IF(COUNTIFS(Milestones!$A$5:$A$104,$A28,Milestones!$D$5:$D$104,"&gt;="&amp;P$5,Milestones!$D$5:$D$104,"&lt;="&amp;EOMONTH(P$5,0))&gt;0,"◆",""))</f>
        <v/>
      </c>
      <c r="Q28" s="36" t="str">
        <f aca="false">IF($A28="","",IF(COUNTIFS(Milestones!$A$5:$A$104,$A28,Milestones!$D$5:$D$104,"&gt;="&amp;Q$5,Milestones!$D$5:$D$104,"&lt;="&amp;EOMONTH(Q$5,0))&gt;0,"◆",""))</f>
        <v/>
      </c>
      <c r="R28" s="36" t="str">
        <f aca="false">IF($A28="","",IF(COUNTIFS(Milestones!$A$5:$A$104,$A28,Milestones!$D$5:$D$104,"&gt;="&amp;R$5,Milestones!$D$5:$D$104,"&lt;="&amp;EOMONTH(R$5,0))&gt;0,"◆",""))</f>
        <v/>
      </c>
    </row>
    <row r="29" customFormat="false" ht="15" hidden="false" customHeight="false" outlineLevel="0" collapsed="false">
      <c r="A29" s="26" t="str">
        <f aca="false">IF(Projects!$A28="","",Projects!$A28)</f>
        <v/>
      </c>
      <c r="B29" s="26" t="str">
        <f aca="false">IF(Projects!$A28="","",Projects!$B28)</f>
        <v/>
      </c>
      <c r="C29" s="26" t="str">
        <f aca="false">IF(Projects!$A28="","",Projects!$E28)</f>
        <v/>
      </c>
      <c r="D29" s="26" t="str">
        <f aca="false">IF(Projects!$A28="","",Projects!$K28)</f>
        <v/>
      </c>
      <c r="E29" s="35" t="str">
        <f aca="false">IF(Projects!$A28="","",Projects!$I28)</f>
        <v/>
      </c>
      <c r="F29" s="35" t="str">
        <f aca="false">IF(Projects!$A28="","",Projects!$J28)</f>
        <v/>
      </c>
      <c r="G29" s="36" t="str">
        <f aca="false">IF($A29="","",IF(COUNTIFS(Milestones!$A$5:$A$104,$A29,Milestones!$D$5:$D$104,"&gt;="&amp;G$5,Milestones!$D$5:$D$104,"&lt;="&amp;EOMONTH(G$5,0))&gt;0,"◆",""))</f>
        <v/>
      </c>
      <c r="H29" s="36" t="str">
        <f aca="false">IF($A29="","",IF(COUNTIFS(Milestones!$A$5:$A$104,$A29,Milestones!$D$5:$D$104,"&gt;="&amp;H$5,Milestones!$D$5:$D$104,"&lt;="&amp;EOMONTH(H$5,0))&gt;0,"◆",""))</f>
        <v/>
      </c>
      <c r="I29" s="36" t="str">
        <f aca="false">IF($A29="","",IF(COUNTIFS(Milestones!$A$5:$A$104,$A29,Milestones!$D$5:$D$104,"&gt;="&amp;I$5,Milestones!$D$5:$D$104,"&lt;="&amp;EOMONTH(I$5,0))&gt;0,"◆",""))</f>
        <v/>
      </c>
      <c r="J29" s="36" t="str">
        <f aca="false">IF($A29="","",IF(COUNTIFS(Milestones!$A$5:$A$104,$A29,Milestones!$D$5:$D$104,"&gt;="&amp;J$5,Milestones!$D$5:$D$104,"&lt;="&amp;EOMONTH(J$5,0))&gt;0,"◆",""))</f>
        <v/>
      </c>
      <c r="K29" s="36" t="str">
        <f aca="false">IF($A29="","",IF(COUNTIFS(Milestones!$A$5:$A$104,$A29,Milestones!$D$5:$D$104,"&gt;="&amp;K$5,Milestones!$D$5:$D$104,"&lt;="&amp;EOMONTH(K$5,0))&gt;0,"◆",""))</f>
        <v/>
      </c>
      <c r="L29" s="36" t="str">
        <f aca="false">IF($A29="","",IF(COUNTIFS(Milestones!$A$5:$A$104,$A29,Milestones!$D$5:$D$104,"&gt;="&amp;L$5,Milestones!$D$5:$D$104,"&lt;="&amp;EOMONTH(L$5,0))&gt;0,"◆",""))</f>
        <v/>
      </c>
      <c r="M29" s="36" t="str">
        <f aca="false">IF($A29="","",IF(COUNTIFS(Milestones!$A$5:$A$104,$A29,Milestones!$D$5:$D$104,"&gt;="&amp;M$5,Milestones!$D$5:$D$104,"&lt;="&amp;EOMONTH(M$5,0))&gt;0,"◆",""))</f>
        <v/>
      </c>
      <c r="N29" s="36" t="str">
        <f aca="false">IF($A29="","",IF(COUNTIFS(Milestones!$A$5:$A$104,$A29,Milestones!$D$5:$D$104,"&gt;="&amp;N$5,Milestones!$D$5:$D$104,"&lt;="&amp;EOMONTH(N$5,0))&gt;0,"◆",""))</f>
        <v/>
      </c>
      <c r="O29" s="36" t="str">
        <f aca="false">IF($A29="","",IF(COUNTIFS(Milestones!$A$5:$A$104,$A29,Milestones!$D$5:$D$104,"&gt;="&amp;O$5,Milestones!$D$5:$D$104,"&lt;="&amp;EOMONTH(O$5,0))&gt;0,"◆",""))</f>
        <v/>
      </c>
      <c r="P29" s="36" t="str">
        <f aca="false">IF($A29="","",IF(COUNTIFS(Milestones!$A$5:$A$104,$A29,Milestones!$D$5:$D$104,"&gt;="&amp;P$5,Milestones!$D$5:$D$104,"&lt;="&amp;EOMONTH(P$5,0))&gt;0,"◆",""))</f>
        <v/>
      </c>
      <c r="Q29" s="36" t="str">
        <f aca="false">IF($A29="","",IF(COUNTIFS(Milestones!$A$5:$A$104,$A29,Milestones!$D$5:$D$104,"&gt;="&amp;Q$5,Milestones!$D$5:$D$104,"&lt;="&amp;EOMONTH(Q$5,0))&gt;0,"◆",""))</f>
        <v/>
      </c>
      <c r="R29" s="36" t="str">
        <f aca="false">IF($A29="","",IF(COUNTIFS(Milestones!$A$5:$A$104,$A29,Milestones!$D$5:$D$104,"&gt;="&amp;R$5,Milestones!$D$5:$D$104,"&lt;="&amp;EOMONTH(R$5,0))&gt;0,"◆",""))</f>
        <v/>
      </c>
    </row>
    <row r="30" customFormat="false" ht="15" hidden="false" customHeight="false" outlineLevel="0" collapsed="false">
      <c r="A30" s="26" t="str">
        <f aca="false">IF(Projects!$A29="","",Projects!$A29)</f>
        <v/>
      </c>
      <c r="B30" s="26" t="str">
        <f aca="false">IF(Projects!$A29="","",Projects!$B29)</f>
        <v/>
      </c>
      <c r="C30" s="26" t="str">
        <f aca="false">IF(Projects!$A29="","",Projects!$E29)</f>
        <v/>
      </c>
      <c r="D30" s="26" t="str">
        <f aca="false">IF(Projects!$A29="","",Projects!$K29)</f>
        <v/>
      </c>
      <c r="E30" s="35" t="str">
        <f aca="false">IF(Projects!$A29="","",Projects!$I29)</f>
        <v/>
      </c>
      <c r="F30" s="35" t="str">
        <f aca="false">IF(Projects!$A29="","",Projects!$J29)</f>
        <v/>
      </c>
      <c r="G30" s="36" t="str">
        <f aca="false">IF($A30="","",IF(COUNTIFS(Milestones!$A$5:$A$104,$A30,Milestones!$D$5:$D$104,"&gt;="&amp;G$5,Milestones!$D$5:$D$104,"&lt;="&amp;EOMONTH(G$5,0))&gt;0,"◆",""))</f>
        <v/>
      </c>
      <c r="H30" s="36" t="str">
        <f aca="false">IF($A30="","",IF(COUNTIFS(Milestones!$A$5:$A$104,$A30,Milestones!$D$5:$D$104,"&gt;="&amp;H$5,Milestones!$D$5:$D$104,"&lt;="&amp;EOMONTH(H$5,0))&gt;0,"◆",""))</f>
        <v/>
      </c>
      <c r="I30" s="36" t="str">
        <f aca="false">IF($A30="","",IF(COUNTIFS(Milestones!$A$5:$A$104,$A30,Milestones!$D$5:$D$104,"&gt;="&amp;I$5,Milestones!$D$5:$D$104,"&lt;="&amp;EOMONTH(I$5,0))&gt;0,"◆",""))</f>
        <v/>
      </c>
      <c r="J30" s="36" t="str">
        <f aca="false">IF($A30="","",IF(COUNTIFS(Milestones!$A$5:$A$104,$A30,Milestones!$D$5:$D$104,"&gt;="&amp;J$5,Milestones!$D$5:$D$104,"&lt;="&amp;EOMONTH(J$5,0))&gt;0,"◆",""))</f>
        <v/>
      </c>
      <c r="K30" s="36" t="str">
        <f aca="false">IF($A30="","",IF(COUNTIFS(Milestones!$A$5:$A$104,$A30,Milestones!$D$5:$D$104,"&gt;="&amp;K$5,Milestones!$D$5:$D$104,"&lt;="&amp;EOMONTH(K$5,0))&gt;0,"◆",""))</f>
        <v/>
      </c>
      <c r="L30" s="36" t="str">
        <f aca="false">IF($A30="","",IF(COUNTIFS(Milestones!$A$5:$A$104,$A30,Milestones!$D$5:$D$104,"&gt;="&amp;L$5,Milestones!$D$5:$D$104,"&lt;="&amp;EOMONTH(L$5,0))&gt;0,"◆",""))</f>
        <v/>
      </c>
      <c r="M30" s="36" t="str">
        <f aca="false">IF($A30="","",IF(COUNTIFS(Milestones!$A$5:$A$104,$A30,Milestones!$D$5:$D$104,"&gt;="&amp;M$5,Milestones!$D$5:$D$104,"&lt;="&amp;EOMONTH(M$5,0))&gt;0,"◆",""))</f>
        <v/>
      </c>
      <c r="N30" s="36" t="str">
        <f aca="false">IF($A30="","",IF(COUNTIFS(Milestones!$A$5:$A$104,$A30,Milestones!$D$5:$D$104,"&gt;="&amp;N$5,Milestones!$D$5:$D$104,"&lt;="&amp;EOMONTH(N$5,0))&gt;0,"◆",""))</f>
        <v/>
      </c>
      <c r="O30" s="36" t="str">
        <f aca="false">IF($A30="","",IF(COUNTIFS(Milestones!$A$5:$A$104,$A30,Milestones!$D$5:$D$104,"&gt;="&amp;O$5,Milestones!$D$5:$D$104,"&lt;="&amp;EOMONTH(O$5,0))&gt;0,"◆",""))</f>
        <v/>
      </c>
      <c r="P30" s="36" t="str">
        <f aca="false">IF($A30="","",IF(COUNTIFS(Milestones!$A$5:$A$104,$A30,Milestones!$D$5:$D$104,"&gt;="&amp;P$5,Milestones!$D$5:$D$104,"&lt;="&amp;EOMONTH(P$5,0))&gt;0,"◆",""))</f>
        <v/>
      </c>
      <c r="Q30" s="36" t="str">
        <f aca="false">IF($A30="","",IF(COUNTIFS(Milestones!$A$5:$A$104,$A30,Milestones!$D$5:$D$104,"&gt;="&amp;Q$5,Milestones!$D$5:$D$104,"&lt;="&amp;EOMONTH(Q$5,0))&gt;0,"◆",""))</f>
        <v/>
      </c>
      <c r="R30" s="36" t="str">
        <f aca="false">IF($A30="","",IF(COUNTIFS(Milestones!$A$5:$A$104,$A30,Milestones!$D$5:$D$104,"&gt;="&amp;R$5,Milestones!$D$5:$D$104,"&lt;="&amp;EOMONTH(R$5,0))&gt;0,"◆",""))</f>
        <v/>
      </c>
    </row>
    <row r="31" customFormat="false" ht="15" hidden="false" customHeight="false" outlineLevel="0" collapsed="false">
      <c r="A31" s="26" t="str">
        <f aca="false">IF(Projects!$A30="","",Projects!$A30)</f>
        <v/>
      </c>
      <c r="B31" s="26" t="str">
        <f aca="false">IF(Projects!$A30="","",Projects!$B30)</f>
        <v/>
      </c>
      <c r="C31" s="26" t="str">
        <f aca="false">IF(Projects!$A30="","",Projects!$E30)</f>
        <v/>
      </c>
      <c r="D31" s="26" t="str">
        <f aca="false">IF(Projects!$A30="","",Projects!$K30)</f>
        <v/>
      </c>
      <c r="E31" s="35" t="str">
        <f aca="false">IF(Projects!$A30="","",Projects!$I30)</f>
        <v/>
      </c>
      <c r="F31" s="35" t="str">
        <f aca="false">IF(Projects!$A30="","",Projects!$J30)</f>
        <v/>
      </c>
      <c r="G31" s="36" t="str">
        <f aca="false">IF($A31="","",IF(COUNTIFS(Milestones!$A$5:$A$104,$A31,Milestones!$D$5:$D$104,"&gt;="&amp;G$5,Milestones!$D$5:$D$104,"&lt;="&amp;EOMONTH(G$5,0))&gt;0,"◆",""))</f>
        <v/>
      </c>
      <c r="H31" s="36" t="str">
        <f aca="false">IF($A31="","",IF(COUNTIFS(Milestones!$A$5:$A$104,$A31,Milestones!$D$5:$D$104,"&gt;="&amp;H$5,Milestones!$D$5:$D$104,"&lt;="&amp;EOMONTH(H$5,0))&gt;0,"◆",""))</f>
        <v/>
      </c>
      <c r="I31" s="36" t="str">
        <f aca="false">IF($A31="","",IF(COUNTIFS(Milestones!$A$5:$A$104,$A31,Milestones!$D$5:$D$104,"&gt;="&amp;I$5,Milestones!$D$5:$D$104,"&lt;="&amp;EOMONTH(I$5,0))&gt;0,"◆",""))</f>
        <v/>
      </c>
      <c r="J31" s="36" t="str">
        <f aca="false">IF($A31="","",IF(COUNTIFS(Milestones!$A$5:$A$104,$A31,Milestones!$D$5:$D$104,"&gt;="&amp;J$5,Milestones!$D$5:$D$104,"&lt;="&amp;EOMONTH(J$5,0))&gt;0,"◆",""))</f>
        <v/>
      </c>
      <c r="K31" s="36" t="str">
        <f aca="false">IF($A31="","",IF(COUNTIFS(Milestones!$A$5:$A$104,$A31,Milestones!$D$5:$D$104,"&gt;="&amp;K$5,Milestones!$D$5:$D$104,"&lt;="&amp;EOMONTH(K$5,0))&gt;0,"◆",""))</f>
        <v/>
      </c>
      <c r="L31" s="36" t="str">
        <f aca="false">IF($A31="","",IF(COUNTIFS(Milestones!$A$5:$A$104,$A31,Milestones!$D$5:$D$104,"&gt;="&amp;L$5,Milestones!$D$5:$D$104,"&lt;="&amp;EOMONTH(L$5,0))&gt;0,"◆",""))</f>
        <v/>
      </c>
      <c r="M31" s="36" t="str">
        <f aca="false">IF($A31="","",IF(COUNTIFS(Milestones!$A$5:$A$104,$A31,Milestones!$D$5:$D$104,"&gt;="&amp;M$5,Milestones!$D$5:$D$104,"&lt;="&amp;EOMONTH(M$5,0))&gt;0,"◆",""))</f>
        <v/>
      </c>
      <c r="N31" s="36" t="str">
        <f aca="false">IF($A31="","",IF(COUNTIFS(Milestones!$A$5:$A$104,$A31,Milestones!$D$5:$D$104,"&gt;="&amp;N$5,Milestones!$D$5:$D$104,"&lt;="&amp;EOMONTH(N$5,0))&gt;0,"◆",""))</f>
        <v/>
      </c>
      <c r="O31" s="36" t="str">
        <f aca="false">IF($A31="","",IF(COUNTIFS(Milestones!$A$5:$A$104,$A31,Milestones!$D$5:$D$104,"&gt;="&amp;O$5,Milestones!$D$5:$D$104,"&lt;="&amp;EOMONTH(O$5,0))&gt;0,"◆",""))</f>
        <v/>
      </c>
      <c r="P31" s="36" t="str">
        <f aca="false">IF($A31="","",IF(COUNTIFS(Milestones!$A$5:$A$104,$A31,Milestones!$D$5:$D$104,"&gt;="&amp;P$5,Milestones!$D$5:$D$104,"&lt;="&amp;EOMONTH(P$5,0))&gt;0,"◆",""))</f>
        <v/>
      </c>
      <c r="Q31" s="36" t="str">
        <f aca="false">IF($A31="","",IF(COUNTIFS(Milestones!$A$5:$A$104,$A31,Milestones!$D$5:$D$104,"&gt;="&amp;Q$5,Milestones!$D$5:$D$104,"&lt;="&amp;EOMONTH(Q$5,0))&gt;0,"◆",""))</f>
        <v/>
      </c>
      <c r="R31" s="36" t="str">
        <f aca="false">IF($A31="","",IF(COUNTIFS(Milestones!$A$5:$A$104,$A31,Milestones!$D$5:$D$104,"&gt;="&amp;R$5,Milestones!$D$5:$D$104,"&lt;="&amp;EOMONTH(R$5,0))&gt;0,"◆",""))</f>
        <v/>
      </c>
    </row>
    <row r="32" customFormat="false" ht="15" hidden="false" customHeight="false" outlineLevel="0" collapsed="false">
      <c r="A32" s="26" t="str">
        <f aca="false">IF(Projects!$A31="","",Projects!$A31)</f>
        <v/>
      </c>
      <c r="B32" s="26" t="str">
        <f aca="false">IF(Projects!$A31="","",Projects!$B31)</f>
        <v/>
      </c>
      <c r="C32" s="26" t="str">
        <f aca="false">IF(Projects!$A31="","",Projects!$E31)</f>
        <v/>
      </c>
      <c r="D32" s="26" t="str">
        <f aca="false">IF(Projects!$A31="","",Projects!$K31)</f>
        <v/>
      </c>
      <c r="E32" s="35" t="str">
        <f aca="false">IF(Projects!$A31="","",Projects!$I31)</f>
        <v/>
      </c>
      <c r="F32" s="35" t="str">
        <f aca="false">IF(Projects!$A31="","",Projects!$J31)</f>
        <v/>
      </c>
      <c r="G32" s="36" t="str">
        <f aca="false">IF($A32="","",IF(COUNTIFS(Milestones!$A$5:$A$104,$A32,Milestones!$D$5:$D$104,"&gt;="&amp;G$5,Milestones!$D$5:$D$104,"&lt;="&amp;EOMONTH(G$5,0))&gt;0,"◆",""))</f>
        <v/>
      </c>
      <c r="H32" s="36" t="str">
        <f aca="false">IF($A32="","",IF(COUNTIFS(Milestones!$A$5:$A$104,$A32,Milestones!$D$5:$D$104,"&gt;="&amp;H$5,Milestones!$D$5:$D$104,"&lt;="&amp;EOMONTH(H$5,0))&gt;0,"◆",""))</f>
        <v/>
      </c>
      <c r="I32" s="36" t="str">
        <f aca="false">IF($A32="","",IF(COUNTIFS(Milestones!$A$5:$A$104,$A32,Milestones!$D$5:$D$104,"&gt;="&amp;I$5,Milestones!$D$5:$D$104,"&lt;="&amp;EOMONTH(I$5,0))&gt;0,"◆",""))</f>
        <v/>
      </c>
      <c r="J32" s="36" t="str">
        <f aca="false">IF($A32="","",IF(COUNTIFS(Milestones!$A$5:$A$104,$A32,Milestones!$D$5:$D$104,"&gt;="&amp;J$5,Milestones!$D$5:$D$104,"&lt;="&amp;EOMONTH(J$5,0))&gt;0,"◆",""))</f>
        <v/>
      </c>
      <c r="K32" s="36" t="str">
        <f aca="false">IF($A32="","",IF(COUNTIFS(Milestones!$A$5:$A$104,$A32,Milestones!$D$5:$D$104,"&gt;="&amp;K$5,Milestones!$D$5:$D$104,"&lt;="&amp;EOMONTH(K$5,0))&gt;0,"◆",""))</f>
        <v/>
      </c>
      <c r="L32" s="36" t="str">
        <f aca="false">IF($A32="","",IF(COUNTIFS(Milestones!$A$5:$A$104,$A32,Milestones!$D$5:$D$104,"&gt;="&amp;L$5,Milestones!$D$5:$D$104,"&lt;="&amp;EOMONTH(L$5,0))&gt;0,"◆",""))</f>
        <v/>
      </c>
      <c r="M32" s="36" t="str">
        <f aca="false">IF($A32="","",IF(COUNTIFS(Milestones!$A$5:$A$104,$A32,Milestones!$D$5:$D$104,"&gt;="&amp;M$5,Milestones!$D$5:$D$104,"&lt;="&amp;EOMONTH(M$5,0))&gt;0,"◆",""))</f>
        <v/>
      </c>
      <c r="N32" s="36" t="str">
        <f aca="false">IF($A32="","",IF(COUNTIFS(Milestones!$A$5:$A$104,$A32,Milestones!$D$5:$D$104,"&gt;="&amp;N$5,Milestones!$D$5:$D$104,"&lt;="&amp;EOMONTH(N$5,0))&gt;0,"◆",""))</f>
        <v/>
      </c>
      <c r="O32" s="36" t="str">
        <f aca="false">IF($A32="","",IF(COUNTIFS(Milestones!$A$5:$A$104,$A32,Milestones!$D$5:$D$104,"&gt;="&amp;O$5,Milestones!$D$5:$D$104,"&lt;="&amp;EOMONTH(O$5,0))&gt;0,"◆",""))</f>
        <v/>
      </c>
      <c r="P32" s="36" t="str">
        <f aca="false">IF($A32="","",IF(COUNTIFS(Milestones!$A$5:$A$104,$A32,Milestones!$D$5:$D$104,"&gt;="&amp;P$5,Milestones!$D$5:$D$104,"&lt;="&amp;EOMONTH(P$5,0))&gt;0,"◆",""))</f>
        <v/>
      </c>
      <c r="Q32" s="36" t="str">
        <f aca="false">IF($A32="","",IF(COUNTIFS(Milestones!$A$5:$A$104,$A32,Milestones!$D$5:$D$104,"&gt;="&amp;Q$5,Milestones!$D$5:$D$104,"&lt;="&amp;EOMONTH(Q$5,0))&gt;0,"◆",""))</f>
        <v/>
      </c>
      <c r="R32" s="36" t="str">
        <f aca="false">IF($A32="","",IF(COUNTIFS(Milestones!$A$5:$A$104,$A32,Milestones!$D$5:$D$104,"&gt;="&amp;R$5,Milestones!$D$5:$D$104,"&lt;="&amp;EOMONTH(R$5,0))&gt;0,"◆",""))</f>
        <v/>
      </c>
    </row>
    <row r="33" customFormat="false" ht="15" hidden="false" customHeight="false" outlineLevel="0" collapsed="false">
      <c r="A33" s="26" t="str">
        <f aca="false">IF(Projects!$A32="","",Projects!$A32)</f>
        <v/>
      </c>
      <c r="B33" s="26" t="str">
        <f aca="false">IF(Projects!$A32="","",Projects!$B32)</f>
        <v/>
      </c>
      <c r="C33" s="26" t="str">
        <f aca="false">IF(Projects!$A32="","",Projects!$E32)</f>
        <v/>
      </c>
      <c r="D33" s="26" t="str">
        <f aca="false">IF(Projects!$A32="","",Projects!$K32)</f>
        <v/>
      </c>
      <c r="E33" s="35" t="str">
        <f aca="false">IF(Projects!$A32="","",Projects!$I32)</f>
        <v/>
      </c>
      <c r="F33" s="35" t="str">
        <f aca="false">IF(Projects!$A32="","",Projects!$J32)</f>
        <v/>
      </c>
      <c r="G33" s="36" t="str">
        <f aca="false">IF($A33="","",IF(COUNTIFS(Milestones!$A$5:$A$104,$A33,Milestones!$D$5:$D$104,"&gt;="&amp;G$5,Milestones!$D$5:$D$104,"&lt;="&amp;EOMONTH(G$5,0))&gt;0,"◆",""))</f>
        <v/>
      </c>
      <c r="H33" s="36" t="str">
        <f aca="false">IF($A33="","",IF(COUNTIFS(Milestones!$A$5:$A$104,$A33,Milestones!$D$5:$D$104,"&gt;="&amp;H$5,Milestones!$D$5:$D$104,"&lt;="&amp;EOMONTH(H$5,0))&gt;0,"◆",""))</f>
        <v/>
      </c>
      <c r="I33" s="36" t="str">
        <f aca="false">IF($A33="","",IF(COUNTIFS(Milestones!$A$5:$A$104,$A33,Milestones!$D$5:$D$104,"&gt;="&amp;I$5,Milestones!$D$5:$D$104,"&lt;="&amp;EOMONTH(I$5,0))&gt;0,"◆",""))</f>
        <v/>
      </c>
      <c r="J33" s="36" t="str">
        <f aca="false">IF($A33="","",IF(COUNTIFS(Milestones!$A$5:$A$104,$A33,Milestones!$D$5:$D$104,"&gt;="&amp;J$5,Milestones!$D$5:$D$104,"&lt;="&amp;EOMONTH(J$5,0))&gt;0,"◆",""))</f>
        <v/>
      </c>
      <c r="K33" s="36" t="str">
        <f aca="false">IF($A33="","",IF(COUNTIFS(Milestones!$A$5:$A$104,$A33,Milestones!$D$5:$D$104,"&gt;="&amp;K$5,Milestones!$D$5:$D$104,"&lt;="&amp;EOMONTH(K$5,0))&gt;0,"◆",""))</f>
        <v/>
      </c>
      <c r="L33" s="36" t="str">
        <f aca="false">IF($A33="","",IF(COUNTIFS(Milestones!$A$5:$A$104,$A33,Milestones!$D$5:$D$104,"&gt;="&amp;L$5,Milestones!$D$5:$D$104,"&lt;="&amp;EOMONTH(L$5,0))&gt;0,"◆",""))</f>
        <v/>
      </c>
      <c r="M33" s="36" t="str">
        <f aca="false">IF($A33="","",IF(COUNTIFS(Milestones!$A$5:$A$104,$A33,Milestones!$D$5:$D$104,"&gt;="&amp;M$5,Milestones!$D$5:$D$104,"&lt;="&amp;EOMONTH(M$5,0))&gt;0,"◆",""))</f>
        <v/>
      </c>
      <c r="N33" s="36" t="str">
        <f aca="false">IF($A33="","",IF(COUNTIFS(Milestones!$A$5:$A$104,$A33,Milestones!$D$5:$D$104,"&gt;="&amp;N$5,Milestones!$D$5:$D$104,"&lt;="&amp;EOMONTH(N$5,0))&gt;0,"◆",""))</f>
        <v/>
      </c>
      <c r="O33" s="36" t="str">
        <f aca="false">IF($A33="","",IF(COUNTIFS(Milestones!$A$5:$A$104,$A33,Milestones!$D$5:$D$104,"&gt;="&amp;O$5,Milestones!$D$5:$D$104,"&lt;="&amp;EOMONTH(O$5,0))&gt;0,"◆",""))</f>
        <v/>
      </c>
      <c r="P33" s="36" t="str">
        <f aca="false">IF($A33="","",IF(COUNTIFS(Milestones!$A$5:$A$104,$A33,Milestones!$D$5:$D$104,"&gt;="&amp;P$5,Milestones!$D$5:$D$104,"&lt;="&amp;EOMONTH(P$5,0))&gt;0,"◆",""))</f>
        <v/>
      </c>
      <c r="Q33" s="36" t="str">
        <f aca="false">IF($A33="","",IF(COUNTIFS(Milestones!$A$5:$A$104,$A33,Milestones!$D$5:$D$104,"&gt;="&amp;Q$5,Milestones!$D$5:$D$104,"&lt;="&amp;EOMONTH(Q$5,0))&gt;0,"◆",""))</f>
        <v/>
      </c>
      <c r="R33" s="36" t="str">
        <f aca="false">IF($A33="","",IF(COUNTIFS(Milestones!$A$5:$A$104,$A33,Milestones!$D$5:$D$104,"&gt;="&amp;R$5,Milestones!$D$5:$D$104,"&lt;="&amp;EOMONTH(R$5,0))&gt;0,"◆",""))</f>
        <v/>
      </c>
    </row>
    <row r="34" customFormat="false" ht="15" hidden="false" customHeight="false" outlineLevel="0" collapsed="false">
      <c r="A34" s="26" t="str">
        <f aca="false">IF(Projects!$A33="","",Projects!$A33)</f>
        <v/>
      </c>
      <c r="B34" s="26" t="str">
        <f aca="false">IF(Projects!$A33="","",Projects!$B33)</f>
        <v/>
      </c>
      <c r="C34" s="26" t="str">
        <f aca="false">IF(Projects!$A33="","",Projects!$E33)</f>
        <v/>
      </c>
      <c r="D34" s="26" t="str">
        <f aca="false">IF(Projects!$A33="","",Projects!$K33)</f>
        <v/>
      </c>
      <c r="E34" s="35" t="str">
        <f aca="false">IF(Projects!$A33="","",Projects!$I33)</f>
        <v/>
      </c>
      <c r="F34" s="35" t="str">
        <f aca="false">IF(Projects!$A33="","",Projects!$J33)</f>
        <v/>
      </c>
      <c r="G34" s="36" t="str">
        <f aca="false">IF($A34="","",IF(COUNTIFS(Milestones!$A$5:$A$104,$A34,Milestones!$D$5:$D$104,"&gt;="&amp;G$5,Milestones!$D$5:$D$104,"&lt;="&amp;EOMONTH(G$5,0))&gt;0,"◆",""))</f>
        <v/>
      </c>
      <c r="H34" s="36" t="str">
        <f aca="false">IF($A34="","",IF(COUNTIFS(Milestones!$A$5:$A$104,$A34,Milestones!$D$5:$D$104,"&gt;="&amp;H$5,Milestones!$D$5:$D$104,"&lt;="&amp;EOMONTH(H$5,0))&gt;0,"◆",""))</f>
        <v/>
      </c>
      <c r="I34" s="36" t="str">
        <f aca="false">IF($A34="","",IF(COUNTIFS(Milestones!$A$5:$A$104,$A34,Milestones!$D$5:$D$104,"&gt;="&amp;I$5,Milestones!$D$5:$D$104,"&lt;="&amp;EOMONTH(I$5,0))&gt;0,"◆",""))</f>
        <v/>
      </c>
      <c r="J34" s="36" t="str">
        <f aca="false">IF($A34="","",IF(COUNTIFS(Milestones!$A$5:$A$104,$A34,Milestones!$D$5:$D$104,"&gt;="&amp;J$5,Milestones!$D$5:$D$104,"&lt;="&amp;EOMONTH(J$5,0))&gt;0,"◆",""))</f>
        <v/>
      </c>
      <c r="K34" s="36" t="str">
        <f aca="false">IF($A34="","",IF(COUNTIFS(Milestones!$A$5:$A$104,$A34,Milestones!$D$5:$D$104,"&gt;="&amp;K$5,Milestones!$D$5:$D$104,"&lt;="&amp;EOMONTH(K$5,0))&gt;0,"◆",""))</f>
        <v/>
      </c>
      <c r="L34" s="36" t="str">
        <f aca="false">IF($A34="","",IF(COUNTIFS(Milestones!$A$5:$A$104,$A34,Milestones!$D$5:$D$104,"&gt;="&amp;L$5,Milestones!$D$5:$D$104,"&lt;="&amp;EOMONTH(L$5,0))&gt;0,"◆",""))</f>
        <v/>
      </c>
      <c r="M34" s="36" t="str">
        <f aca="false">IF($A34="","",IF(COUNTIFS(Milestones!$A$5:$A$104,$A34,Milestones!$D$5:$D$104,"&gt;="&amp;M$5,Milestones!$D$5:$D$104,"&lt;="&amp;EOMONTH(M$5,0))&gt;0,"◆",""))</f>
        <v/>
      </c>
      <c r="N34" s="36" t="str">
        <f aca="false">IF($A34="","",IF(COUNTIFS(Milestones!$A$5:$A$104,$A34,Milestones!$D$5:$D$104,"&gt;="&amp;N$5,Milestones!$D$5:$D$104,"&lt;="&amp;EOMONTH(N$5,0))&gt;0,"◆",""))</f>
        <v/>
      </c>
      <c r="O34" s="36" t="str">
        <f aca="false">IF($A34="","",IF(COUNTIFS(Milestones!$A$5:$A$104,$A34,Milestones!$D$5:$D$104,"&gt;="&amp;O$5,Milestones!$D$5:$D$104,"&lt;="&amp;EOMONTH(O$5,0))&gt;0,"◆",""))</f>
        <v/>
      </c>
      <c r="P34" s="36" t="str">
        <f aca="false">IF($A34="","",IF(COUNTIFS(Milestones!$A$5:$A$104,$A34,Milestones!$D$5:$D$104,"&gt;="&amp;P$5,Milestones!$D$5:$D$104,"&lt;="&amp;EOMONTH(P$5,0))&gt;0,"◆",""))</f>
        <v/>
      </c>
      <c r="Q34" s="36" t="str">
        <f aca="false">IF($A34="","",IF(COUNTIFS(Milestones!$A$5:$A$104,$A34,Milestones!$D$5:$D$104,"&gt;="&amp;Q$5,Milestones!$D$5:$D$104,"&lt;="&amp;EOMONTH(Q$5,0))&gt;0,"◆",""))</f>
        <v/>
      </c>
      <c r="R34" s="36" t="str">
        <f aca="false">IF($A34="","",IF(COUNTIFS(Milestones!$A$5:$A$104,$A34,Milestones!$D$5:$D$104,"&gt;="&amp;R$5,Milestones!$D$5:$D$104,"&lt;="&amp;EOMONTH(R$5,0))&gt;0,"◆",""))</f>
        <v/>
      </c>
    </row>
    <row r="35" customFormat="false" ht="15" hidden="false" customHeight="false" outlineLevel="0" collapsed="false">
      <c r="A35" s="26" t="str">
        <f aca="false">IF(Projects!$A34="","",Projects!$A34)</f>
        <v/>
      </c>
      <c r="B35" s="26" t="str">
        <f aca="false">IF(Projects!$A34="","",Projects!$B34)</f>
        <v/>
      </c>
      <c r="C35" s="26" t="str">
        <f aca="false">IF(Projects!$A34="","",Projects!$E34)</f>
        <v/>
      </c>
      <c r="D35" s="26" t="str">
        <f aca="false">IF(Projects!$A34="","",Projects!$K34)</f>
        <v/>
      </c>
      <c r="E35" s="35" t="str">
        <f aca="false">IF(Projects!$A34="","",Projects!$I34)</f>
        <v/>
      </c>
      <c r="F35" s="35" t="str">
        <f aca="false">IF(Projects!$A34="","",Projects!$J34)</f>
        <v/>
      </c>
      <c r="G35" s="36" t="str">
        <f aca="false">IF($A35="","",IF(COUNTIFS(Milestones!$A$5:$A$104,$A35,Milestones!$D$5:$D$104,"&gt;="&amp;G$5,Milestones!$D$5:$D$104,"&lt;="&amp;EOMONTH(G$5,0))&gt;0,"◆",""))</f>
        <v/>
      </c>
      <c r="H35" s="36" t="str">
        <f aca="false">IF($A35="","",IF(COUNTIFS(Milestones!$A$5:$A$104,$A35,Milestones!$D$5:$D$104,"&gt;="&amp;H$5,Milestones!$D$5:$D$104,"&lt;="&amp;EOMONTH(H$5,0))&gt;0,"◆",""))</f>
        <v/>
      </c>
      <c r="I35" s="36" t="str">
        <f aca="false">IF($A35="","",IF(COUNTIFS(Milestones!$A$5:$A$104,$A35,Milestones!$D$5:$D$104,"&gt;="&amp;I$5,Milestones!$D$5:$D$104,"&lt;="&amp;EOMONTH(I$5,0))&gt;0,"◆",""))</f>
        <v/>
      </c>
      <c r="J35" s="36" t="str">
        <f aca="false">IF($A35="","",IF(COUNTIFS(Milestones!$A$5:$A$104,$A35,Milestones!$D$5:$D$104,"&gt;="&amp;J$5,Milestones!$D$5:$D$104,"&lt;="&amp;EOMONTH(J$5,0))&gt;0,"◆",""))</f>
        <v/>
      </c>
      <c r="K35" s="36" t="str">
        <f aca="false">IF($A35="","",IF(COUNTIFS(Milestones!$A$5:$A$104,$A35,Milestones!$D$5:$D$104,"&gt;="&amp;K$5,Milestones!$D$5:$D$104,"&lt;="&amp;EOMONTH(K$5,0))&gt;0,"◆",""))</f>
        <v/>
      </c>
      <c r="L35" s="36" t="str">
        <f aca="false">IF($A35="","",IF(COUNTIFS(Milestones!$A$5:$A$104,$A35,Milestones!$D$5:$D$104,"&gt;="&amp;L$5,Milestones!$D$5:$D$104,"&lt;="&amp;EOMONTH(L$5,0))&gt;0,"◆",""))</f>
        <v/>
      </c>
      <c r="M35" s="36" t="str">
        <f aca="false">IF($A35="","",IF(COUNTIFS(Milestones!$A$5:$A$104,$A35,Milestones!$D$5:$D$104,"&gt;="&amp;M$5,Milestones!$D$5:$D$104,"&lt;="&amp;EOMONTH(M$5,0))&gt;0,"◆",""))</f>
        <v/>
      </c>
      <c r="N35" s="36" t="str">
        <f aca="false">IF($A35="","",IF(COUNTIFS(Milestones!$A$5:$A$104,$A35,Milestones!$D$5:$D$104,"&gt;="&amp;N$5,Milestones!$D$5:$D$104,"&lt;="&amp;EOMONTH(N$5,0))&gt;0,"◆",""))</f>
        <v/>
      </c>
      <c r="O35" s="36" t="str">
        <f aca="false">IF($A35="","",IF(COUNTIFS(Milestones!$A$5:$A$104,$A35,Milestones!$D$5:$D$104,"&gt;="&amp;O$5,Milestones!$D$5:$D$104,"&lt;="&amp;EOMONTH(O$5,0))&gt;0,"◆",""))</f>
        <v/>
      </c>
      <c r="P35" s="36" t="str">
        <f aca="false">IF($A35="","",IF(COUNTIFS(Milestones!$A$5:$A$104,$A35,Milestones!$D$5:$D$104,"&gt;="&amp;P$5,Milestones!$D$5:$D$104,"&lt;="&amp;EOMONTH(P$5,0))&gt;0,"◆",""))</f>
        <v/>
      </c>
      <c r="Q35" s="36" t="str">
        <f aca="false">IF($A35="","",IF(COUNTIFS(Milestones!$A$5:$A$104,$A35,Milestones!$D$5:$D$104,"&gt;="&amp;Q$5,Milestones!$D$5:$D$104,"&lt;="&amp;EOMONTH(Q$5,0))&gt;0,"◆",""))</f>
        <v/>
      </c>
      <c r="R35" s="36" t="str">
        <f aca="false">IF($A35="","",IF(COUNTIFS(Milestones!$A$5:$A$104,$A35,Milestones!$D$5:$D$104,"&gt;="&amp;R$5,Milestones!$D$5:$D$104,"&lt;="&amp;EOMONTH(R$5,0))&gt;0,"◆",""))</f>
        <v/>
      </c>
    </row>
    <row r="36" customFormat="false" ht="15" hidden="false" customHeight="false" outlineLevel="0" collapsed="false">
      <c r="A36" s="26" t="str">
        <f aca="false">IF(Projects!$A35="","",Projects!$A35)</f>
        <v/>
      </c>
      <c r="B36" s="26" t="str">
        <f aca="false">IF(Projects!$A35="","",Projects!$B35)</f>
        <v/>
      </c>
      <c r="C36" s="26" t="str">
        <f aca="false">IF(Projects!$A35="","",Projects!$E35)</f>
        <v/>
      </c>
      <c r="D36" s="26" t="str">
        <f aca="false">IF(Projects!$A35="","",Projects!$K35)</f>
        <v/>
      </c>
      <c r="E36" s="35" t="str">
        <f aca="false">IF(Projects!$A35="","",Projects!$I35)</f>
        <v/>
      </c>
      <c r="F36" s="35" t="str">
        <f aca="false">IF(Projects!$A35="","",Projects!$J35)</f>
        <v/>
      </c>
      <c r="G36" s="36" t="str">
        <f aca="false">IF($A36="","",IF(COUNTIFS(Milestones!$A$5:$A$104,$A36,Milestones!$D$5:$D$104,"&gt;="&amp;G$5,Milestones!$D$5:$D$104,"&lt;="&amp;EOMONTH(G$5,0))&gt;0,"◆",""))</f>
        <v/>
      </c>
      <c r="H36" s="36" t="str">
        <f aca="false">IF($A36="","",IF(COUNTIFS(Milestones!$A$5:$A$104,$A36,Milestones!$D$5:$D$104,"&gt;="&amp;H$5,Milestones!$D$5:$D$104,"&lt;="&amp;EOMONTH(H$5,0))&gt;0,"◆",""))</f>
        <v/>
      </c>
      <c r="I36" s="36" t="str">
        <f aca="false">IF($A36="","",IF(COUNTIFS(Milestones!$A$5:$A$104,$A36,Milestones!$D$5:$D$104,"&gt;="&amp;I$5,Milestones!$D$5:$D$104,"&lt;="&amp;EOMONTH(I$5,0))&gt;0,"◆",""))</f>
        <v/>
      </c>
      <c r="J36" s="36" t="str">
        <f aca="false">IF($A36="","",IF(COUNTIFS(Milestones!$A$5:$A$104,$A36,Milestones!$D$5:$D$104,"&gt;="&amp;J$5,Milestones!$D$5:$D$104,"&lt;="&amp;EOMONTH(J$5,0))&gt;0,"◆",""))</f>
        <v/>
      </c>
      <c r="K36" s="36" t="str">
        <f aca="false">IF($A36="","",IF(COUNTIFS(Milestones!$A$5:$A$104,$A36,Milestones!$D$5:$D$104,"&gt;="&amp;K$5,Milestones!$D$5:$D$104,"&lt;="&amp;EOMONTH(K$5,0))&gt;0,"◆",""))</f>
        <v/>
      </c>
      <c r="L36" s="36" t="str">
        <f aca="false">IF($A36="","",IF(COUNTIFS(Milestones!$A$5:$A$104,$A36,Milestones!$D$5:$D$104,"&gt;="&amp;L$5,Milestones!$D$5:$D$104,"&lt;="&amp;EOMONTH(L$5,0))&gt;0,"◆",""))</f>
        <v/>
      </c>
      <c r="M36" s="36" t="str">
        <f aca="false">IF($A36="","",IF(COUNTIFS(Milestones!$A$5:$A$104,$A36,Milestones!$D$5:$D$104,"&gt;="&amp;M$5,Milestones!$D$5:$D$104,"&lt;="&amp;EOMONTH(M$5,0))&gt;0,"◆",""))</f>
        <v/>
      </c>
      <c r="N36" s="36" t="str">
        <f aca="false">IF($A36="","",IF(COUNTIFS(Milestones!$A$5:$A$104,$A36,Milestones!$D$5:$D$104,"&gt;="&amp;N$5,Milestones!$D$5:$D$104,"&lt;="&amp;EOMONTH(N$5,0))&gt;0,"◆",""))</f>
        <v/>
      </c>
      <c r="O36" s="36" t="str">
        <f aca="false">IF($A36="","",IF(COUNTIFS(Milestones!$A$5:$A$104,$A36,Milestones!$D$5:$D$104,"&gt;="&amp;O$5,Milestones!$D$5:$D$104,"&lt;="&amp;EOMONTH(O$5,0))&gt;0,"◆",""))</f>
        <v/>
      </c>
      <c r="P36" s="36" t="str">
        <f aca="false">IF($A36="","",IF(COUNTIFS(Milestones!$A$5:$A$104,$A36,Milestones!$D$5:$D$104,"&gt;="&amp;P$5,Milestones!$D$5:$D$104,"&lt;="&amp;EOMONTH(P$5,0))&gt;0,"◆",""))</f>
        <v/>
      </c>
      <c r="Q36" s="36" t="str">
        <f aca="false">IF($A36="","",IF(COUNTIFS(Milestones!$A$5:$A$104,$A36,Milestones!$D$5:$D$104,"&gt;="&amp;Q$5,Milestones!$D$5:$D$104,"&lt;="&amp;EOMONTH(Q$5,0))&gt;0,"◆",""))</f>
        <v/>
      </c>
      <c r="R36" s="36" t="str">
        <f aca="false">IF($A36="","",IF(COUNTIFS(Milestones!$A$5:$A$104,$A36,Milestones!$D$5:$D$104,"&gt;="&amp;R$5,Milestones!$D$5:$D$104,"&lt;="&amp;EOMONTH(R$5,0))&gt;0,"◆",""))</f>
        <v/>
      </c>
    </row>
    <row r="37" customFormat="false" ht="15" hidden="false" customHeight="false" outlineLevel="0" collapsed="false">
      <c r="A37" s="26" t="str">
        <f aca="false">IF(Projects!$A36="","",Projects!$A36)</f>
        <v/>
      </c>
      <c r="B37" s="26" t="str">
        <f aca="false">IF(Projects!$A36="","",Projects!$B36)</f>
        <v/>
      </c>
      <c r="C37" s="26" t="str">
        <f aca="false">IF(Projects!$A36="","",Projects!$E36)</f>
        <v/>
      </c>
      <c r="D37" s="26" t="str">
        <f aca="false">IF(Projects!$A36="","",Projects!$K36)</f>
        <v/>
      </c>
      <c r="E37" s="35" t="str">
        <f aca="false">IF(Projects!$A36="","",Projects!$I36)</f>
        <v/>
      </c>
      <c r="F37" s="35" t="str">
        <f aca="false">IF(Projects!$A36="","",Projects!$J36)</f>
        <v/>
      </c>
      <c r="G37" s="36" t="str">
        <f aca="false">IF($A37="","",IF(COUNTIFS(Milestones!$A$5:$A$104,$A37,Milestones!$D$5:$D$104,"&gt;="&amp;G$5,Milestones!$D$5:$D$104,"&lt;="&amp;EOMONTH(G$5,0))&gt;0,"◆",""))</f>
        <v/>
      </c>
      <c r="H37" s="36" t="str">
        <f aca="false">IF($A37="","",IF(COUNTIFS(Milestones!$A$5:$A$104,$A37,Milestones!$D$5:$D$104,"&gt;="&amp;H$5,Milestones!$D$5:$D$104,"&lt;="&amp;EOMONTH(H$5,0))&gt;0,"◆",""))</f>
        <v/>
      </c>
      <c r="I37" s="36" t="str">
        <f aca="false">IF($A37="","",IF(COUNTIFS(Milestones!$A$5:$A$104,$A37,Milestones!$D$5:$D$104,"&gt;="&amp;I$5,Milestones!$D$5:$D$104,"&lt;="&amp;EOMONTH(I$5,0))&gt;0,"◆",""))</f>
        <v/>
      </c>
      <c r="J37" s="36" t="str">
        <f aca="false">IF($A37="","",IF(COUNTIFS(Milestones!$A$5:$A$104,$A37,Milestones!$D$5:$D$104,"&gt;="&amp;J$5,Milestones!$D$5:$D$104,"&lt;="&amp;EOMONTH(J$5,0))&gt;0,"◆",""))</f>
        <v/>
      </c>
      <c r="K37" s="36" t="str">
        <f aca="false">IF($A37="","",IF(COUNTIFS(Milestones!$A$5:$A$104,$A37,Milestones!$D$5:$D$104,"&gt;="&amp;K$5,Milestones!$D$5:$D$104,"&lt;="&amp;EOMONTH(K$5,0))&gt;0,"◆",""))</f>
        <v/>
      </c>
      <c r="L37" s="36" t="str">
        <f aca="false">IF($A37="","",IF(COUNTIFS(Milestones!$A$5:$A$104,$A37,Milestones!$D$5:$D$104,"&gt;="&amp;L$5,Milestones!$D$5:$D$104,"&lt;="&amp;EOMONTH(L$5,0))&gt;0,"◆",""))</f>
        <v/>
      </c>
      <c r="M37" s="36" t="str">
        <f aca="false">IF($A37="","",IF(COUNTIFS(Milestones!$A$5:$A$104,$A37,Milestones!$D$5:$D$104,"&gt;="&amp;M$5,Milestones!$D$5:$D$104,"&lt;="&amp;EOMONTH(M$5,0))&gt;0,"◆",""))</f>
        <v/>
      </c>
      <c r="N37" s="36" t="str">
        <f aca="false">IF($A37="","",IF(COUNTIFS(Milestones!$A$5:$A$104,$A37,Milestones!$D$5:$D$104,"&gt;="&amp;N$5,Milestones!$D$5:$D$104,"&lt;="&amp;EOMONTH(N$5,0))&gt;0,"◆",""))</f>
        <v/>
      </c>
      <c r="O37" s="36" t="str">
        <f aca="false">IF($A37="","",IF(COUNTIFS(Milestones!$A$5:$A$104,$A37,Milestones!$D$5:$D$104,"&gt;="&amp;O$5,Milestones!$D$5:$D$104,"&lt;="&amp;EOMONTH(O$5,0))&gt;0,"◆",""))</f>
        <v/>
      </c>
      <c r="P37" s="36" t="str">
        <f aca="false">IF($A37="","",IF(COUNTIFS(Milestones!$A$5:$A$104,$A37,Milestones!$D$5:$D$104,"&gt;="&amp;P$5,Milestones!$D$5:$D$104,"&lt;="&amp;EOMONTH(P$5,0))&gt;0,"◆",""))</f>
        <v/>
      </c>
      <c r="Q37" s="36" t="str">
        <f aca="false">IF($A37="","",IF(COUNTIFS(Milestones!$A$5:$A$104,$A37,Milestones!$D$5:$D$104,"&gt;="&amp;Q$5,Milestones!$D$5:$D$104,"&lt;="&amp;EOMONTH(Q$5,0))&gt;0,"◆",""))</f>
        <v/>
      </c>
      <c r="R37" s="36" t="str">
        <f aca="false">IF($A37="","",IF(COUNTIFS(Milestones!$A$5:$A$104,$A37,Milestones!$D$5:$D$104,"&gt;="&amp;R$5,Milestones!$D$5:$D$104,"&lt;="&amp;EOMONTH(R$5,0))&gt;0,"◆",""))</f>
        <v/>
      </c>
    </row>
    <row r="38" customFormat="false" ht="15" hidden="false" customHeight="false" outlineLevel="0" collapsed="false">
      <c r="A38" s="26" t="str">
        <f aca="false">IF(Projects!$A37="","",Projects!$A37)</f>
        <v/>
      </c>
      <c r="B38" s="26" t="str">
        <f aca="false">IF(Projects!$A37="","",Projects!$B37)</f>
        <v/>
      </c>
      <c r="C38" s="26" t="str">
        <f aca="false">IF(Projects!$A37="","",Projects!$E37)</f>
        <v/>
      </c>
      <c r="D38" s="26" t="str">
        <f aca="false">IF(Projects!$A37="","",Projects!$K37)</f>
        <v/>
      </c>
      <c r="E38" s="35" t="str">
        <f aca="false">IF(Projects!$A37="","",Projects!$I37)</f>
        <v/>
      </c>
      <c r="F38" s="35" t="str">
        <f aca="false">IF(Projects!$A37="","",Projects!$J37)</f>
        <v/>
      </c>
      <c r="G38" s="36" t="str">
        <f aca="false">IF($A38="","",IF(COUNTIFS(Milestones!$A$5:$A$104,$A38,Milestones!$D$5:$D$104,"&gt;="&amp;G$5,Milestones!$D$5:$D$104,"&lt;="&amp;EOMONTH(G$5,0))&gt;0,"◆",""))</f>
        <v/>
      </c>
      <c r="H38" s="36" t="str">
        <f aca="false">IF($A38="","",IF(COUNTIFS(Milestones!$A$5:$A$104,$A38,Milestones!$D$5:$D$104,"&gt;="&amp;H$5,Milestones!$D$5:$D$104,"&lt;="&amp;EOMONTH(H$5,0))&gt;0,"◆",""))</f>
        <v/>
      </c>
      <c r="I38" s="36" t="str">
        <f aca="false">IF($A38="","",IF(COUNTIFS(Milestones!$A$5:$A$104,$A38,Milestones!$D$5:$D$104,"&gt;="&amp;I$5,Milestones!$D$5:$D$104,"&lt;="&amp;EOMONTH(I$5,0))&gt;0,"◆",""))</f>
        <v/>
      </c>
      <c r="J38" s="36" t="str">
        <f aca="false">IF($A38="","",IF(COUNTIFS(Milestones!$A$5:$A$104,$A38,Milestones!$D$5:$D$104,"&gt;="&amp;J$5,Milestones!$D$5:$D$104,"&lt;="&amp;EOMONTH(J$5,0))&gt;0,"◆",""))</f>
        <v/>
      </c>
      <c r="K38" s="36" t="str">
        <f aca="false">IF($A38="","",IF(COUNTIFS(Milestones!$A$5:$A$104,$A38,Milestones!$D$5:$D$104,"&gt;="&amp;K$5,Milestones!$D$5:$D$104,"&lt;="&amp;EOMONTH(K$5,0))&gt;0,"◆",""))</f>
        <v/>
      </c>
      <c r="L38" s="36" t="str">
        <f aca="false">IF($A38="","",IF(COUNTIFS(Milestones!$A$5:$A$104,$A38,Milestones!$D$5:$D$104,"&gt;="&amp;L$5,Milestones!$D$5:$D$104,"&lt;="&amp;EOMONTH(L$5,0))&gt;0,"◆",""))</f>
        <v/>
      </c>
      <c r="M38" s="36" t="str">
        <f aca="false">IF($A38="","",IF(COUNTIFS(Milestones!$A$5:$A$104,$A38,Milestones!$D$5:$D$104,"&gt;="&amp;M$5,Milestones!$D$5:$D$104,"&lt;="&amp;EOMONTH(M$5,0))&gt;0,"◆",""))</f>
        <v/>
      </c>
      <c r="N38" s="36" t="str">
        <f aca="false">IF($A38="","",IF(COUNTIFS(Milestones!$A$5:$A$104,$A38,Milestones!$D$5:$D$104,"&gt;="&amp;N$5,Milestones!$D$5:$D$104,"&lt;="&amp;EOMONTH(N$5,0))&gt;0,"◆",""))</f>
        <v/>
      </c>
      <c r="O38" s="36" t="str">
        <f aca="false">IF($A38="","",IF(COUNTIFS(Milestones!$A$5:$A$104,$A38,Milestones!$D$5:$D$104,"&gt;="&amp;O$5,Milestones!$D$5:$D$104,"&lt;="&amp;EOMONTH(O$5,0))&gt;0,"◆",""))</f>
        <v/>
      </c>
      <c r="P38" s="36" t="str">
        <f aca="false">IF($A38="","",IF(COUNTIFS(Milestones!$A$5:$A$104,$A38,Milestones!$D$5:$D$104,"&gt;="&amp;P$5,Milestones!$D$5:$D$104,"&lt;="&amp;EOMONTH(P$5,0))&gt;0,"◆",""))</f>
        <v/>
      </c>
      <c r="Q38" s="36" t="str">
        <f aca="false">IF($A38="","",IF(COUNTIFS(Milestones!$A$5:$A$104,$A38,Milestones!$D$5:$D$104,"&gt;="&amp;Q$5,Milestones!$D$5:$D$104,"&lt;="&amp;EOMONTH(Q$5,0))&gt;0,"◆",""))</f>
        <v/>
      </c>
      <c r="R38" s="36" t="str">
        <f aca="false">IF($A38="","",IF(COUNTIFS(Milestones!$A$5:$A$104,$A38,Milestones!$D$5:$D$104,"&gt;="&amp;R$5,Milestones!$D$5:$D$104,"&lt;="&amp;EOMONTH(R$5,0))&gt;0,"◆",""))</f>
        <v/>
      </c>
    </row>
    <row r="39" customFormat="false" ht="15" hidden="false" customHeight="false" outlineLevel="0" collapsed="false">
      <c r="A39" s="26" t="str">
        <f aca="false">IF(Projects!$A38="","",Projects!$A38)</f>
        <v/>
      </c>
      <c r="B39" s="26" t="str">
        <f aca="false">IF(Projects!$A38="","",Projects!$B38)</f>
        <v/>
      </c>
      <c r="C39" s="26" t="str">
        <f aca="false">IF(Projects!$A38="","",Projects!$E38)</f>
        <v/>
      </c>
      <c r="D39" s="26" t="str">
        <f aca="false">IF(Projects!$A38="","",Projects!$K38)</f>
        <v/>
      </c>
      <c r="E39" s="35" t="str">
        <f aca="false">IF(Projects!$A38="","",Projects!$I38)</f>
        <v/>
      </c>
      <c r="F39" s="35" t="str">
        <f aca="false">IF(Projects!$A38="","",Projects!$J38)</f>
        <v/>
      </c>
      <c r="G39" s="36" t="str">
        <f aca="false">IF($A39="","",IF(COUNTIFS(Milestones!$A$5:$A$104,$A39,Milestones!$D$5:$D$104,"&gt;="&amp;G$5,Milestones!$D$5:$D$104,"&lt;="&amp;EOMONTH(G$5,0))&gt;0,"◆",""))</f>
        <v/>
      </c>
      <c r="H39" s="36" t="str">
        <f aca="false">IF($A39="","",IF(COUNTIFS(Milestones!$A$5:$A$104,$A39,Milestones!$D$5:$D$104,"&gt;="&amp;H$5,Milestones!$D$5:$D$104,"&lt;="&amp;EOMONTH(H$5,0))&gt;0,"◆",""))</f>
        <v/>
      </c>
      <c r="I39" s="36" t="str">
        <f aca="false">IF($A39="","",IF(COUNTIFS(Milestones!$A$5:$A$104,$A39,Milestones!$D$5:$D$104,"&gt;="&amp;I$5,Milestones!$D$5:$D$104,"&lt;="&amp;EOMONTH(I$5,0))&gt;0,"◆",""))</f>
        <v/>
      </c>
      <c r="J39" s="36" t="str">
        <f aca="false">IF($A39="","",IF(COUNTIFS(Milestones!$A$5:$A$104,$A39,Milestones!$D$5:$D$104,"&gt;="&amp;J$5,Milestones!$D$5:$D$104,"&lt;="&amp;EOMONTH(J$5,0))&gt;0,"◆",""))</f>
        <v/>
      </c>
      <c r="K39" s="36" t="str">
        <f aca="false">IF($A39="","",IF(COUNTIFS(Milestones!$A$5:$A$104,$A39,Milestones!$D$5:$D$104,"&gt;="&amp;K$5,Milestones!$D$5:$D$104,"&lt;="&amp;EOMONTH(K$5,0))&gt;0,"◆",""))</f>
        <v/>
      </c>
      <c r="L39" s="36" t="str">
        <f aca="false">IF($A39="","",IF(COUNTIFS(Milestones!$A$5:$A$104,$A39,Milestones!$D$5:$D$104,"&gt;="&amp;L$5,Milestones!$D$5:$D$104,"&lt;="&amp;EOMONTH(L$5,0))&gt;0,"◆",""))</f>
        <v/>
      </c>
      <c r="M39" s="36" t="str">
        <f aca="false">IF($A39="","",IF(COUNTIFS(Milestones!$A$5:$A$104,$A39,Milestones!$D$5:$D$104,"&gt;="&amp;M$5,Milestones!$D$5:$D$104,"&lt;="&amp;EOMONTH(M$5,0))&gt;0,"◆",""))</f>
        <v/>
      </c>
      <c r="N39" s="36" t="str">
        <f aca="false">IF($A39="","",IF(COUNTIFS(Milestones!$A$5:$A$104,$A39,Milestones!$D$5:$D$104,"&gt;="&amp;N$5,Milestones!$D$5:$D$104,"&lt;="&amp;EOMONTH(N$5,0))&gt;0,"◆",""))</f>
        <v/>
      </c>
      <c r="O39" s="36" t="str">
        <f aca="false">IF($A39="","",IF(COUNTIFS(Milestones!$A$5:$A$104,$A39,Milestones!$D$5:$D$104,"&gt;="&amp;O$5,Milestones!$D$5:$D$104,"&lt;="&amp;EOMONTH(O$5,0))&gt;0,"◆",""))</f>
        <v/>
      </c>
      <c r="P39" s="36" t="str">
        <f aca="false">IF($A39="","",IF(COUNTIFS(Milestones!$A$5:$A$104,$A39,Milestones!$D$5:$D$104,"&gt;="&amp;P$5,Milestones!$D$5:$D$104,"&lt;="&amp;EOMONTH(P$5,0))&gt;0,"◆",""))</f>
        <v/>
      </c>
      <c r="Q39" s="36" t="str">
        <f aca="false">IF($A39="","",IF(COUNTIFS(Milestones!$A$5:$A$104,$A39,Milestones!$D$5:$D$104,"&gt;="&amp;Q$5,Milestones!$D$5:$D$104,"&lt;="&amp;EOMONTH(Q$5,0))&gt;0,"◆",""))</f>
        <v/>
      </c>
      <c r="R39" s="36" t="str">
        <f aca="false">IF($A39="","",IF(COUNTIFS(Milestones!$A$5:$A$104,$A39,Milestones!$D$5:$D$104,"&gt;="&amp;R$5,Milestones!$D$5:$D$104,"&lt;="&amp;EOMONTH(R$5,0))&gt;0,"◆",""))</f>
        <v/>
      </c>
    </row>
    <row r="40" customFormat="false" ht="15" hidden="false" customHeight="false" outlineLevel="0" collapsed="false">
      <c r="A40" s="26" t="str">
        <f aca="false">IF(Projects!$A39="","",Projects!$A39)</f>
        <v/>
      </c>
      <c r="B40" s="26" t="str">
        <f aca="false">IF(Projects!$A39="","",Projects!$B39)</f>
        <v/>
      </c>
      <c r="C40" s="26" t="str">
        <f aca="false">IF(Projects!$A39="","",Projects!$E39)</f>
        <v/>
      </c>
      <c r="D40" s="26" t="str">
        <f aca="false">IF(Projects!$A39="","",Projects!$K39)</f>
        <v/>
      </c>
      <c r="E40" s="35" t="str">
        <f aca="false">IF(Projects!$A39="","",Projects!$I39)</f>
        <v/>
      </c>
      <c r="F40" s="35" t="str">
        <f aca="false">IF(Projects!$A39="","",Projects!$J39)</f>
        <v/>
      </c>
      <c r="G40" s="36" t="str">
        <f aca="false">IF($A40="","",IF(COUNTIFS(Milestones!$A$5:$A$104,$A40,Milestones!$D$5:$D$104,"&gt;="&amp;G$5,Milestones!$D$5:$D$104,"&lt;="&amp;EOMONTH(G$5,0))&gt;0,"◆",""))</f>
        <v/>
      </c>
      <c r="H40" s="36" t="str">
        <f aca="false">IF($A40="","",IF(COUNTIFS(Milestones!$A$5:$A$104,$A40,Milestones!$D$5:$D$104,"&gt;="&amp;H$5,Milestones!$D$5:$D$104,"&lt;="&amp;EOMONTH(H$5,0))&gt;0,"◆",""))</f>
        <v/>
      </c>
      <c r="I40" s="36" t="str">
        <f aca="false">IF($A40="","",IF(COUNTIFS(Milestones!$A$5:$A$104,$A40,Milestones!$D$5:$D$104,"&gt;="&amp;I$5,Milestones!$D$5:$D$104,"&lt;="&amp;EOMONTH(I$5,0))&gt;0,"◆",""))</f>
        <v/>
      </c>
      <c r="J40" s="36" t="str">
        <f aca="false">IF($A40="","",IF(COUNTIFS(Milestones!$A$5:$A$104,$A40,Milestones!$D$5:$D$104,"&gt;="&amp;J$5,Milestones!$D$5:$D$104,"&lt;="&amp;EOMONTH(J$5,0))&gt;0,"◆",""))</f>
        <v/>
      </c>
      <c r="K40" s="36" t="str">
        <f aca="false">IF($A40="","",IF(COUNTIFS(Milestones!$A$5:$A$104,$A40,Milestones!$D$5:$D$104,"&gt;="&amp;K$5,Milestones!$D$5:$D$104,"&lt;="&amp;EOMONTH(K$5,0))&gt;0,"◆",""))</f>
        <v/>
      </c>
      <c r="L40" s="36" t="str">
        <f aca="false">IF($A40="","",IF(COUNTIFS(Milestones!$A$5:$A$104,$A40,Milestones!$D$5:$D$104,"&gt;="&amp;L$5,Milestones!$D$5:$D$104,"&lt;="&amp;EOMONTH(L$5,0))&gt;0,"◆",""))</f>
        <v/>
      </c>
      <c r="M40" s="36" t="str">
        <f aca="false">IF($A40="","",IF(COUNTIFS(Milestones!$A$5:$A$104,$A40,Milestones!$D$5:$D$104,"&gt;="&amp;M$5,Milestones!$D$5:$D$104,"&lt;="&amp;EOMONTH(M$5,0))&gt;0,"◆",""))</f>
        <v/>
      </c>
      <c r="N40" s="36" t="str">
        <f aca="false">IF($A40="","",IF(COUNTIFS(Milestones!$A$5:$A$104,$A40,Milestones!$D$5:$D$104,"&gt;="&amp;N$5,Milestones!$D$5:$D$104,"&lt;="&amp;EOMONTH(N$5,0))&gt;0,"◆",""))</f>
        <v/>
      </c>
      <c r="O40" s="36" t="str">
        <f aca="false">IF($A40="","",IF(COUNTIFS(Milestones!$A$5:$A$104,$A40,Milestones!$D$5:$D$104,"&gt;="&amp;O$5,Milestones!$D$5:$D$104,"&lt;="&amp;EOMONTH(O$5,0))&gt;0,"◆",""))</f>
        <v/>
      </c>
      <c r="P40" s="36" t="str">
        <f aca="false">IF($A40="","",IF(COUNTIFS(Milestones!$A$5:$A$104,$A40,Milestones!$D$5:$D$104,"&gt;="&amp;P$5,Milestones!$D$5:$D$104,"&lt;="&amp;EOMONTH(P$5,0))&gt;0,"◆",""))</f>
        <v/>
      </c>
      <c r="Q40" s="36" t="str">
        <f aca="false">IF($A40="","",IF(COUNTIFS(Milestones!$A$5:$A$104,$A40,Milestones!$D$5:$D$104,"&gt;="&amp;Q$5,Milestones!$D$5:$D$104,"&lt;="&amp;EOMONTH(Q$5,0))&gt;0,"◆",""))</f>
        <v/>
      </c>
      <c r="R40" s="36" t="str">
        <f aca="false">IF($A40="","",IF(COUNTIFS(Milestones!$A$5:$A$104,$A40,Milestones!$D$5:$D$104,"&gt;="&amp;R$5,Milestones!$D$5:$D$104,"&lt;="&amp;EOMONTH(R$5,0))&gt;0,"◆",""))</f>
        <v/>
      </c>
    </row>
    <row r="41" customFormat="false" ht="15" hidden="false" customHeight="false" outlineLevel="0" collapsed="false">
      <c r="A41" s="26" t="str">
        <f aca="false">IF(Projects!$A40="","",Projects!$A40)</f>
        <v/>
      </c>
      <c r="B41" s="26" t="str">
        <f aca="false">IF(Projects!$A40="","",Projects!$B40)</f>
        <v/>
      </c>
      <c r="C41" s="26" t="str">
        <f aca="false">IF(Projects!$A40="","",Projects!$E40)</f>
        <v/>
      </c>
      <c r="D41" s="26" t="str">
        <f aca="false">IF(Projects!$A40="","",Projects!$K40)</f>
        <v/>
      </c>
      <c r="E41" s="35" t="str">
        <f aca="false">IF(Projects!$A40="","",Projects!$I40)</f>
        <v/>
      </c>
      <c r="F41" s="35" t="str">
        <f aca="false">IF(Projects!$A40="","",Projects!$J40)</f>
        <v/>
      </c>
      <c r="G41" s="36" t="str">
        <f aca="false">IF($A41="","",IF(COUNTIFS(Milestones!$A$5:$A$104,$A41,Milestones!$D$5:$D$104,"&gt;="&amp;G$5,Milestones!$D$5:$D$104,"&lt;="&amp;EOMONTH(G$5,0))&gt;0,"◆",""))</f>
        <v/>
      </c>
      <c r="H41" s="36" t="str">
        <f aca="false">IF($A41="","",IF(COUNTIFS(Milestones!$A$5:$A$104,$A41,Milestones!$D$5:$D$104,"&gt;="&amp;H$5,Milestones!$D$5:$D$104,"&lt;="&amp;EOMONTH(H$5,0))&gt;0,"◆",""))</f>
        <v/>
      </c>
      <c r="I41" s="36" t="str">
        <f aca="false">IF($A41="","",IF(COUNTIFS(Milestones!$A$5:$A$104,$A41,Milestones!$D$5:$D$104,"&gt;="&amp;I$5,Milestones!$D$5:$D$104,"&lt;="&amp;EOMONTH(I$5,0))&gt;0,"◆",""))</f>
        <v/>
      </c>
      <c r="J41" s="36" t="str">
        <f aca="false">IF($A41="","",IF(COUNTIFS(Milestones!$A$5:$A$104,$A41,Milestones!$D$5:$D$104,"&gt;="&amp;J$5,Milestones!$D$5:$D$104,"&lt;="&amp;EOMONTH(J$5,0))&gt;0,"◆",""))</f>
        <v/>
      </c>
      <c r="K41" s="36" t="str">
        <f aca="false">IF($A41="","",IF(COUNTIFS(Milestones!$A$5:$A$104,$A41,Milestones!$D$5:$D$104,"&gt;="&amp;K$5,Milestones!$D$5:$D$104,"&lt;="&amp;EOMONTH(K$5,0))&gt;0,"◆",""))</f>
        <v/>
      </c>
      <c r="L41" s="36" t="str">
        <f aca="false">IF($A41="","",IF(COUNTIFS(Milestones!$A$5:$A$104,$A41,Milestones!$D$5:$D$104,"&gt;="&amp;L$5,Milestones!$D$5:$D$104,"&lt;="&amp;EOMONTH(L$5,0))&gt;0,"◆",""))</f>
        <v/>
      </c>
      <c r="M41" s="36" t="str">
        <f aca="false">IF($A41="","",IF(COUNTIFS(Milestones!$A$5:$A$104,$A41,Milestones!$D$5:$D$104,"&gt;="&amp;M$5,Milestones!$D$5:$D$104,"&lt;="&amp;EOMONTH(M$5,0))&gt;0,"◆",""))</f>
        <v/>
      </c>
      <c r="N41" s="36" t="str">
        <f aca="false">IF($A41="","",IF(COUNTIFS(Milestones!$A$5:$A$104,$A41,Milestones!$D$5:$D$104,"&gt;="&amp;N$5,Milestones!$D$5:$D$104,"&lt;="&amp;EOMONTH(N$5,0))&gt;0,"◆",""))</f>
        <v/>
      </c>
      <c r="O41" s="36" t="str">
        <f aca="false">IF($A41="","",IF(COUNTIFS(Milestones!$A$5:$A$104,$A41,Milestones!$D$5:$D$104,"&gt;="&amp;O$5,Milestones!$D$5:$D$104,"&lt;="&amp;EOMONTH(O$5,0))&gt;0,"◆",""))</f>
        <v/>
      </c>
      <c r="P41" s="36" t="str">
        <f aca="false">IF($A41="","",IF(COUNTIFS(Milestones!$A$5:$A$104,$A41,Milestones!$D$5:$D$104,"&gt;="&amp;P$5,Milestones!$D$5:$D$104,"&lt;="&amp;EOMONTH(P$5,0))&gt;0,"◆",""))</f>
        <v/>
      </c>
      <c r="Q41" s="36" t="str">
        <f aca="false">IF($A41="","",IF(COUNTIFS(Milestones!$A$5:$A$104,$A41,Milestones!$D$5:$D$104,"&gt;="&amp;Q$5,Milestones!$D$5:$D$104,"&lt;="&amp;EOMONTH(Q$5,0))&gt;0,"◆",""))</f>
        <v/>
      </c>
      <c r="R41" s="36" t="str">
        <f aca="false">IF($A41="","",IF(COUNTIFS(Milestones!$A$5:$A$104,$A41,Milestones!$D$5:$D$104,"&gt;="&amp;R$5,Milestones!$D$5:$D$104,"&lt;="&amp;EOMONTH(R$5,0))&gt;0,"◆",""))</f>
        <v/>
      </c>
    </row>
    <row r="42" customFormat="false" ht="15" hidden="false" customHeight="false" outlineLevel="0" collapsed="false">
      <c r="A42" s="26" t="str">
        <f aca="false">IF(Projects!$A41="","",Projects!$A41)</f>
        <v/>
      </c>
      <c r="B42" s="26" t="str">
        <f aca="false">IF(Projects!$A41="","",Projects!$B41)</f>
        <v/>
      </c>
      <c r="C42" s="26" t="str">
        <f aca="false">IF(Projects!$A41="","",Projects!$E41)</f>
        <v/>
      </c>
      <c r="D42" s="26" t="str">
        <f aca="false">IF(Projects!$A41="","",Projects!$K41)</f>
        <v/>
      </c>
      <c r="E42" s="35" t="str">
        <f aca="false">IF(Projects!$A41="","",Projects!$I41)</f>
        <v/>
      </c>
      <c r="F42" s="35" t="str">
        <f aca="false">IF(Projects!$A41="","",Projects!$J41)</f>
        <v/>
      </c>
      <c r="G42" s="36" t="str">
        <f aca="false">IF($A42="","",IF(COUNTIFS(Milestones!$A$5:$A$104,$A42,Milestones!$D$5:$D$104,"&gt;="&amp;G$5,Milestones!$D$5:$D$104,"&lt;="&amp;EOMONTH(G$5,0))&gt;0,"◆",""))</f>
        <v/>
      </c>
      <c r="H42" s="36" t="str">
        <f aca="false">IF($A42="","",IF(COUNTIFS(Milestones!$A$5:$A$104,$A42,Milestones!$D$5:$D$104,"&gt;="&amp;H$5,Milestones!$D$5:$D$104,"&lt;="&amp;EOMONTH(H$5,0))&gt;0,"◆",""))</f>
        <v/>
      </c>
      <c r="I42" s="36" t="str">
        <f aca="false">IF($A42="","",IF(COUNTIFS(Milestones!$A$5:$A$104,$A42,Milestones!$D$5:$D$104,"&gt;="&amp;I$5,Milestones!$D$5:$D$104,"&lt;="&amp;EOMONTH(I$5,0))&gt;0,"◆",""))</f>
        <v/>
      </c>
      <c r="J42" s="36" t="str">
        <f aca="false">IF($A42="","",IF(COUNTIFS(Milestones!$A$5:$A$104,$A42,Milestones!$D$5:$D$104,"&gt;="&amp;J$5,Milestones!$D$5:$D$104,"&lt;="&amp;EOMONTH(J$5,0))&gt;0,"◆",""))</f>
        <v/>
      </c>
      <c r="K42" s="36" t="str">
        <f aca="false">IF($A42="","",IF(COUNTIFS(Milestones!$A$5:$A$104,$A42,Milestones!$D$5:$D$104,"&gt;="&amp;K$5,Milestones!$D$5:$D$104,"&lt;="&amp;EOMONTH(K$5,0))&gt;0,"◆",""))</f>
        <v/>
      </c>
      <c r="L42" s="36" t="str">
        <f aca="false">IF($A42="","",IF(COUNTIFS(Milestones!$A$5:$A$104,$A42,Milestones!$D$5:$D$104,"&gt;="&amp;L$5,Milestones!$D$5:$D$104,"&lt;="&amp;EOMONTH(L$5,0))&gt;0,"◆",""))</f>
        <v/>
      </c>
      <c r="M42" s="36" t="str">
        <f aca="false">IF($A42="","",IF(COUNTIFS(Milestones!$A$5:$A$104,$A42,Milestones!$D$5:$D$104,"&gt;="&amp;M$5,Milestones!$D$5:$D$104,"&lt;="&amp;EOMONTH(M$5,0))&gt;0,"◆",""))</f>
        <v/>
      </c>
      <c r="N42" s="36" t="str">
        <f aca="false">IF($A42="","",IF(COUNTIFS(Milestones!$A$5:$A$104,$A42,Milestones!$D$5:$D$104,"&gt;="&amp;N$5,Milestones!$D$5:$D$104,"&lt;="&amp;EOMONTH(N$5,0))&gt;0,"◆",""))</f>
        <v/>
      </c>
      <c r="O42" s="36" t="str">
        <f aca="false">IF($A42="","",IF(COUNTIFS(Milestones!$A$5:$A$104,$A42,Milestones!$D$5:$D$104,"&gt;="&amp;O$5,Milestones!$D$5:$D$104,"&lt;="&amp;EOMONTH(O$5,0))&gt;0,"◆",""))</f>
        <v/>
      </c>
      <c r="P42" s="36" t="str">
        <f aca="false">IF($A42="","",IF(COUNTIFS(Milestones!$A$5:$A$104,$A42,Milestones!$D$5:$D$104,"&gt;="&amp;P$5,Milestones!$D$5:$D$104,"&lt;="&amp;EOMONTH(P$5,0))&gt;0,"◆",""))</f>
        <v/>
      </c>
      <c r="Q42" s="36" t="str">
        <f aca="false">IF($A42="","",IF(COUNTIFS(Milestones!$A$5:$A$104,$A42,Milestones!$D$5:$D$104,"&gt;="&amp;Q$5,Milestones!$D$5:$D$104,"&lt;="&amp;EOMONTH(Q$5,0))&gt;0,"◆",""))</f>
        <v/>
      </c>
      <c r="R42" s="36" t="str">
        <f aca="false">IF($A42="","",IF(COUNTIFS(Milestones!$A$5:$A$104,$A42,Milestones!$D$5:$D$104,"&gt;="&amp;R$5,Milestones!$D$5:$D$104,"&lt;="&amp;EOMONTH(R$5,0))&gt;0,"◆",""))</f>
        <v/>
      </c>
    </row>
    <row r="43" customFormat="false" ht="15" hidden="false" customHeight="false" outlineLevel="0" collapsed="false">
      <c r="A43" s="26" t="str">
        <f aca="false">IF(Projects!$A42="","",Projects!$A42)</f>
        <v/>
      </c>
      <c r="B43" s="26" t="str">
        <f aca="false">IF(Projects!$A42="","",Projects!$B42)</f>
        <v/>
      </c>
      <c r="C43" s="26" t="str">
        <f aca="false">IF(Projects!$A42="","",Projects!$E42)</f>
        <v/>
      </c>
      <c r="D43" s="26" t="str">
        <f aca="false">IF(Projects!$A42="","",Projects!$K42)</f>
        <v/>
      </c>
      <c r="E43" s="35" t="str">
        <f aca="false">IF(Projects!$A42="","",Projects!$I42)</f>
        <v/>
      </c>
      <c r="F43" s="35" t="str">
        <f aca="false">IF(Projects!$A42="","",Projects!$J42)</f>
        <v/>
      </c>
      <c r="G43" s="36" t="str">
        <f aca="false">IF($A43="","",IF(COUNTIFS(Milestones!$A$5:$A$104,$A43,Milestones!$D$5:$D$104,"&gt;="&amp;G$5,Milestones!$D$5:$D$104,"&lt;="&amp;EOMONTH(G$5,0))&gt;0,"◆",""))</f>
        <v/>
      </c>
      <c r="H43" s="36" t="str">
        <f aca="false">IF($A43="","",IF(COUNTIFS(Milestones!$A$5:$A$104,$A43,Milestones!$D$5:$D$104,"&gt;="&amp;H$5,Milestones!$D$5:$D$104,"&lt;="&amp;EOMONTH(H$5,0))&gt;0,"◆",""))</f>
        <v/>
      </c>
      <c r="I43" s="36" t="str">
        <f aca="false">IF($A43="","",IF(COUNTIFS(Milestones!$A$5:$A$104,$A43,Milestones!$D$5:$D$104,"&gt;="&amp;I$5,Milestones!$D$5:$D$104,"&lt;="&amp;EOMONTH(I$5,0))&gt;0,"◆",""))</f>
        <v/>
      </c>
      <c r="J43" s="36" t="str">
        <f aca="false">IF($A43="","",IF(COUNTIFS(Milestones!$A$5:$A$104,$A43,Milestones!$D$5:$D$104,"&gt;="&amp;J$5,Milestones!$D$5:$D$104,"&lt;="&amp;EOMONTH(J$5,0))&gt;0,"◆",""))</f>
        <v/>
      </c>
      <c r="K43" s="36" t="str">
        <f aca="false">IF($A43="","",IF(COUNTIFS(Milestones!$A$5:$A$104,$A43,Milestones!$D$5:$D$104,"&gt;="&amp;K$5,Milestones!$D$5:$D$104,"&lt;="&amp;EOMONTH(K$5,0))&gt;0,"◆",""))</f>
        <v/>
      </c>
      <c r="L43" s="36" t="str">
        <f aca="false">IF($A43="","",IF(COUNTIFS(Milestones!$A$5:$A$104,$A43,Milestones!$D$5:$D$104,"&gt;="&amp;L$5,Milestones!$D$5:$D$104,"&lt;="&amp;EOMONTH(L$5,0))&gt;0,"◆",""))</f>
        <v/>
      </c>
      <c r="M43" s="36" t="str">
        <f aca="false">IF($A43="","",IF(COUNTIFS(Milestones!$A$5:$A$104,$A43,Milestones!$D$5:$D$104,"&gt;="&amp;M$5,Milestones!$D$5:$D$104,"&lt;="&amp;EOMONTH(M$5,0))&gt;0,"◆",""))</f>
        <v/>
      </c>
      <c r="N43" s="36" t="str">
        <f aca="false">IF($A43="","",IF(COUNTIFS(Milestones!$A$5:$A$104,$A43,Milestones!$D$5:$D$104,"&gt;="&amp;N$5,Milestones!$D$5:$D$104,"&lt;="&amp;EOMONTH(N$5,0))&gt;0,"◆",""))</f>
        <v/>
      </c>
      <c r="O43" s="36" t="str">
        <f aca="false">IF($A43="","",IF(COUNTIFS(Milestones!$A$5:$A$104,$A43,Milestones!$D$5:$D$104,"&gt;="&amp;O$5,Milestones!$D$5:$D$104,"&lt;="&amp;EOMONTH(O$5,0))&gt;0,"◆",""))</f>
        <v/>
      </c>
      <c r="P43" s="36" t="str">
        <f aca="false">IF($A43="","",IF(COUNTIFS(Milestones!$A$5:$A$104,$A43,Milestones!$D$5:$D$104,"&gt;="&amp;P$5,Milestones!$D$5:$D$104,"&lt;="&amp;EOMONTH(P$5,0))&gt;0,"◆",""))</f>
        <v/>
      </c>
      <c r="Q43" s="36" t="str">
        <f aca="false">IF($A43="","",IF(COUNTIFS(Milestones!$A$5:$A$104,$A43,Milestones!$D$5:$D$104,"&gt;="&amp;Q$5,Milestones!$D$5:$D$104,"&lt;="&amp;EOMONTH(Q$5,0))&gt;0,"◆",""))</f>
        <v/>
      </c>
      <c r="R43" s="36" t="str">
        <f aca="false">IF($A43="","",IF(COUNTIFS(Milestones!$A$5:$A$104,$A43,Milestones!$D$5:$D$104,"&gt;="&amp;R$5,Milestones!$D$5:$D$104,"&lt;="&amp;EOMONTH(R$5,0))&gt;0,"◆",""))</f>
        <v/>
      </c>
    </row>
    <row r="44" customFormat="false" ht="15" hidden="false" customHeight="false" outlineLevel="0" collapsed="false">
      <c r="A44" s="26" t="str">
        <f aca="false">IF(Projects!$A43="","",Projects!$A43)</f>
        <v/>
      </c>
      <c r="B44" s="26" t="str">
        <f aca="false">IF(Projects!$A43="","",Projects!$B43)</f>
        <v/>
      </c>
      <c r="C44" s="26" t="str">
        <f aca="false">IF(Projects!$A43="","",Projects!$E43)</f>
        <v/>
      </c>
      <c r="D44" s="26" t="str">
        <f aca="false">IF(Projects!$A43="","",Projects!$K43)</f>
        <v/>
      </c>
      <c r="E44" s="35" t="str">
        <f aca="false">IF(Projects!$A43="","",Projects!$I43)</f>
        <v/>
      </c>
      <c r="F44" s="35" t="str">
        <f aca="false">IF(Projects!$A43="","",Projects!$J43)</f>
        <v/>
      </c>
      <c r="G44" s="36" t="str">
        <f aca="false">IF($A44="","",IF(COUNTIFS(Milestones!$A$5:$A$104,$A44,Milestones!$D$5:$D$104,"&gt;="&amp;G$5,Milestones!$D$5:$D$104,"&lt;="&amp;EOMONTH(G$5,0))&gt;0,"◆",""))</f>
        <v/>
      </c>
      <c r="H44" s="36" t="str">
        <f aca="false">IF($A44="","",IF(COUNTIFS(Milestones!$A$5:$A$104,$A44,Milestones!$D$5:$D$104,"&gt;="&amp;H$5,Milestones!$D$5:$D$104,"&lt;="&amp;EOMONTH(H$5,0))&gt;0,"◆",""))</f>
        <v/>
      </c>
      <c r="I44" s="36" t="str">
        <f aca="false">IF($A44="","",IF(COUNTIFS(Milestones!$A$5:$A$104,$A44,Milestones!$D$5:$D$104,"&gt;="&amp;I$5,Milestones!$D$5:$D$104,"&lt;="&amp;EOMONTH(I$5,0))&gt;0,"◆",""))</f>
        <v/>
      </c>
      <c r="J44" s="36" t="str">
        <f aca="false">IF($A44="","",IF(COUNTIFS(Milestones!$A$5:$A$104,$A44,Milestones!$D$5:$D$104,"&gt;="&amp;J$5,Milestones!$D$5:$D$104,"&lt;="&amp;EOMONTH(J$5,0))&gt;0,"◆",""))</f>
        <v/>
      </c>
      <c r="K44" s="36" t="str">
        <f aca="false">IF($A44="","",IF(COUNTIFS(Milestones!$A$5:$A$104,$A44,Milestones!$D$5:$D$104,"&gt;="&amp;K$5,Milestones!$D$5:$D$104,"&lt;="&amp;EOMONTH(K$5,0))&gt;0,"◆",""))</f>
        <v/>
      </c>
      <c r="L44" s="36" t="str">
        <f aca="false">IF($A44="","",IF(COUNTIFS(Milestones!$A$5:$A$104,$A44,Milestones!$D$5:$D$104,"&gt;="&amp;L$5,Milestones!$D$5:$D$104,"&lt;="&amp;EOMONTH(L$5,0))&gt;0,"◆",""))</f>
        <v/>
      </c>
      <c r="M44" s="36" t="str">
        <f aca="false">IF($A44="","",IF(COUNTIFS(Milestones!$A$5:$A$104,$A44,Milestones!$D$5:$D$104,"&gt;="&amp;M$5,Milestones!$D$5:$D$104,"&lt;="&amp;EOMONTH(M$5,0))&gt;0,"◆",""))</f>
        <v/>
      </c>
      <c r="N44" s="36" t="str">
        <f aca="false">IF($A44="","",IF(COUNTIFS(Milestones!$A$5:$A$104,$A44,Milestones!$D$5:$D$104,"&gt;="&amp;N$5,Milestones!$D$5:$D$104,"&lt;="&amp;EOMONTH(N$5,0))&gt;0,"◆",""))</f>
        <v/>
      </c>
      <c r="O44" s="36" t="str">
        <f aca="false">IF($A44="","",IF(COUNTIFS(Milestones!$A$5:$A$104,$A44,Milestones!$D$5:$D$104,"&gt;="&amp;O$5,Milestones!$D$5:$D$104,"&lt;="&amp;EOMONTH(O$5,0))&gt;0,"◆",""))</f>
        <v/>
      </c>
      <c r="P44" s="36" t="str">
        <f aca="false">IF($A44="","",IF(COUNTIFS(Milestones!$A$5:$A$104,$A44,Milestones!$D$5:$D$104,"&gt;="&amp;P$5,Milestones!$D$5:$D$104,"&lt;="&amp;EOMONTH(P$5,0))&gt;0,"◆",""))</f>
        <v/>
      </c>
      <c r="Q44" s="36" t="str">
        <f aca="false">IF($A44="","",IF(COUNTIFS(Milestones!$A$5:$A$104,$A44,Milestones!$D$5:$D$104,"&gt;="&amp;Q$5,Milestones!$D$5:$D$104,"&lt;="&amp;EOMONTH(Q$5,0))&gt;0,"◆",""))</f>
        <v/>
      </c>
      <c r="R44" s="36" t="str">
        <f aca="false">IF($A44="","",IF(COUNTIFS(Milestones!$A$5:$A$104,$A44,Milestones!$D$5:$D$104,"&gt;="&amp;R$5,Milestones!$D$5:$D$104,"&lt;="&amp;EOMONTH(R$5,0))&gt;0,"◆",""))</f>
        <v/>
      </c>
    </row>
    <row r="45" customFormat="false" ht="15" hidden="false" customHeight="false" outlineLevel="0" collapsed="false">
      <c r="A45" s="26" t="str">
        <f aca="false">IF(Projects!$A44="","",Projects!$A44)</f>
        <v/>
      </c>
      <c r="B45" s="26" t="str">
        <f aca="false">IF(Projects!$A44="","",Projects!$B44)</f>
        <v/>
      </c>
      <c r="C45" s="26" t="str">
        <f aca="false">IF(Projects!$A44="","",Projects!$E44)</f>
        <v/>
      </c>
      <c r="D45" s="26" t="str">
        <f aca="false">IF(Projects!$A44="","",Projects!$K44)</f>
        <v/>
      </c>
      <c r="E45" s="35" t="str">
        <f aca="false">IF(Projects!$A44="","",Projects!$I44)</f>
        <v/>
      </c>
      <c r="F45" s="35" t="str">
        <f aca="false">IF(Projects!$A44="","",Projects!$J44)</f>
        <v/>
      </c>
      <c r="G45" s="36" t="str">
        <f aca="false">IF($A45="","",IF(COUNTIFS(Milestones!$A$5:$A$104,$A45,Milestones!$D$5:$D$104,"&gt;="&amp;G$5,Milestones!$D$5:$D$104,"&lt;="&amp;EOMONTH(G$5,0))&gt;0,"◆",""))</f>
        <v/>
      </c>
      <c r="H45" s="36" t="str">
        <f aca="false">IF($A45="","",IF(COUNTIFS(Milestones!$A$5:$A$104,$A45,Milestones!$D$5:$D$104,"&gt;="&amp;H$5,Milestones!$D$5:$D$104,"&lt;="&amp;EOMONTH(H$5,0))&gt;0,"◆",""))</f>
        <v/>
      </c>
      <c r="I45" s="36" t="str">
        <f aca="false">IF($A45="","",IF(COUNTIFS(Milestones!$A$5:$A$104,$A45,Milestones!$D$5:$D$104,"&gt;="&amp;I$5,Milestones!$D$5:$D$104,"&lt;="&amp;EOMONTH(I$5,0))&gt;0,"◆",""))</f>
        <v/>
      </c>
      <c r="J45" s="36" t="str">
        <f aca="false">IF($A45="","",IF(COUNTIFS(Milestones!$A$5:$A$104,$A45,Milestones!$D$5:$D$104,"&gt;="&amp;J$5,Milestones!$D$5:$D$104,"&lt;="&amp;EOMONTH(J$5,0))&gt;0,"◆",""))</f>
        <v/>
      </c>
      <c r="K45" s="36" t="str">
        <f aca="false">IF($A45="","",IF(COUNTIFS(Milestones!$A$5:$A$104,$A45,Milestones!$D$5:$D$104,"&gt;="&amp;K$5,Milestones!$D$5:$D$104,"&lt;="&amp;EOMONTH(K$5,0))&gt;0,"◆",""))</f>
        <v/>
      </c>
      <c r="L45" s="36" t="str">
        <f aca="false">IF($A45="","",IF(COUNTIFS(Milestones!$A$5:$A$104,$A45,Milestones!$D$5:$D$104,"&gt;="&amp;L$5,Milestones!$D$5:$D$104,"&lt;="&amp;EOMONTH(L$5,0))&gt;0,"◆",""))</f>
        <v/>
      </c>
      <c r="M45" s="36" t="str">
        <f aca="false">IF($A45="","",IF(COUNTIFS(Milestones!$A$5:$A$104,$A45,Milestones!$D$5:$D$104,"&gt;="&amp;M$5,Milestones!$D$5:$D$104,"&lt;="&amp;EOMONTH(M$5,0))&gt;0,"◆",""))</f>
        <v/>
      </c>
      <c r="N45" s="36" t="str">
        <f aca="false">IF($A45="","",IF(COUNTIFS(Milestones!$A$5:$A$104,$A45,Milestones!$D$5:$D$104,"&gt;="&amp;N$5,Milestones!$D$5:$D$104,"&lt;="&amp;EOMONTH(N$5,0))&gt;0,"◆",""))</f>
        <v/>
      </c>
      <c r="O45" s="36" t="str">
        <f aca="false">IF($A45="","",IF(COUNTIFS(Milestones!$A$5:$A$104,$A45,Milestones!$D$5:$D$104,"&gt;="&amp;O$5,Milestones!$D$5:$D$104,"&lt;="&amp;EOMONTH(O$5,0))&gt;0,"◆",""))</f>
        <v/>
      </c>
      <c r="P45" s="36" t="str">
        <f aca="false">IF($A45="","",IF(COUNTIFS(Milestones!$A$5:$A$104,$A45,Milestones!$D$5:$D$104,"&gt;="&amp;P$5,Milestones!$D$5:$D$104,"&lt;="&amp;EOMONTH(P$5,0))&gt;0,"◆",""))</f>
        <v/>
      </c>
      <c r="Q45" s="36" t="str">
        <f aca="false">IF($A45="","",IF(COUNTIFS(Milestones!$A$5:$A$104,$A45,Milestones!$D$5:$D$104,"&gt;="&amp;Q$5,Milestones!$D$5:$D$104,"&lt;="&amp;EOMONTH(Q$5,0))&gt;0,"◆",""))</f>
        <v/>
      </c>
      <c r="R45" s="36" t="str">
        <f aca="false">IF($A45="","",IF(COUNTIFS(Milestones!$A$5:$A$104,$A45,Milestones!$D$5:$D$104,"&gt;="&amp;R$5,Milestones!$D$5:$D$104,"&lt;="&amp;EOMONTH(R$5,0))&gt;0,"◆",""))</f>
        <v/>
      </c>
    </row>
    <row r="46" customFormat="false" ht="15" hidden="false" customHeight="false" outlineLevel="0" collapsed="false">
      <c r="A46" s="26" t="str">
        <f aca="false">IF(Projects!$A45="","",Projects!$A45)</f>
        <v/>
      </c>
      <c r="B46" s="26" t="str">
        <f aca="false">IF(Projects!$A45="","",Projects!$B45)</f>
        <v/>
      </c>
      <c r="C46" s="26" t="str">
        <f aca="false">IF(Projects!$A45="","",Projects!$E45)</f>
        <v/>
      </c>
      <c r="D46" s="26" t="str">
        <f aca="false">IF(Projects!$A45="","",Projects!$K45)</f>
        <v/>
      </c>
      <c r="E46" s="35" t="str">
        <f aca="false">IF(Projects!$A45="","",Projects!$I45)</f>
        <v/>
      </c>
      <c r="F46" s="35" t="str">
        <f aca="false">IF(Projects!$A45="","",Projects!$J45)</f>
        <v/>
      </c>
      <c r="G46" s="36" t="str">
        <f aca="false">IF($A46="","",IF(COUNTIFS(Milestones!$A$5:$A$104,$A46,Milestones!$D$5:$D$104,"&gt;="&amp;G$5,Milestones!$D$5:$D$104,"&lt;="&amp;EOMONTH(G$5,0))&gt;0,"◆",""))</f>
        <v/>
      </c>
      <c r="H46" s="36" t="str">
        <f aca="false">IF($A46="","",IF(COUNTIFS(Milestones!$A$5:$A$104,$A46,Milestones!$D$5:$D$104,"&gt;="&amp;H$5,Milestones!$D$5:$D$104,"&lt;="&amp;EOMONTH(H$5,0))&gt;0,"◆",""))</f>
        <v/>
      </c>
      <c r="I46" s="36" t="str">
        <f aca="false">IF($A46="","",IF(COUNTIFS(Milestones!$A$5:$A$104,$A46,Milestones!$D$5:$D$104,"&gt;="&amp;I$5,Milestones!$D$5:$D$104,"&lt;="&amp;EOMONTH(I$5,0))&gt;0,"◆",""))</f>
        <v/>
      </c>
      <c r="J46" s="36" t="str">
        <f aca="false">IF($A46="","",IF(COUNTIFS(Milestones!$A$5:$A$104,$A46,Milestones!$D$5:$D$104,"&gt;="&amp;J$5,Milestones!$D$5:$D$104,"&lt;="&amp;EOMONTH(J$5,0))&gt;0,"◆",""))</f>
        <v/>
      </c>
      <c r="K46" s="36" t="str">
        <f aca="false">IF($A46="","",IF(COUNTIFS(Milestones!$A$5:$A$104,$A46,Milestones!$D$5:$D$104,"&gt;="&amp;K$5,Milestones!$D$5:$D$104,"&lt;="&amp;EOMONTH(K$5,0))&gt;0,"◆",""))</f>
        <v/>
      </c>
      <c r="L46" s="36" t="str">
        <f aca="false">IF($A46="","",IF(COUNTIFS(Milestones!$A$5:$A$104,$A46,Milestones!$D$5:$D$104,"&gt;="&amp;L$5,Milestones!$D$5:$D$104,"&lt;="&amp;EOMONTH(L$5,0))&gt;0,"◆",""))</f>
        <v/>
      </c>
      <c r="M46" s="36" t="str">
        <f aca="false">IF($A46="","",IF(COUNTIFS(Milestones!$A$5:$A$104,$A46,Milestones!$D$5:$D$104,"&gt;="&amp;M$5,Milestones!$D$5:$D$104,"&lt;="&amp;EOMONTH(M$5,0))&gt;0,"◆",""))</f>
        <v/>
      </c>
      <c r="N46" s="36" t="str">
        <f aca="false">IF($A46="","",IF(COUNTIFS(Milestones!$A$5:$A$104,$A46,Milestones!$D$5:$D$104,"&gt;="&amp;N$5,Milestones!$D$5:$D$104,"&lt;="&amp;EOMONTH(N$5,0))&gt;0,"◆",""))</f>
        <v/>
      </c>
      <c r="O46" s="36" t="str">
        <f aca="false">IF($A46="","",IF(COUNTIFS(Milestones!$A$5:$A$104,$A46,Milestones!$D$5:$D$104,"&gt;="&amp;O$5,Milestones!$D$5:$D$104,"&lt;="&amp;EOMONTH(O$5,0))&gt;0,"◆",""))</f>
        <v/>
      </c>
      <c r="P46" s="36" t="str">
        <f aca="false">IF($A46="","",IF(COUNTIFS(Milestones!$A$5:$A$104,$A46,Milestones!$D$5:$D$104,"&gt;="&amp;P$5,Milestones!$D$5:$D$104,"&lt;="&amp;EOMONTH(P$5,0))&gt;0,"◆",""))</f>
        <v/>
      </c>
      <c r="Q46" s="36" t="str">
        <f aca="false">IF($A46="","",IF(COUNTIFS(Milestones!$A$5:$A$104,$A46,Milestones!$D$5:$D$104,"&gt;="&amp;Q$5,Milestones!$D$5:$D$104,"&lt;="&amp;EOMONTH(Q$5,0))&gt;0,"◆",""))</f>
        <v/>
      </c>
      <c r="R46" s="36" t="str">
        <f aca="false">IF($A46="","",IF(COUNTIFS(Milestones!$A$5:$A$104,$A46,Milestones!$D$5:$D$104,"&gt;="&amp;R$5,Milestones!$D$5:$D$104,"&lt;="&amp;EOMONTH(R$5,0))&gt;0,"◆",""))</f>
        <v/>
      </c>
    </row>
    <row r="47" customFormat="false" ht="15" hidden="false" customHeight="false" outlineLevel="0" collapsed="false">
      <c r="A47" s="26" t="str">
        <f aca="false">IF(Projects!$A46="","",Projects!$A46)</f>
        <v/>
      </c>
      <c r="B47" s="26" t="str">
        <f aca="false">IF(Projects!$A46="","",Projects!$B46)</f>
        <v/>
      </c>
      <c r="C47" s="26" t="str">
        <f aca="false">IF(Projects!$A46="","",Projects!$E46)</f>
        <v/>
      </c>
      <c r="D47" s="26" t="str">
        <f aca="false">IF(Projects!$A46="","",Projects!$K46)</f>
        <v/>
      </c>
      <c r="E47" s="35" t="str">
        <f aca="false">IF(Projects!$A46="","",Projects!$I46)</f>
        <v/>
      </c>
      <c r="F47" s="35" t="str">
        <f aca="false">IF(Projects!$A46="","",Projects!$J46)</f>
        <v/>
      </c>
      <c r="G47" s="36" t="str">
        <f aca="false">IF($A47="","",IF(COUNTIFS(Milestones!$A$5:$A$104,$A47,Milestones!$D$5:$D$104,"&gt;="&amp;G$5,Milestones!$D$5:$D$104,"&lt;="&amp;EOMONTH(G$5,0))&gt;0,"◆",""))</f>
        <v/>
      </c>
      <c r="H47" s="36" t="str">
        <f aca="false">IF($A47="","",IF(COUNTIFS(Milestones!$A$5:$A$104,$A47,Milestones!$D$5:$D$104,"&gt;="&amp;H$5,Milestones!$D$5:$D$104,"&lt;="&amp;EOMONTH(H$5,0))&gt;0,"◆",""))</f>
        <v/>
      </c>
      <c r="I47" s="36" t="str">
        <f aca="false">IF($A47="","",IF(COUNTIFS(Milestones!$A$5:$A$104,$A47,Milestones!$D$5:$D$104,"&gt;="&amp;I$5,Milestones!$D$5:$D$104,"&lt;="&amp;EOMONTH(I$5,0))&gt;0,"◆",""))</f>
        <v/>
      </c>
      <c r="J47" s="36" t="str">
        <f aca="false">IF($A47="","",IF(COUNTIFS(Milestones!$A$5:$A$104,$A47,Milestones!$D$5:$D$104,"&gt;="&amp;J$5,Milestones!$D$5:$D$104,"&lt;="&amp;EOMONTH(J$5,0))&gt;0,"◆",""))</f>
        <v/>
      </c>
      <c r="K47" s="36" t="str">
        <f aca="false">IF($A47="","",IF(COUNTIFS(Milestones!$A$5:$A$104,$A47,Milestones!$D$5:$D$104,"&gt;="&amp;K$5,Milestones!$D$5:$D$104,"&lt;="&amp;EOMONTH(K$5,0))&gt;0,"◆",""))</f>
        <v/>
      </c>
      <c r="L47" s="36" t="str">
        <f aca="false">IF($A47="","",IF(COUNTIFS(Milestones!$A$5:$A$104,$A47,Milestones!$D$5:$D$104,"&gt;="&amp;L$5,Milestones!$D$5:$D$104,"&lt;="&amp;EOMONTH(L$5,0))&gt;0,"◆",""))</f>
        <v/>
      </c>
      <c r="M47" s="36" t="str">
        <f aca="false">IF($A47="","",IF(COUNTIFS(Milestones!$A$5:$A$104,$A47,Milestones!$D$5:$D$104,"&gt;="&amp;M$5,Milestones!$D$5:$D$104,"&lt;="&amp;EOMONTH(M$5,0))&gt;0,"◆",""))</f>
        <v/>
      </c>
      <c r="N47" s="36" t="str">
        <f aca="false">IF($A47="","",IF(COUNTIFS(Milestones!$A$5:$A$104,$A47,Milestones!$D$5:$D$104,"&gt;="&amp;N$5,Milestones!$D$5:$D$104,"&lt;="&amp;EOMONTH(N$5,0))&gt;0,"◆",""))</f>
        <v/>
      </c>
      <c r="O47" s="36" t="str">
        <f aca="false">IF($A47="","",IF(COUNTIFS(Milestones!$A$5:$A$104,$A47,Milestones!$D$5:$D$104,"&gt;="&amp;O$5,Milestones!$D$5:$D$104,"&lt;="&amp;EOMONTH(O$5,0))&gt;0,"◆",""))</f>
        <v/>
      </c>
      <c r="P47" s="36" t="str">
        <f aca="false">IF($A47="","",IF(COUNTIFS(Milestones!$A$5:$A$104,$A47,Milestones!$D$5:$D$104,"&gt;="&amp;P$5,Milestones!$D$5:$D$104,"&lt;="&amp;EOMONTH(P$5,0))&gt;0,"◆",""))</f>
        <v/>
      </c>
      <c r="Q47" s="36" t="str">
        <f aca="false">IF($A47="","",IF(COUNTIFS(Milestones!$A$5:$A$104,$A47,Milestones!$D$5:$D$104,"&gt;="&amp;Q$5,Milestones!$D$5:$D$104,"&lt;="&amp;EOMONTH(Q$5,0))&gt;0,"◆",""))</f>
        <v/>
      </c>
      <c r="R47" s="36" t="str">
        <f aca="false">IF($A47="","",IF(COUNTIFS(Milestones!$A$5:$A$104,$A47,Milestones!$D$5:$D$104,"&gt;="&amp;R$5,Milestones!$D$5:$D$104,"&lt;="&amp;EOMONTH(R$5,0))&gt;0,"◆",""))</f>
        <v/>
      </c>
    </row>
    <row r="48" customFormat="false" ht="15" hidden="false" customHeight="false" outlineLevel="0" collapsed="false">
      <c r="A48" s="26" t="str">
        <f aca="false">IF(Projects!$A47="","",Projects!$A47)</f>
        <v/>
      </c>
      <c r="B48" s="26" t="str">
        <f aca="false">IF(Projects!$A47="","",Projects!$B47)</f>
        <v/>
      </c>
      <c r="C48" s="26" t="str">
        <f aca="false">IF(Projects!$A47="","",Projects!$E47)</f>
        <v/>
      </c>
      <c r="D48" s="26" t="str">
        <f aca="false">IF(Projects!$A47="","",Projects!$K47)</f>
        <v/>
      </c>
      <c r="E48" s="35" t="str">
        <f aca="false">IF(Projects!$A47="","",Projects!$I47)</f>
        <v/>
      </c>
      <c r="F48" s="35" t="str">
        <f aca="false">IF(Projects!$A47="","",Projects!$J47)</f>
        <v/>
      </c>
      <c r="G48" s="36" t="str">
        <f aca="false">IF($A48="","",IF(COUNTIFS(Milestones!$A$5:$A$104,$A48,Milestones!$D$5:$D$104,"&gt;="&amp;G$5,Milestones!$D$5:$D$104,"&lt;="&amp;EOMONTH(G$5,0))&gt;0,"◆",""))</f>
        <v/>
      </c>
      <c r="H48" s="36" t="str">
        <f aca="false">IF($A48="","",IF(COUNTIFS(Milestones!$A$5:$A$104,$A48,Milestones!$D$5:$D$104,"&gt;="&amp;H$5,Milestones!$D$5:$D$104,"&lt;="&amp;EOMONTH(H$5,0))&gt;0,"◆",""))</f>
        <v/>
      </c>
      <c r="I48" s="36" t="str">
        <f aca="false">IF($A48="","",IF(COUNTIFS(Milestones!$A$5:$A$104,$A48,Milestones!$D$5:$D$104,"&gt;="&amp;I$5,Milestones!$D$5:$D$104,"&lt;="&amp;EOMONTH(I$5,0))&gt;0,"◆",""))</f>
        <v/>
      </c>
      <c r="J48" s="36" t="str">
        <f aca="false">IF($A48="","",IF(COUNTIFS(Milestones!$A$5:$A$104,$A48,Milestones!$D$5:$D$104,"&gt;="&amp;J$5,Milestones!$D$5:$D$104,"&lt;="&amp;EOMONTH(J$5,0))&gt;0,"◆",""))</f>
        <v/>
      </c>
      <c r="K48" s="36" t="str">
        <f aca="false">IF($A48="","",IF(COUNTIFS(Milestones!$A$5:$A$104,$A48,Milestones!$D$5:$D$104,"&gt;="&amp;K$5,Milestones!$D$5:$D$104,"&lt;="&amp;EOMONTH(K$5,0))&gt;0,"◆",""))</f>
        <v/>
      </c>
      <c r="L48" s="36" t="str">
        <f aca="false">IF($A48="","",IF(COUNTIFS(Milestones!$A$5:$A$104,$A48,Milestones!$D$5:$D$104,"&gt;="&amp;L$5,Milestones!$D$5:$D$104,"&lt;="&amp;EOMONTH(L$5,0))&gt;0,"◆",""))</f>
        <v/>
      </c>
      <c r="M48" s="36" t="str">
        <f aca="false">IF($A48="","",IF(COUNTIFS(Milestones!$A$5:$A$104,$A48,Milestones!$D$5:$D$104,"&gt;="&amp;M$5,Milestones!$D$5:$D$104,"&lt;="&amp;EOMONTH(M$5,0))&gt;0,"◆",""))</f>
        <v/>
      </c>
      <c r="N48" s="36" t="str">
        <f aca="false">IF($A48="","",IF(COUNTIFS(Milestones!$A$5:$A$104,$A48,Milestones!$D$5:$D$104,"&gt;="&amp;N$5,Milestones!$D$5:$D$104,"&lt;="&amp;EOMONTH(N$5,0))&gt;0,"◆",""))</f>
        <v/>
      </c>
      <c r="O48" s="36" t="str">
        <f aca="false">IF($A48="","",IF(COUNTIFS(Milestones!$A$5:$A$104,$A48,Milestones!$D$5:$D$104,"&gt;="&amp;O$5,Milestones!$D$5:$D$104,"&lt;="&amp;EOMONTH(O$5,0))&gt;0,"◆",""))</f>
        <v/>
      </c>
      <c r="P48" s="36" t="str">
        <f aca="false">IF($A48="","",IF(COUNTIFS(Milestones!$A$5:$A$104,$A48,Milestones!$D$5:$D$104,"&gt;="&amp;P$5,Milestones!$D$5:$D$104,"&lt;="&amp;EOMONTH(P$5,0))&gt;0,"◆",""))</f>
        <v/>
      </c>
      <c r="Q48" s="36" t="str">
        <f aca="false">IF($A48="","",IF(COUNTIFS(Milestones!$A$5:$A$104,$A48,Milestones!$D$5:$D$104,"&gt;="&amp;Q$5,Milestones!$D$5:$D$104,"&lt;="&amp;EOMONTH(Q$5,0))&gt;0,"◆",""))</f>
        <v/>
      </c>
      <c r="R48" s="36" t="str">
        <f aca="false">IF($A48="","",IF(COUNTIFS(Milestones!$A$5:$A$104,$A48,Milestones!$D$5:$D$104,"&gt;="&amp;R$5,Milestones!$D$5:$D$104,"&lt;="&amp;EOMONTH(R$5,0))&gt;0,"◆",""))</f>
        <v/>
      </c>
    </row>
    <row r="49" customFormat="false" ht="15" hidden="false" customHeight="false" outlineLevel="0" collapsed="false">
      <c r="A49" s="26" t="str">
        <f aca="false">IF(Projects!$A48="","",Projects!$A48)</f>
        <v/>
      </c>
      <c r="B49" s="26" t="str">
        <f aca="false">IF(Projects!$A48="","",Projects!$B48)</f>
        <v/>
      </c>
      <c r="C49" s="26" t="str">
        <f aca="false">IF(Projects!$A48="","",Projects!$E48)</f>
        <v/>
      </c>
      <c r="D49" s="26" t="str">
        <f aca="false">IF(Projects!$A48="","",Projects!$K48)</f>
        <v/>
      </c>
      <c r="E49" s="35" t="str">
        <f aca="false">IF(Projects!$A48="","",Projects!$I48)</f>
        <v/>
      </c>
      <c r="F49" s="35" t="str">
        <f aca="false">IF(Projects!$A48="","",Projects!$J48)</f>
        <v/>
      </c>
      <c r="G49" s="36" t="str">
        <f aca="false">IF($A49="","",IF(COUNTIFS(Milestones!$A$5:$A$104,$A49,Milestones!$D$5:$D$104,"&gt;="&amp;G$5,Milestones!$D$5:$D$104,"&lt;="&amp;EOMONTH(G$5,0))&gt;0,"◆",""))</f>
        <v/>
      </c>
      <c r="H49" s="36" t="str">
        <f aca="false">IF($A49="","",IF(COUNTIFS(Milestones!$A$5:$A$104,$A49,Milestones!$D$5:$D$104,"&gt;="&amp;H$5,Milestones!$D$5:$D$104,"&lt;="&amp;EOMONTH(H$5,0))&gt;0,"◆",""))</f>
        <v/>
      </c>
      <c r="I49" s="36" t="str">
        <f aca="false">IF($A49="","",IF(COUNTIFS(Milestones!$A$5:$A$104,$A49,Milestones!$D$5:$D$104,"&gt;="&amp;I$5,Milestones!$D$5:$D$104,"&lt;="&amp;EOMONTH(I$5,0))&gt;0,"◆",""))</f>
        <v/>
      </c>
      <c r="J49" s="36" t="str">
        <f aca="false">IF($A49="","",IF(COUNTIFS(Milestones!$A$5:$A$104,$A49,Milestones!$D$5:$D$104,"&gt;="&amp;J$5,Milestones!$D$5:$D$104,"&lt;="&amp;EOMONTH(J$5,0))&gt;0,"◆",""))</f>
        <v/>
      </c>
      <c r="K49" s="36" t="str">
        <f aca="false">IF($A49="","",IF(COUNTIFS(Milestones!$A$5:$A$104,$A49,Milestones!$D$5:$D$104,"&gt;="&amp;K$5,Milestones!$D$5:$D$104,"&lt;="&amp;EOMONTH(K$5,0))&gt;0,"◆",""))</f>
        <v/>
      </c>
      <c r="L49" s="36" t="str">
        <f aca="false">IF($A49="","",IF(COUNTIFS(Milestones!$A$5:$A$104,$A49,Milestones!$D$5:$D$104,"&gt;="&amp;L$5,Milestones!$D$5:$D$104,"&lt;="&amp;EOMONTH(L$5,0))&gt;0,"◆",""))</f>
        <v/>
      </c>
      <c r="M49" s="36" t="str">
        <f aca="false">IF($A49="","",IF(COUNTIFS(Milestones!$A$5:$A$104,$A49,Milestones!$D$5:$D$104,"&gt;="&amp;M$5,Milestones!$D$5:$D$104,"&lt;="&amp;EOMONTH(M$5,0))&gt;0,"◆",""))</f>
        <v/>
      </c>
      <c r="N49" s="36" t="str">
        <f aca="false">IF($A49="","",IF(COUNTIFS(Milestones!$A$5:$A$104,$A49,Milestones!$D$5:$D$104,"&gt;="&amp;N$5,Milestones!$D$5:$D$104,"&lt;="&amp;EOMONTH(N$5,0))&gt;0,"◆",""))</f>
        <v/>
      </c>
      <c r="O49" s="36" t="str">
        <f aca="false">IF($A49="","",IF(COUNTIFS(Milestones!$A$5:$A$104,$A49,Milestones!$D$5:$D$104,"&gt;="&amp;O$5,Milestones!$D$5:$D$104,"&lt;="&amp;EOMONTH(O$5,0))&gt;0,"◆",""))</f>
        <v/>
      </c>
      <c r="P49" s="36" t="str">
        <f aca="false">IF($A49="","",IF(COUNTIFS(Milestones!$A$5:$A$104,$A49,Milestones!$D$5:$D$104,"&gt;="&amp;P$5,Milestones!$D$5:$D$104,"&lt;="&amp;EOMONTH(P$5,0))&gt;0,"◆",""))</f>
        <v/>
      </c>
      <c r="Q49" s="36" t="str">
        <f aca="false">IF($A49="","",IF(COUNTIFS(Milestones!$A$5:$A$104,$A49,Milestones!$D$5:$D$104,"&gt;="&amp;Q$5,Milestones!$D$5:$D$104,"&lt;="&amp;EOMONTH(Q$5,0))&gt;0,"◆",""))</f>
        <v/>
      </c>
      <c r="R49" s="36" t="str">
        <f aca="false">IF($A49="","",IF(COUNTIFS(Milestones!$A$5:$A$104,$A49,Milestones!$D$5:$D$104,"&gt;="&amp;R$5,Milestones!$D$5:$D$104,"&lt;="&amp;EOMONTH(R$5,0))&gt;0,"◆",""))</f>
        <v/>
      </c>
    </row>
    <row r="50" customFormat="false" ht="15" hidden="false" customHeight="false" outlineLevel="0" collapsed="false">
      <c r="A50" s="26" t="str">
        <f aca="false">IF(Projects!$A49="","",Projects!$A49)</f>
        <v/>
      </c>
      <c r="B50" s="26" t="str">
        <f aca="false">IF(Projects!$A49="","",Projects!$B49)</f>
        <v/>
      </c>
      <c r="C50" s="26" t="str">
        <f aca="false">IF(Projects!$A49="","",Projects!$E49)</f>
        <v/>
      </c>
      <c r="D50" s="26" t="str">
        <f aca="false">IF(Projects!$A49="","",Projects!$K49)</f>
        <v/>
      </c>
      <c r="E50" s="35" t="str">
        <f aca="false">IF(Projects!$A49="","",Projects!$I49)</f>
        <v/>
      </c>
      <c r="F50" s="35" t="str">
        <f aca="false">IF(Projects!$A49="","",Projects!$J49)</f>
        <v/>
      </c>
      <c r="G50" s="36" t="str">
        <f aca="false">IF($A50="","",IF(COUNTIFS(Milestones!$A$5:$A$104,$A50,Milestones!$D$5:$D$104,"&gt;="&amp;G$5,Milestones!$D$5:$D$104,"&lt;="&amp;EOMONTH(G$5,0))&gt;0,"◆",""))</f>
        <v/>
      </c>
      <c r="H50" s="36" t="str">
        <f aca="false">IF($A50="","",IF(COUNTIFS(Milestones!$A$5:$A$104,$A50,Milestones!$D$5:$D$104,"&gt;="&amp;H$5,Milestones!$D$5:$D$104,"&lt;="&amp;EOMONTH(H$5,0))&gt;0,"◆",""))</f>
        <v/>
      </c>
      <c r="I50" s="36" t="str">
        <f aca="false">IF($A50="","",IF(COUNTIFS(Milestones!$A$5:$A$104,$A50,Milestones!$D$5:$D$104,"&gt;="&amp;I$5,Milestones!$D$5:$D$104,"&lt;="&amp;EOMONTH(I$5,0))&gt;0,"◆",""))</f>
        <v/>
      </c>
      <c r="J50" s="36" t="str">
        <f aca="false">IF($A50="","",IF(COUNTIFS(Milestones!$A$5:$A$104,$A50,Milestones!$D$5:$D$104,"&gt;="&amp;J$5,Milestones!$D$5:$D$104,"&lt;="&amp;EOMONTH(J$5,0))&gt;0,"◆",""))</f>
        <v/>
      </c>
      <c r="K50" s="36" t="str">
        <f aca="false">IF($A50="","",IF(COUNTIFS(Milestones!$A$5:$A$104,$A50,Milestones!$D$5:$D$104,"&gt;="&amp;K$5,Milestones!$D$5:$D$104,"&lt;="&amp;EOMONTH(K$5,0))&gt;0,"◆",""))</f>
        <v/>
      </c>
      <c r="L50" s="36" t="str">
        <f aca="false">IF($A50="","",IF(COUNTIFS(Milestones!$A$5:$A$104,$A50,Milestones!$D$5:$D$104,"&gt;="&amp;L$5,Milestones!$D$5:$D$104,"&lt;="&amp;EOMONTH(L$5,0))&gt;0,"◆",""))</f>
        <v/>
      </c>
      <c r="M50" s="36" t="str">
        <f aca="false">IF($A50="","",IF(COUNTIFS(Milestones!$A$5:$A$104,$A50,Milestones!$D$5:$D$104,"&gt;="&amp;M$5,Milestones!$D$5:$D$104,"&lt;="&amp;EOMONTH(M$5,0))&gt;0,"◆",""))</f>
        <v/>
      </c>
      <c r="N50" s="36" t="str">
        <f aca="false">IF($A50="","",IF(COUNTIFS(Milestones!$A$5:$A$104,$A50,Milestones!$D$5:$D$104,"&gt;="&amp;N$5,Milestones!$D$5:$D$104,"&lt;="&amp;EOMONTH(N$5,0))&gt;0,"◆",""))</f>
        <v/>
      </c>
      <c r="O50" s="36" t="str">
        <f aca="false">IF($A50="","",IF(COUNTIFS(Milestones!$A$5:$A$104,$A50,Milestones!$D$5:$D$104,"&gt;="&amp;O$5,Milestones!$D$5:$D$104,"&lt;="&amp;EOMONTH(O$5,0))&gt;0,"◆",""))</f>
        <v/>
      </c>
      <c r="P50" s="36" t="str">
        <f aca="false">IF($A50="","",IF(COUNTIFS(Milestones!$A$5:$A$104,$A50,Milestones!$D$5:$D$104,"&gt;="&amp;P$5,Milestones!$D$5:$D$104,"&lt;="&amp;EOMONTH(P$5,0))&gt;0,"◆",""))</f>
        <v/>
      </c>
      <c r="Q50" s="36" t="str">
        <f aca="false">IF($A50="","",IF(COUNTIFS(Milestones!$A$5:$A$104,$A50,Milestones!$D$5:$D$104,"&gt;="&amp;Q$5,Milestones!$D$5:$D$104,"&lt;="&amp;EOMONTH(Q$5,0))&gt;0,"◆",""))</f>
        <v/>
      </c>
      <c r="R50" s="36" t="str">
        <f aca="false">IF($A50="","",IF(COUNTIFS(Milestones!$A$5:$A$104,$A50,Milestones!$D$5:$D$104,"&gt;="&amp;R$5,Milestones!$D$5:$D$104,"&lt;="&amp;EOMONTH(R$5,0))&gt;0,"◆",""))</f>
        <v/>
      </c>
    </row>
    <row r="51" customFormat="false" ht="15" hidden="false" customHeight="false" outlineLevel="0" collapsed="false">
      <c r="A51" s="26" t="str">
        <f aca="false">IF(Projects!$A50="","",Projects!$A50)</f>
        <v/>
      </c>
      <c r="B51" s="26" t="str">
        <f aca="false">IF(Projects!$A50="","",Projects!$B50)</f>
        <v/>
      </c>
      <c r="C51" s="26" t="str">
        <f aca="false">IF(Projects!$A50="","",Projects!$E50)</f>
        <v/>
      </c>
      <c r="D51" s="26" t="str">
        <f aca="false">IF(Projects!$A50="","",Projects!$K50)</f>
        <v/>
      </c>
      <c r="E51" s="35" t="str">
        <f aca="false">IF(Projects!$A50="","",Projects!$I50)</f>
        <v/>
      </c>
      <c r="F51" s="35" t="str">
        <f aca="false">IF(Projects!$A50="","",Projects!$J50)</f>
        <v/>
      </c>
      <c r="G51" s="36" t="str">
        <f aca="false">IF($A51="","",IF(COUNTIFS(Milestones!$A$5:$A$104,$A51,Milestones!$D$5:$D$104,"&gt;="&amp;G$5,Milestones!$D$5:$D$104,"&lt;="&amp;EOMONTH(G$5,0))&gt;0,"◆",""))</f>
        <v/>
      </c>
      <c r="H51" s="36" t="str">
        <f aca="false">IF($A51="","",IF(COUNTIFS(Milestones!$A$5:$A$104,$A51,Milestones!$D$5:$D$104,"&gt;="&amp;H$5,Milestones!$D$5:$D$104,"&lt;="&amp;EOMONTH(H$5,0))&gt;0,"◆",""))</f>
        <v/>
      </c>
      <c r="I51" s="36" t="str">
        <f aca="false">IF($A51="","",IF(COUNTIFS(Milestones!$A$5:$A$104,$A51,Milestones!$D$5:$D$104,"&gt;="&amp;I$5,Milestones!$D$5:$D$104,"&lt;="&amp;EOMONTH(I$5,0))&gt;0,"◆",""))</f>
        <v/>
      </c>
      <c r="J51" s="36" t="str">
        <f aca="false">IF($A51="","",IF(COUNTIFS(Milestones!$A$5:$A$104,$A51,Milestones!$D$5:$D$104,"&gt;="&amp;J$5,Milestones!$D$5:$D$104,"&lt;="&amp;EOMONTH(J$5,0))&gt;0,"◆",""))</f>
        <v/>
      </c>
      <c r="K51" s="36" t="str">
        <f aca="false">IF($A51="","",IF(COUNTIFS(Milestones!$A$5:$A$104,$A51,Milestones!$D$5:$D$104,"&gt;="&amp;K$5,Milestones!$D$5:$D$104,"&lt;="&amp;EOMONTH(K$5,0))&gt;0,"◆",""))</f>
        <v/>
      </c>
      <c r="L51" s="36" t="str">
        <f aca="false">IF($A51="","",IF(COUNTIFS(Milestones!$A$5:$A$104,$A51,Milestones!$D$5:$D$104,"&gt;="&amp;L$5,Milestones!$D$5:$D$104,"&lt;="&amp;EOMONTH(L$5,0))&gt;0,"◆",""))</f>
        <v/>
      </c>
      <c r="M51" s="36" t="str">
        <f aca="false">IF($A51="","",IF(COUNTIFS(Milestones!$A$5:$A$104,$A51,Milestones!$D$5:$D$104,"&gt;="&amp;M$5,Milestones!$D$5:$D$104,"&lt;="&amp;EOMONTH(M$5,0))&gt;0,"◆",""))</f>
        <v/>
      </c>
      <c r="N51" s="36" t="str">
        <f aca="false">IF($A51="","",IF(COUNTIFS(Milestones!$A$5:$A$104,$A51,Milestones!$D$5:$D$104,"&gt;="&amp;N$5,Milestones!$D$5:$D$104,"&lt;="&amp;EOMONTH(N$5,0))&gt;0,"◆",""))</f>
        <v/>
      </c>
      <c r="O51" s="36" t="str">
        <f aca="false">IF($A51="","",IF(COUNTIFS(Milestones!$A$5:$A$104,$A51,Milestones!$D$5:$D$104,"&gt;="&amp;O$5,Milestones!$D$5:$D$104,"&lt;="&amp;EOMONTH(O$5,0))&gt;0,"◆",""))</f>
        <v/>
      </c>
      <c r="P51" s="36" t="str">
        <f aca="false">IF($A51="","",IF(COUNTIFS(Milestones!$A$5:$A$104,$A51,Milestones!$D$5:$D$104,"&gt;="&amp;P$5,Milestones!$D$5:$D$104,"&lt;="&amp;EOMONTH(P$5,0))&gt;0,"◆",""))</f>
        <v/>
      </c>
      <c r="Q51" s="36" t="str">
        <f aca="false">IF($A51="","",IF(COUNTIFS(Milestones!$A$5:$A$104,$A51,Milestones!$D$5:$D$104,"&gt;="&amp;Q$5,Milestones!$D$5:$D$104,"&lt;="&amp;EOMONTH(Q$5,0))&gt;0,"◆",""))</f>
        <v/>
      </c>
      <c r="R51" s="36" t="str">
        <f aca="false">IF($A51="","",IF(COUNTIFS(Milestones!$A$5:$A$104,$A51,Milestones!$D$5:$D$104,"&gt;="&amp;R$5,Milestones!$D$5:$D$104,"&lt;="&amp;EOMONTH(R$5,0))&gt;0,"◆",""))</f>
        <v/>
      </c>
    </row>
    <row r="52" customFormat="false" ht="15" hidden="false" customHeight="false" outlineLevel="0" collapsed="false">
      <c r="A52" s="26" t="str">
        <f aca="false">IF(Projects!$A51="","",Projects!$A51)</f>
        <v/>
      </c>
      <c r="B52" s="26" t="str">
        <f aca="false">IF(Projects!$A51="","",Projects!$B51)</f>
        <v/>
      </c>
      <c r="C52" s="26" t="str">
        <f aca="false">IF(Projects!$A51="","",Projects!$E51)</f>
        <v/>
      </c>
      <c r="D52" s="26" t="str">
        <f aca="false">IF(Projects!$A51="","",Projects!$K51)</f>
        <v/>
      </c>
      <c r="E52" s="35" t="str">
        <f aca="false">IF(Projects!$A51="","",Projects!$I51)</f>
        <v/>
      </c>
      <c r="F52" s="35" t="str">
        <f aca="false">IF(Projects!$A51="","",Projects!$J51)</f>
        <v/>
      </c>
      <c r="G52" s="36" t="str">
        <f aca="false">IF($A52="","",IF(COUNTIFS(Milestones!$A$5:$A$104,$A52,Milestones!$D$5:$D$104,"&gt;="&amp;G$5,Milestones!$D$5:$D$104,"&lt;="&amp;EOMONTH(G$5,0))&gt;0,"◆",""))</f>
        <v/>
      </c>
      <c r="H52" s="36" t="str">
        <f aca="false">IF($A52="","",IF(COUNTIFS(Milestones!$A$5:$A$104,$A52,Milestones!$D$5:$D$104,"&gt;="&amp;H$5,Milestones!$D$5:$D$104,"&lt;="&amp;EOMONTH(H$5,0))&gt;0,"◆",""))</f>
        <v/>
      </c>
      <c r="I52" s="36" t="str">
        <f aca="false">IF($A52="","",IF(COUNTIFS(Milestones!$A$5:$A$104,$A52,Milestones!$D$5:$D$104,"&gt;="&amp;I$5,Milestones!$D$5:$D$104,"&lt;="&amp;EOMONTH(I$5,0))&gt;0,"◆",""))</f>
        <v/>
      </c>
      <c r="J52" s="36" t="str">
        <f aca="false">IF($A52="","",IF(COUNTIFS(Milestones!$A$5:$A$104,$A52,Milestones!$D$5:$D$104,"&gt;="&amp;J$5,Milestones!$D$5:$D$104,"&lt;="&amp;EOMONTH(J$5,0))&gt;0,"◆",""))</f>
        <v/>
      </c>
      <c r="K52" s="36" t="str">
        <f aca="false">IF($A52="","",IF(COUNTIFS(Milestones!$A$5:$A$104,$A52,Milestones!$D$5:$D$104,"&gt;="&amp;K$5,Milestones!$D$5:$D$104,"&lt;="&amp;EOMONTH(K$5,0))&gt;0,"◆",""))</f>
        <v/>
      </c>
      <c r="L52" s="36" t="str">
        <f aca="false">IF($A52="","",IF(COUNTIFS(Milestones!$A$5:$A$104,$A52,Milestones!$D$5:$D$104,"&gt;="&amp;L$5,Milestones!$D$5:$D$104,"&lt;="&amp;EOMONTH(L$5,0))&gt;0,"◆",""))</f>
        <v/>
      </c>
      <c r="M52" s="36" t="str">
        <f aca="false">IF($A52="","",IF(COUNTIFS(Milestones!$A$5:$A$104,$A52,Milestones!$D$5:$D$104,"&gt;="&amp;M$5,Milestones!$D$5:$D$104,"&lt;="&amp;EOMONTH(M$5,0))&gt;0,"◆",""))</f>
        <v/>
      </c>
      <c r="N52" s="36" t="str">
        <f aca="false">IF($A52="","",IF(COUNTIFS(Milestones!$A$5:$A$104,$A52,Milestones!$D$5:$D$104,"&gt;="&amp;N$5,Milestones!$D$5:$D$104,"&lt;="&amp;EOMONTH(N$5,0))&gt;0,"◆",""))</f>
        <v/>
      </c>
      <c r="O52" s="36" t="str">
        <f aca="false">IF($A52="","",IF(COUNTIFS(Milestones!$A$5:$A$104,$A52,Milestones!$D$5:$D$104,"&gt;="&amp;O$5,Milestones!$D$5:$D$104,"&lt;="&amp;EOMONTH(O$5,0))&gt;0,"◆",""))</f>
        <v/>
      </c>
      <c r="P52" s="36" t="str">
        <f aca="false">IF($A52="","",IF(COUNTIFS(Milestones!$A$5:$A$104,$A52,Milestones!$D$5:$D$104,"&gt;="&amp;P$5,Milestones!$D$5:$D$104,"&lt;="&amp;EOMONTH(P$5,0))&gt;0,"◆",""))</f>
        <v/>
      </c>
      <c r="Q52" s="36" t="str">
        <f aca="false">IF($A52="","",IF(COUNTIFS(Milestones!$A$5:$A$104,$A52,Milestones!$D$5:$D$104,"&gt;="&amp;Q$5,Milestones!$D$5:$D$104,"&lt;="&amp;EOMONTH(Q$5,0))&gt;0,"◆",""))</f>
        <v/>
      </c>
      <c r="R52" s="36" t="str">
        <f aca="false">IF($A52="","",IF(COUNTIFS(Milestones!$A$5:$A$104,$A52,Milestones!$D$5:$D$104,"&gt;="&amp;R$5,Milestones!$D$5:$D$104,"&lt;="&amp;EOMONTH(R$5,0))&gt;0,"◆",""))</f>
        <v/>
      </c>
    </row>
    <row r="53" customFormat="false" ht="15" hidden="false" customHeight="false" outlineLevel="0" collapsed="false">
      <c r="A53" s="26" t="str">
        <f aca="false">IF(Projects!$A52="","",Projects!$A52)</f>
        <v/>
      </c>
      <c r="B53" s="26" t="str">
        <f aca="false">IF(Projects!$A52="","",Projects!$B52)</f>
        <v/>
      </c>
      <c r="C53" s="26" t="str">
        <f aca="false">IF(Projects!$A52="","",Projects!$E52)</f>
        <v/>
      </c>
      <c r="D53" s="26" t="str">
        <f aca="false">IF(Projects!$A52="","",Projects!$K52)</f>
        <v/>
      </c>
      <c r="E53" s="35" t="str">
        <f aca="false">IF(Projects!$A52="","",Projects!$I52)</f>
        <v/>
      </c>
      <c r="F53" s="35" t="str">
        <f aca="false">IF(Projects!$A52="","",Projects!$J52)</f>
        <v/>
      </c>
      <c r="G53" s="36" t="str">
        <f aca="false">IF($A53="","",IF(COUNTIFS(Milestones!$A$5:$A$104,$A53,Milestones!$D$5:$D$104,"&gt;="&amp;G$5,Milestones!$D$5:$D$104,"&lt;="&amp;EOMONTH(G$5,0))&gt;0,"◆",""))</f>
        <v/>
      </c>
      <c r="H53" s="36" t="str">
        <f aca="false">IF($A53="","",IF(COUNTIFS(Milestones!$A$5:$A$104,$A53,Milestones!$D$5:$D$104,"&gt;="&amp;H$5,Milestones!$D$5:$D$104,"&lt;="&amp;EOMONTH(H$5,0))&gt;0,"◆",""))</f>
        <v/>
      </c>
      <c r="I53" s="36" t="str">
        <f aca="false">IF($A53="","",IF(COUNTIFS(Milestones!$A$5:$A$104,$A53,Milestones!$D$5:$D$104,"&gt;="&amp;I$5,Milestones!$D$5:$D$104,"&lt;="&amp;EOMONTH(I$5,0))&gt;0,"◆",""))</f>
        <v/>
      </c>
      <c r="J53" s="36" t="str">
        <f aca="false">IF($A53="","",IF(COUNTIFS(Milestones!$A$5:$A$104,$A53,Milestones!$D$5:$D$104,"&gt;="&amp;J$5,Milestones!$D$5:$D$104,"&lt;="&amp;EOMONTH(J$5,0))&gt;0,"◆",""))</f>
        <v/>
      </c>
      <c r="K53" s="36" t="str">
        <f aca="false">IF($A53="","",IF(COUNTIFS(Milestones!$A$5:$A$104,$A53,Milestones!$D$5:$D$104,"&gt;="&amp;K$5,Milestones!$D$5:$D$104,"&lt;="&amp;EOMONTH(K$5,0))&gt;0,"◆",""))</f>
        <v/>
      </c>
      <c r="L53" s="36" t="str">
        <f aca="false">IF($A53="","",IF(COUNTIFS(Milestones!$A$5:$A$104,$A53,Milestones!$D$5:$D$104,"&gt;="&amp;L$5,Milestones!$D$5:$D$104,"&lt;="&amp;EOMONTH(L$5,0))&gt;0,"◆",""))</f>
        <v/>
      </c>
      <c r="M53" s="36" t="str">
        <f aca="false">IF($A53="","",IF(COUNTIFS(Milestones!$A$5:$A$104,$A53,Milestones!$D$5:$D$104,"&gt;="&amp;M$5,Milestones!$D$5:$D$104,"&lt;="&amp;EOMONTH(M$5,0))&gt;0,"◆",""))</f>
        <v/>
      </c>
      <c r="N53" s="36" t="str">
        <f aca="false">IF($A53="","",IF(COUNTIFS(Milestones!$A$5:$A$104,$A53,Milestones!$D$5:$D$104,"&gt;="&amp;N$5,Milestones!$D$5:$D$104,"&lt;="&amp;EOMONTH(N$5,0))&gt;0,"◆",""))</f>
        <v/>
      </c>
      <c r="O53" s="36" t="str">
        <f aca="false">IF($A53="","",IF(COUNTIFS(Milestones!$A$5:$A$104,$A53,Milestones!$D$5:$D$104,"&gt;="&amp;O$5,Milestones!$D$5:$D$104,"&lt;="&amp;EOMONTH(O$5,0))&gt;0,"◆",""))</f>
        <v/>
      </c>
      <c r="P53" s="36" t="str">
        <f aca="false">IF($A53="","",IF(COUNTIFS(Milestones!$A$5:$A$104,$A53,Milestones!$D$5:$D$104,"&gt;="&amp;P$5,Milestones!$D$5:$D$104,"&lt;="&amp;EOMONTH(P$5,0))&gt;0,"◆",""))</f>
        <v/>
      </c>
      <c r="Q53" s="36" t="str">
        <f aca="false">IF($A53="","",IF(COUNTIFS(Milestones!$A$5:$A$104,$A53,Milestones!$D$5:$D$104,"&gt;="&amp;Q$5,Milestones!$D$5:$D$104,"&lt;="&amp;EOMONTH(Q$5,0))&gt;0,"◆",""))</f>
        <v/>
      </c>
      <c r="R53" s="36" t="str">
        <f aca="false">IF($A53="","",IF(COUNTIFS(Milestones!$A$5:$A$104,$A53,Milestones!$D$5:$D$104,"&gt;="&amp;R$5,Milestones!$D$5:$D$104,"&lt;="&amp;EOMONTH(R$5,0))&gt;0,"◆",""))</f>
        <v/>
      </c>
    </row>
    <row r="54" customFormat="false" ht="15" hidden="false" customHeight="false" outlineLevel="0" collapsed="false">
      <c r="A54" s="26" t="str">
        <f aca="false">IF(Projects!$A53="","",Projects!$A53)</f>
        <v/>
      </c>
      <c r="B54" s="26" t="str">
        <f aca="false">IF(Projects!$A53="","",Projects!$B53)</f>
        <v/>
      </c>
      <c r="C54" s="26" t="str">
        <f aca="false">IF(Projects!$A53="","",Projects!$E53)</f>
        <v/>
      </c>
      <c r="D54" s="26" t="str">
        <f aca="false">IF(Projects!$A53="","",Projects!$K53)</f>
        <v/>
      </c>
      <c r="E54" s="35" t="str">
        <f aca="false">IF(Projects!$A53="","",Projects!$I53)</f>
        <v/>
      </c>
      <c r="F54" s="35" t="str">
        <f aca="false">IF(Projects!$A53="","",Projects!$J53)</f>
        <v/>
      </c>
      <c r="G54" s="36" t="str">
        <f aca="false">IF($A54="","",IF(COUNTIFS(Milestones!$A$5:$A$104,$A54,Milestones!$D$5:$D$104,"&gt;="&amp;G$5,Milestones!$D$5:$D$104,"&lt;="&amp;EOMONTH(G$5,0))&gt;0,"◆",""))</f>
        <v/>
      </c>
      <c r="H54" s="36" t="str">
        <f aca="false">IF($A54="","",IF(COUNTIFS(Milestones!$A$5:$A$104,$A54,Milestones!$D$5:$D$104,"&gt;="&amp;H$5,Milestones!$D$5:$D$104,"&lt;="&amp;EOMONTH(H$5,0))&gt;0,"◆",""))</f>
        <v/>
      </c>
      <c r="I54" s="36" t="str">
        <f aca="false">IF($A54="","",IF(COUNTIFS(Milestones!$A$5:$A$104,$A54,Milestones!$D$5:$D$104,"&gt;="&amp;I$5,Milestones!$D$5:$D$104,"&lt;="&amp;EOMONTH(I$5,0))&gt;0,"◆",""))</f>
        <v/>
      </c>
      <c r="J54" s="36" t="str">
        <f aca="false">IF($A54="","",IF(COUNTIFS(Milestones!$A$5:$A$104,$A54,Milestones!$D$5:$D$104,"&gt;="&amp;J$5,Milestones!$D$5:$D$104,"&lt;="&amp;EOMONTH(J$5,0))&gt;0,"◆",""))</f>
        <v/>
      </c>
      <c r="K54" s="36" t="str">
        <f aca="false">IF($A54="","",IF(COUNTIFS(Milestones!$A$5:$A$104,$A54,Milestones!$D$5:$D$104,"&gt;="&amp;K$5,Milestones!$D$5:$D$104,"&lt;="&amp;EOMONTH(K$5,0))&gt;0,"◆",""))</f>
        <v/>
      </c>
      <c r="L54" s="36" t="str">
        <f aca="false">IF($A54="","",IF(COUNTIFS(Milestones!$A$5:$A$104,$A54,Milestones!$D$5:$D$104,"&gt;="&amp;L$5,Milestones!$D$5:$D$104,"&lt;="&amp;EOMONTH(L$5,0))&gt;0,"◆",""))</f>
        <v/>
      </c>
      <c r="M54" s="36" t="str">
        <f aca="false">IF($A54="","",IF(COUNTIFS(Milestones!$A$5:$A$104,$A54,Milestones!$D$5:$D$104,"&gt;="&amp;M$5,Milestones!$D$5:$D$104,"&lt;="&amp;EOMONTH(M$5,0))&gt;0,"◆",""))</f>
        <v/>
      </c>
      <c r="N54" s="36" t="str">
        <f aca="false">IF($A54="","",IF(COUNTIFS(Milestones!$A$5:$A$104,$A54,Milestones!$D$5:$D$104,"&gt;="&amp;N$5,Milestones!$D$5:$D$104,"&lt;="&amp;EOMONTH(N$5,0))&gt;0,"◆",""))</f>
        <v/>
      </c>
      <c r="O54" s="36" t="str">
        <f aca="false">IF($A54="","",IF(COUNTIFS(Milestones!$A$5:$A$104,$A54,Milestones!$D$5:$D$104,"&gt;="&amp;O$5,Milestones!$D$5:$D$104,"&lt;="&amp;EOMONTH(O$5,0))&gt;0,"◆",""))</f>
        <v/>
      </c>
      <c r="P54" s="36" t="str">
        <f aca="false">IF($A54="","",IF(COUNTIFS(Milestones!$A$5:$A$104,$A54,Milestones!$D$5:$D$104,"&gt;="&amp;P$5,Milestones!$D$5:$D$104,"&lt;="&amp;EOMONTH(P$5,0))&gt;0,"◆",""))</f>
        <v/>
      </c>
      <c r="Q54" s="36" t="str">
        <f aca="false">IF($A54="","",IF(COUNTIFS(Milestones!$A$5:$A$104,$A54,Milestones!$D$5:$D$104,"&gt;="&amp;Q$5,Milestones!$D$5:$D$104,"&lt;="&amp;EOMONTH(Q$5,0))&gt;0,"◆",""))</f>
        <v/>
      </c>
      <c r="R54" s="36" t="str">
        <f aca="false">IF($A54="","",IF(COUNTIFS(Milestones!$A$5:$A$104,$A54,Milestones!$D$5:$D$104,"&gt;="&amp;R$5,Milestones!$D$5:$D$104,"&lt;="&amp;EOMONTH(R$5,0))&gt;0,"◆",""))</f>
        <v/>
      </c>
    </row>
    <row r="55" customFormat="false" ht="15" hidden="false" customHeight="false" outlineLevel="0" collapsed="false">
      <c r="A55" s="26" t="str">
        <f aca="false">IF(Projects!$A54="","",Projects!$A54)</f>
        <v/>
      </c>
      <c r="B55" s="26" t="str">
        <f aca="false">IF(Projects!$A54="","",Projects!$B54)</f>
        <v/>
      </c>
      <c r="C55" s="26" t="str">
        <f aca="false">IF(Projects!$A54="","",Projects!$E54)</f>
        <v/>
      </c>
      <c r="D55" s="26" t="str">
        <f aca="false">IF(Projects!$A54="","",Projects!$K54)</f>
        <v/>
      </c>
      <c r="E55" s="35" t="str">
        <f aca="false">IF(Projects!$A54="","",Projects!$I54)</f>
        <v/>
      </c>
      <c r="F55" s="35" t="str">
        <f aca="false">IF(Projects!$A54="","",Projects!$J54)</f>
        <v/>
      </c>
      <c r="G55" s="36" t="str">
        <f aca="false">IF($A55="","",IF(COUNTIFS(Milestones!$A$5:$A$104,$A55,Milestones!$D$5:$D$104,"&gt;="&amp;G$5,Milestones!$D$5:$D$104,"&lt;="&amp;EOMONTH(G$5,0))&gt;0,"◆",""))</f>
        <v/>
      </c>
      <c r="H55" s="36" t="str">
        <f aca="false">IF($A55="","",IF(COUNTIFS(Milestones!$A$5:$A$104,$A55,Milestones!$D$5:$D$104,"&gt;="&amp;H$5,Milestones!$D$5:$D$104,"&lt;="&amp;EOMONTH(H$5,0))&gt;0,"◆",""))</f>
        <v/>
      </c>
      <c r="I55" s="36" t="str">
        <f aca="false">IF($A55="","",IF(COUNTIFS(Milestones!$A$5:$A$104,$A55,Milestones!$D$5:$D$104,"&gt;="&amp;I$5,Milestones!$D$5:$D$104,"&lt;="&amp;EOMONTH(I$5,0))&gt;0,"◆",""))</f>
        <v/>
      </c>
      <c r="J55" s="36" t="str">
        <f aca="false">IF($A55="","",IF(COUNTIFS(Milestones!$A$5:$A$104,$A55,Milestones!$D$5:$D$104,"&gt;="&amp;J$5,Milestones!$D$5:$D$104,"&lt;="&amp;EOMONTH(J$5,0))&gt;0,"◆",""))</f>
        <v/>
      </c>
      <c r="K55" s="36" t="str">
        <f aca="false">IF($A55="","",IF(COUNTIFS(Milestones!$A$5:$A$104,$A55,Milestones!$D$5:$D$104,"&gt;="&amp;K$5,Milestones!$D$5:$D$104,"&lt;="&amp;EOMONTH(K$5,0))&gt;0,"◆",""))</f>
        <v/>
      </c>
      <c r="L55" s="36" t="str">
        <f aca="false">IF($A55="","",IF(COUNTIFS(Milestones!$A$5:$A$104,$A55,Milestones!$D$5:$D$104,"&gt;="&amp;L$5,Milestones!$D$5:$D$104,"&lt;="&amp;EOMONTH(L$5,0))&gt;0,"◆",""))</f>
        <v/>
      </c>
      <c r="M55" s="36" t="str">
        <f aca="false">IF($A55="","",IF(COUNTIFS(Milestones!$A$5:$A$104,$A55,Milestones!$D$5:$D$104,"&gt;="&amp;M$5,Milestones!$D$5:$D$104,"&lt;="&amp;EOMONTH(M$5,0))&gt;0,"◆",""))</f>
        <v/>
      </c>
      <c r="N55" s="36" t="str">
        <f aca="false">IF($A55="","",IF(COUNTIFS(Milestones!$A$5:$A$104,$A55,Milestones!$D$5:$D$104,"&gt;="&amp;N$5,Milestones!$D$5:$D$104,"&lt;="&amp;EOMONTH(N$5,0))&gt;0,"◆",""))</f>
        <v/>
      </c>
      <c r="O55" s="36" t="str">
        <f aca="false">IF($A55="","",IF(COUNTIFS(Milestones!$A$5:$A$104,$A55,Milestones!$D$5:$D$104,"&gt;="&amp;O$5,Milestones!$D$5:$D$104,"&lt;="&amp;EOMONTH(O$5,0))&gt;0,"◆",""))</f>
        <v/>
      </c>
      <c r="P55" s="36" t="str">
        <f aca="false">IF($A55="","",IF(COUNTIFS(Milestones!$A$5:$A$104,$A55,Milestones!$D$5:$D$104,"&gt;="&amp;P$5,Milestones!$D$5:$D$104,"&lt;="&amp;EOMONTH(P$5,0))&gt;0,"◆",""))</f>
        <v/>
      </c>
      <c r="Q55" s="36" t="str">
        <f aca="false">IF($A55="","",IF(COUNTIFS(Milestones!$A$5:$A$104,$A55,Milestones!$D$5:$D$104,"&gt;="&amp;Q$5,Milestones!$D$5:$D$104,"&lt;="&amp;EOMONTH(Q$5,0))&gt;0,"◆",""))</f>
        <v/>
      </c>
      <c r="R55" s="36" t="str">
        <f aca="false">IF($A55="","",IF(COUNTIFS(Milestones!$A$5:$A$104,$A55,Milestones!$D$5:$D$104,"&gt;="&amp;R$5,Milestones!$D$5:$D$104,"&lt;="&amp;EOMONTH(R$5,0))&gt;0,"◆",""))</f>
        <v/>
      </c>
    </row>
  </sheetData>
  <conditionalFormatting sqref="G6:R55">
    <cfRule type="expression" priority="2" aboveAverage="0" equalAverage="0" bottom="0" percent="0" rank="0" text="" dxfId="11">
      <formula>AND($E6&lt;&gt;"",$F6&lt;&gt;"",$E6&lt;=EOMONTH(G$5,0),$F6&gt;=G$5)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11"/>
    <col collapsed="false" customWidth="true" hidden="false" outlineLevel="0" max="16" min="16" style="0" width="70"/>
  </cols>
  <sheetData>
    <row r="1" customFormat="false" ht="17.35" hidden="false" customHeight="false" outlineLevel="0" collapsed="false">
      <c r="A1" s="9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10" t="s">
        <v>135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0" hidden="false" customHeight="true" outlineLevel="0" collapsed="false">
      <c r="A4" s="17" t="s">
        <v>136</v>
      </c>
      <c r="B4" s="17" t="s">
        <v>59</v>
      </c>
      <c r="C4" s="17" t="s">
        <v>137</v>
      </c>
      <c r="D4" s="17" t="s">
        <v>138</v>
      </c>
      <c r="E4" s="17" t="s">
        <v>139</v>
      </c>
      <c r="F4" s="17" t="s">
        <v>140</v>
      </c>
      <c r="G4" s="17" t="s">
        <v>141</v>
      </c>
      <c r="H4" s="17" t="s">
        <v>142</v>
      </c>
      <c r="I4" s="17" t="s">
        <v>143</v>
      </c>
      <c r="J4" s="17" t="s">
        <v>144</v>
      </c>
      <c r="K4" s="17" t="s">
        <v>145</v>
      </c>
      <c r="L4" s="17" t="s">
        <v>146</v>
      </c>
      <c r="M4" s="17" t="s">
        <v>147</v>
      </c>
      <c r="N4" s="17" t="s">
        <v>148</v>
      </c>
      <c r="O4" s="2"/>
      <c r="P4" s="4" t="s">
        <v>149</v>
      </c>
    </row>
    <row r="5" customFormat="false" ht="15" hidden="false" customHeight="false" outlineLevel="0" collapsed="false">
      <c r="A5" s="29" t="s">
        <v>110</v>
      </c>
      <c r="B5" s="29" t="s">
        <v>97</v>
      </c>
      <c r="C5" s="29" t="s">
        <v>150</v>
      </c>
      <c r="D5" s="29" t="s">
        <v>151</v>
      </c>
      <c r="E5" s="29" t="s">
        <v>152</v>
      </c>
      <c r="F5" s="29" t="s">
        <v>153</v>
      </c>
      <c r="G5" s="37" t="n">
        <v>0.8</v>
      </c>
      <c r="H5" s="29" t="n">
        <v>20</v>
      </c>
      <c r="I5" s="30"/>
      <c r="J5" s="30"/>
      <c r="K5" s="38" t="n">
        <v>15000</v>
      </c>
      <c r="L5" s="39" t="n">
        <f aca="false">IF(A5="","",Capacity!P70)</f>
        <v>8.82992329308119</v>
      </c>
      <c r="M5" s="39" t="n">
        <f aca="false">IF(A5="","",Capacity!P134)</f>
        <v>9.2</v>
      </c>
      <c r="N5" s="21" t="n">
        <f aca="false">IF(OR(A5="",L5=0),"",M5/L5)</f>
        <v>1.0419116559267</v>
      </c>
      <c r="O5" s="2"/>
      <c r="P5" s="40" t="s">
        <v>154</v>
      </c>
    </row>
    <row r="6" customFormat="false" ht="15" hidden="false" customHeight="false" outlineLevel="0" collapsed="false">
      <c r="A6" s="29" t="s">
        <v>128</v>
      </c>
      <c r="B6" s="29" t="s">
        <v>155</v>
      </c>
      <c r="C6" s="29" t="s">
        <v>150</v>
      </c>
      <c r="D6" s="29" t="s">
        <v>151</v>
      </c>
      <c r="E6" s="29" t="s">
        <v>156</v>
      </c>
      <c r="F6" s="29" t="s">
        <v>153</v>
      </c>
      <c r="G6" s="37" t="n">
        <v>0.85</v>
      </c>
      <c r="H6" s="29" t="n">
        <v>20</v>
      </c>
      <c r="I6" s="30"/>
      <c r="J6" s="30"/>
      <c r="K6" s="38" t="n">
        <v>12000</v>
      </c>
      <c r="L6" s="39" t="n">
        <f aca="false">IF(A6="","",Capacity!P71)</f>
        <v>9.38179349889876</v>
      </c>
      <c r="M6" s="39" t="n">
        <f aca="false">IF(A6="","",Capacity!P135)</f>
        <v>8.4</v>
      </c>
      <c r="N6" s="21" t="n">
        <f aca="false">IF(OR(A6="",L6=0),"",M6/L6)</f>
        <v>0.89535119281681</v>
      </c>
      <c r="O6" s="2"/>
      <c r="P6" s="40" t="s">
        <v>157</v>
      </c>
    </row>
    <row r="7" customFormat="false" ht="15" hidden="false" customHeight="false" outlineLevel="0" collapsed="false">
      <c r="A7" s="29" t="s">
        <v>158</v>
      </c>
      <c r="B7" s="29" t="s">
        <v>159</v>
      </c>
      <c r="C7" s="29" t="s">
        <v>160</v>
      </c>
      <c r="D7" s="29" t="s">
        <v>161</v>
      </c>
      <c r="E7" s="29" t="s">
        <v>162</v>
      </c>
      <c r="F7" s="29" t="s">
        <v>163</v>
      </c>
      <c r="G7" s="37" t="n">
        <v>0.9</v>
      </c>
      <c r="H7" s="29" t="n">
        <v>10</v>
      </c>
      <c r="I7" s="30"/>
      <c r="J7" s="30"/>
      <c r="K7" s="38" t="n">
        <v>14000</v>
      </c>
      <c r="L7" s="39" t="n">
        <f aca="false">IF(A7="","",Capacity!P72)</f>
        <v>10.3668318523582</v>
      </c>
      <c r="M7" s="39" t="n">
        <f aca="false">IF(A7="","",Capacity!P136)</f>
        <v>10.8</v>
      </c>
      <c r="N7" s="21" t="n">
        <f aca="false">IF(OR(A7="",L7=0),"",M7/L7)</f>
        <v>1.0417840429758</v>
      </c>
      <c r="O7" s="2"/>
      <c r="P7" s="40" t="s">
        <v>164</v>
      </c>
    </row>
    <row r="8" customFormat="false" ht="15" hidden="false" customHeight="false" outlineLevel="0" collapsed="false">
      <c r="A8" s="29" t="s">
        <v>165</v>
      </c>
      <c r="B8" s="29" t="s">
        <v>166</v>
      </c>
      <c r="C8" s="29" t="s">
        <v>160</v>
      </c>
      <c r="D8" s="29" t="s">
        <v>161</v>
      </c>
      <c r="E8" s="29" t="s">
        <v>167</v>
      </c>
      <c r="F8" s="29" t="s">
        <v>163</v>
      </c>
      <c r="G8" s="37" t="n">
        <v>0.9</v>
      </c>
      <c r="H8" s="29" t="n">
        <v>10</v>
      </c>
      <c r="I8" s="30"/>
      <c r="J8" s="30"/>
      <c r="K8" s="38" t="n">
        <v>14000</v>
      </c>
      <c r="L8" s="39" t="n">
        <f aca="false">IF(A8="","",Capacity!P73)</f>
        <v>10.3668318523582</v>
      </c>
      <c r="M8" s="39" t="n">
        <f aca="false">IF(A8="","",Capacity!P137)</f>
        <v>7.6</v>
      </c>
      <c r="N8" s="21" t="n">
        <f aca="false">IF(OR(A8="",L8=0),"",M8/L8)</f>
        <v>0.733107289501489</v>
      </c>
      <c r="O8" s="2"/>
      <c r="P8" s="40" t="s">
        <v>168</v>
      </c>
    </row>
    <row r="9" customFormat="false" ht="15" hidden="false" customHeight="false" outlineLevel="0" collapsed="false">
      <c r="A9" s="29" t="s">
        <v>169</v>
      </c>
      <c r="B9" s="29" t="s">
        <v>170</v>
      </c>
      <c r="C9" s="29" t="s">
        <v>160</v>
      </c>
      <c r="D9" s="29" t="s">
        <v>161</v>
      </c>
      <c r="E9" s="29" t="s">
        <v>171</v>
      </c>
      <c r="F9" s="29" t="s">
        <v>163</v>
      </c>
      <c r="G9" s="37" t="n">
        <v>0.9</v>
      </c>
      <c r="H9" s="29" t="n">
        <v>10</v>
      </c>
      <c r="I9" s="30"/>
      <c r="J9" s="30"/>
      <c r="K9" s="38" t="n">
        <v>11000</v>
      </c>
      <c r="L9" s="39" t="n">
        <f aca="false">IF(A9="","",Capacity!P74)</f>
        <v>10.3668318523582</v>
      </c>
      <c r="M9" s="39" t="n">
        <f aca="false">IF(A9="","",Capacity!P138)</f>
        <v>9</v>
      </c>
      <c r="N9" s="21" t="n">
        <f aca="false">IF(OR(A9="",L9=0),"",M9/L9)</f>
        <v>0.8681533691465</v>
      </c>
      <c r="O9" s="2"/>
      <c r="P9" s="2"/>
    </row>
    <row r="10" customFormat="false" ht="15" hidden="false" customHeight="false" outlineLevel="0" collapsed="false">
      <c r="A10" s="29" t="s">
        <v>172</v>
      </c>
      <c r="B10" s="29" t="s">
        <v>159</v>
      </c>
      <c r="C10" s="29" t="s">
        <v>173</v>
      </c>
      <c r="D10" s="29" t="s">
        <v>151</v>
      </c>
      <c r="E10" s="29" t="s">
        <v>174</v>
      </c>
      <c r="F10" s="29" t="s">
        <v>153</v>
      </c>
      <c r="G10" s="37" t="n">
        <v>0.85</v>
      </c>
      <c r="H10" s="29" t="n">
        <v>15</v>
      </c>
      <c r="I10" s="30" t="n">
        <v>46478</v>
      </c>
      <c r="J10" s="30"/>
      <c r="K10" s="38" t="n">
        <v>12000</v>
      </c>
      <c r="L10" s="39" t="n">
        <f aca="false">IF(A10="","",Capacity!P75)</f>
        <v>7.19648268398268</v>
      </c>
      <c r="M10" s="39" t="n">
        <f aca="false">IF(A10="","",Capacity!P139)</f>
        <v>7.2</v>
      </c>
      <c r="N10" s="21" t="n">
        <f aca="false">IF(OR(A10="",L10=0),"",M10/L10)</f>
        <v>1.00048875487815</v>
      </c>
      <c r="O10" s="2"/>
      <c r="P10" s="2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37"/>
      <c r="H11" s="29"/>
      <c r="I11" s="30"/>
      <c r="J11" s="30"/>
      <c r="K11" s="38"/>
      <c r="L11" s="39" t="str">
        <f aca="false">IF(A11="","",Capacity!P76)</f>
        <v/>
      </c>
      <c r="M11" s="39" t="str">
        <f aca="false">IF(A11="","",Capacity!P140)</f>
        <v/>
      </c>
      <c r="N11" s="21" t="str">
        <f aca="false">IF(OR(A11="",L11=0),"",M11/L11)</f>
        <v/>
      </c>
      <c r="O11" s="2"/>
      <c r="P11" s="2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37"/>
      <c r="H12" s="29"/>
      <c r="I12" s="30"/>
      <c r="J12" s="30"/>
      <c r="K12" s="38"/>
      <c r="L12" s="39" t="str">
        <f aca="false">IF(A12="","",Capacity!P77)</f>
        <v/>
      </c>
      <c r="M12" s="39" t="str">
        <f aca="false">IF(A12="","",Capacity!P141)</f>
        <v/>
      </c>
      <c r="N12" s="21" t="str">
        <f aca="false">IF(OR(A12="",L12=0),"",M12/L12)</f>
        <v/>
      </c>
      <c r="O12" s="2"/>
      <c r="P12" s="2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37"/>
      <c r="H13" s="29"/>
      <c r="I13" s="30"/>
      <c r="J13" s="30"/>
      <c r="K13" s="38"/>
      <c r="L13" s="39" t="str">
        <f aca="false">IF(A13="","",Capacity!P78)</f>
        <v/>
      </c>
      <c r="M13" s="39" t="str">
        <f aca="false">IF(A13="","",Capacity!P142)</f>
        <v/>
      </c>
      <c r="N13" s="21" t="str">
        <f aca="false">IF(OR(A13="",L13=0),"",M13/L13)</f>
        <v/>
      </c>
      <c r="O13" s="2"/>
      <c r="P13" s="2"/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  <c r="G14" s="37"/>
      <c r="H14" s="29"/>
      <c r="I14" s="30"/>
      <c r="J14" s="30"/>
      <c r="K14" s="38"/>
      <c r="L14" s="39" t="str">
        <f aca="false">IF(A14="","",Capacity!P79)</f>
        <v/>
      </c>
      <c r="M14" s="39" t="str">
        <f aca="false">IF(A14="","",Capacity!P143)</f>
        <v/>
      </c>
      <c r="N14" s="21" t="str">
        <f aca="false">IF(OR(A14="",L14=0),"",M14/L14)</f>
        <v/>
      </c>
      <c r="O14" s="2"/>
      <c r="P14" s="2"/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  <c r="G15" s="37"/>
      <c r="H15" s="29"/>
      <c r="I15" s="30"/>
      <c r="J15" s="30"/>
      <c r="K15" s="38"/>
      <c r="L15" s="39" t="str">
        <f aca="false">IF(A15="","",Capacity!P80)</f>
        <v/>
      </c>
      <c r="M15" s="39" t="str">
        <f aca="false">IF(A15="","",Capacity!P144)</f>
        <v/>
      </c>
      <c r="N15" s="21" t="str">
        <f aca="false">IF(OR(A15="",L15=0),"",M15/L15)</f>
        <v/>
      </c>
      <c r="O15" s="2"/>
      <c r="P15" s="2"/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9"/>
      <c r="G16" s="37"/>
      <c r="H16" s="29"/>
      <c r="I16" s="30"/>
      <c r="J16" s="30"/>
      <c r="K16" s="38"/>
      <c r="L16" s="39" t="str">
        <f aca="false">IF(A16="","",Capacity!P81)</f>
        <v/>
      </c>
      <c r="M16" s="39" t="str">
        <f aca="false">IF(A16="","",Capacity!P145)</f>
        <v/>
      </c>
      <c r="N16" s="21" t="str">
        <f aca="false">IF(OR(A16="",L16=0),"",M16/L16)</f>
        <v/>
      </c>
      <c r="O16" s="2"/>
      <c r="P16" s="2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37"/>
      <c r="H17" s="29"/>
      <c r="I17" s="30"/>
      <c r="J17" s="30"/>
      <c r="K17" s="38"/>
      <c r="L17" s="39" t="str">
        <f aca="false">IF(A17="","",Capacity!P82)</f>
        <v/>
      </c>
      <c r="M17" s="39" t="str">
        <f aca="false">IF(A17="","",Capacity!P146)</f>
        <v/>
      </c>
      <c r="N17" s="21" t="str">
        <f aca="false">IF(OR(A17="",L17=0),"",M17/L17)</f>
        <v/>
      </c>
      <c r="O17" s="2"/>
      <c r="P17" s="2"/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9"/>
      <c r="G18" s="37"/>
      <c r="H18" s="29"/>
      <c r="I18" s="30"/>
      <c r="J18" s="30"/>
      <c r="K18" s="38"/>
      <c r="L18" s="39" t="str">
        <f aca="false">IF(A18="","",Capacity!P83)</f>
        <v/>
      </c>
      <c r="M18" s="39" t="str">
        <f aca="false">IF(A18="","",Capacity!P147)</f>
        <v/>
      </c>
      <c r="N18" s="21" t="str">
        <f aca="false">IF(OR(A18="",L18=0),"",M18/L18)</f>
        <v/>
      </c>
      <c r="O18" s="2"/>
      <c r="P18" s="2"/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  <c r="G19" s="37"/>
      <c r="H19" s="29"/>
      <c r="I19" s="30"/>
      <c r="J19" s="30"/>
      <c r="K19" s="38"/>
      <c r="L19" s="39" t="str">
        <f aca="false">IF(A19="","",Capacity!P84)</f>
        <v/>
      </c>
      <c r="M19" s="39" t="str">
        <f aca="false">IF(A19="","",Capacity!P148)</f>
        <v/>
      </c>
      <c r="N19" s="21" t="str">
        <f aca="false">IF(OR(A19="",L19=0),"",M19/L19)</f>
        <v/>
      </c>
      <c r="O19" s="2"/>
      <c r="P19" s="2"/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9"/>
      <c r="G20" s="37"/>
      <c r="H20" s="29"/>
      <c r="I20" s="30"/>
      <c r="J20" s="30"/>
      <c r="K20" s="38"/>
      <c r="L20" s="39" t="str">
        <f aca="false">IF(A20="","",Capacity!P85)</f>
        <v/>
      </c>
      <c r="M20" s="39" t="str">
        <f aca="false">IF(A20="","",Capacity!P149)</f>
        <v/>
      </c>
      <c r="N20" s="21" t="str">
        <f aca="false">IF(OR(A20="",L20=0),"",M20/L20)</f>
        <v/>
      </c>
      <c r="O20" s="2"/>
      <c r="P20" s="2"/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  <c r="G21" s="37"/>
      <c r="H21" s="29"/>
      <c r="I21" s="30"/>
      <c r="J21" s="30"/>
      <c r="K21" s="38"/>
      <c r="L21" s="39" t="str">
        <f aca="false">IF(A21="","",Capacity!P86)</f>
        <v/>
      </c>
      <c r="M21" s="39" t="str">
        <f aca="false">IF(A21="","",Capacity!P150)</f>
        <v/>
      </c>
      <c r="N21" s="21" t="str">
        <f aca="false">IF(OR(A21="",L21=0),"",M21/L21)</f>
        <v/>
      </c>
      <c r="O21" s="2"/>
      <c r="P21" s="2"/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  <c r="G22" s="37"/>
      <c r="H22" s="29"/>
      <c r="I22" s="30"/>
      <c r="J22" s="30"/>
      <c r="K22" s="38"/>
      <c r="L22" s="39" t="str">
        <f aca="false">IF(A22="","",Capacity!P87)</f>
        <v/>
      </c>
      <c r="M22" s="39" t="str">
        <f aca="false">IF(A22="","",Capacity!P151)</f>
        <v/>
      </c>
      <c r="N22" s="21" t="str">
        <f aca="false">IF(OR(A22="",L22=0),"",M22/L22)</f>
        <v/>
      </c>
      <c r="O22" s="2"/>
      <c r="P22" s="2"/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37"/>
      <c r="H23" s="29"/>
      <c r="I23" s="30"/>
      <c r="J23" s="30"/>
      <c r="K23" s="38"/>
      <c r="L23" s="39" t="str">
        <f aca="false">IF(A23="","",Capacity!P88)</f>
        <v/>
      </c>
      <c r="M23" s="39" t="str">
        <f aca="false">IF(A23="","",Capacity!P152)</f>
        <v/>
      </c>
      <c r="N23" s="21" t="str">
        <f aca="false">IF(OR(A23="",L23=0),"",M23/L23)</f>
        <v/>
      </c>
      <c r="O23" s="2"/>
      <c r="P23" s="2"/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  <c r="G24" s="37"/>
      <c r="H24" s="29"/>
      <c r="I24" s="30"/>
      <c r="J24" s="30"/>
      <c r="K24" s="38"/>
      <c r="L24" s="39" t="str">
        <f aca="false">IF(A24="","",Capacity!P89)</f>
        <v/>
      </c>
      <c r="M24" s="39" t="str">
        <f aca="false">IF(A24="","",Capacity!P153)</f>
        <v/>
      </c>
      <c r="N24" s="21" t="str">
        <f aca="false">IF(OR(A24="",L24=0),"",M24/L24)</f>
        <v/>
      </c>
      <c r="O24" s="2"/>
      <c r="P24" s="2"/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  <c r="G25" s="37"/>
      <c r="H25" s="29"/>
      <c r="I25" s="30"/>
      <c r="J25" s="30"/>
      <c r="K25" s="38"/>
      <c r="L25" s="39" t="str">
        <f aca="false">IF(A25="","",Capacity!P90)</f>
        <v/>
      </c>
      <c r="M25" s="39" t="str">
        <f aca="false">IF(A25="","",Capacity!P154)</f>
        <v/>
      </c>
      <c r="N25" s="21" t="str">
        <f aca="false">IF(OR(A25="",L25=0),"",M25/L25)</f>
        <v/>
      </c>
      <c r="O25" s="2"/>
      <c r="P25" s="2"/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29"/>
      <c r="G26" s="37"/>
      <c r="H26" s="29"/>
      <c r="I26" s="30"/>
      <c r="J26" s="30"/>
      <c r="K26" s="38"/>
      <c r="L26" s="39" t="str">
        <f aca="false">IF(A26="","",Capacity!P91)</f>
        <v/>
      </c>
      <c r="M26" s="39" t="str">
        <f aca="false">IF(A26="","",Capacity!P155)</f>
        <v/>
      </c>
      <c r="N26" s="21" t="str">
        <f aca="false">IF(OR(A26="",L26=0),"",M26/L26)</f>
        <v/>
      </c>
      <c r="O26" s="2"/>
      <c r="P26" s="2"/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37"/>
      <c r="H27" s="29"/>
      <c r="I27" s="30"/>
      <c r="J27" s="30"/>
      <c r="K27" s="38"/>
      <c r="L27" s="39" t="str">
        <f aca="false">IF(A27="","",Capacity!P92)</f>
        <v/>
      </c>
      <c r="M27" s="39" t="str">
        <f aca="false">IF(A27="","",Capacity!P156)</f>
        <v/>
      </c>
      <c r="N27" s="21" t="str">
        <f aca="false">IF(OR(A27="",L27=0),"",M27/L27)</f>
        <v/>
      </c>
      <c r="O27" s="2"/>
      <c r="P27" s="2"/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29"/>
      <c r="G28" s="37"/>
      <c r="H28" s="29"/>
      <c r="I28" s="30"/>
      <c r="J28" s="30"/>
      <c r="K28" s="38"/>
      <c r="L28" s="39" t="str">
        <f aca="false">IF(A28="","",Capacity!P93)</f>
        <v/>
      </c>
      <c r="M28" s="39" t="str">
        <f aca="false">IF(A28="","",Capacity!P157)</f>
        <v/>
      </c>
      <c r="N28" s="21" t="str">
        <f aca="false">IF(OR(A28="",L28=0),"",M28/L28)</f>
        <v/>
      </c>
      <c r="O28" s="2"/>
      <c r="P28" s="2"/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  <c r="G29" s="37"/>
      <c r="H29" s="29"/>
      <c r="I29" s="30"/>
      <c r="J29" s="30"/>
      <c r="K29" s="38"/>
      <c r="L29" s="39" t="str">
        <f aca="false">IF(A29="","",Capacity!P94)</f>
        <v/>
      </c>
      <c r="M29" s="39" t="str">
        <f aca="false">IF(A29="","",Capacity!P158)</f>
        <v/>
      </c>
      <c r="N29" s="21" t="str">
        <f aca="false">IF(OR(A29="",L29=0),"",M29/L29)</f>
        <v/>
      </c>
      <c r="O29" s="2"/>
      <c r="P29" s="2"/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  <c r="G30" s="37"/>
      <c r="H30" s="29"/>
      <c r="I30" s="30"/>
      <c r="J30" s="30"/>
      <c r="K30" s="38"/>
      <c r="L30" s="39" t="str">
        <f aca="false">IF(A30="","",Capacity!P95)</f>
        <v/>
      </c>
      <c r="M30" s="39" t="str">
        <f aca="false">IF(A30="","",Capacity!P159)</f>
        <v/>
      </c>
      <c r="N30" s="21" t="str">
        <f aca="false">IF(OR(A30="",L30=0),"",M30/L30)</f>
        <v/>
      </c>
      <c r="O30" s="2"/>
      <c r="P30" s="2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37"/>
      <c r="H31" s="29"/>
      <c r="I31" s="30"/>
      <c r="J31" s="30"/>
      <c r="K31" s="38"/>
      <c r="L31" s="39" t="str">
        <f aca="false">IF(A31="","",Capacity!P96)</f>
        <v/>
      </c>
      <c r="M31" s="39" t="str">
        <f aca="false">IF(A31="","",Capacity!P160)</f>
        <v/>
      </c>
      <c r="N31" s="21" t="str">
        <f aca="false">IF(OR(A31="",L31=0),"",M31/L31)</f>
        <v/>
      </c>
      <c r="O31" s="2"/>
      <c r="P31" s="2"/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  <c r="G32" s="37"/>
      <c r="H32" s="29"/>
      <c r="I32" s="30"/>
      <c r="J32" s="30"/>
      <c r="K32" s="38"/>
      <c r="L32" s="39" t="str">
        <f aca="false">IF(A32="","",Capacity!P97)</f>
        <v/>
      </c>
      <c r="M32" s="39" t="str">
        <f aca="false">IF(A32="","",Capacity!P161)</f>
        <v/>
      </c>
      <c r="N32" s="21" t="str">
        <f aca="false">IF(OR(A32="",L32=0),"",M32/L32)</f>
        <v/>
      </c>
      <c r="O32" s="2"/>
      <c r="P32" s="2"/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29"/>
      <c r="G33" s="37"/>
      <c r="H33" s="29"/>
      <c r="I33" s="30"/>
      <c r="J33" s="30"/>
      <c r="K33" s="38"/>
      <c r="L33" s="39" t="str">
        <f aca="false">IF(A33="","",Capacity!P98)</f>
        <v/>
      </c>
      <c r="M33" s="39" t="str">
        <f aca="false">IF(A33="","",Capacity!P162)</f>
        <v/>
      </c>
      <c r="N33" s="21" t="str">
        <f aca="false">IF(OR(A33="",L33=0),"",M33/L33)</f>
        <v/>
      </c>
      <c r="O33" s="2"/>
      <c r="P33" s="2"/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29"/>
      <c r="G34" s="37"/>
      <c r="H34" s="29"/>
      <c r="I34" s="30"/>
      <c r="J34" s="30"/>
      <c r="K34" s="38"/>
      <c r="L34" s="39" t="str">
        <f aca="false">IF(A34="","",Capacity!P99)</f>
        <v/>
      </c>
      <c r="M34" s="39" t="str">
        <f aca="false">IF(A34="","",Capacity!P163)</f>
        <v/>
      </c>
      <c r="N34" s="21" t="str">
        <f aca="false">IF(OR(A34="",L34=0),"",M34/L34)</f>
        <v/>
      </c>
      <c r="O34" s="2"/>
      <c r="P34" s="2"/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29"/>
      <c r="G35" s="37"/>
      <c r="H35" s="29"/>
      <c r="I35" s="30"/>
      <c r="J35" s="30"/>
      <c r="K35" s="38"/>
      <c r="L35" s="39" t="str">
        <f aca="false">IF(A35="","",Capacity!P100)</f>
        <v/>
      </c>
      <c r="M35" s="39" t="str">
        <f aca="false">IF(A35="","",Capacity!P164)</f>
        <v/>
      </c>
      <c r="N35" s="21" t="str">
        <f aca="false">IF(OR(A35="",L35=0),"",M35/L35)</f>
        <v/>
      </c>
      <c r="O35" s="2"/>
      <c r="P35" s="2"/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29"/>
      <c r="G36" s="37"/>
      <c r="H36" s="29"/>
      <c r="I36" s="30"/>
      <c r="J36" s="30"/>
      <c r="K36" s="38"/>
      <c r="L36" s="39" t="str">
        <f aca="false">IF(A36="","",Capacity!P101)</f>
        <v/>
      </c>
      <c r="M36" s="39" t="str">
        <f aca="false">IF(A36="","",Capacity!P165)</f>
        <v/>
      </c>
      <c r="N36" s="21" t="str">
        <f aca="false">IF(OR(A36="",L36=0),"",M36/L36)</f>
        <v/>
      </c>
      <c r="O36" s="2"/>
      <c r="P36" s="2"/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29"/>
      <c r="G37" s="37"/>
      <c r="H37" s="29"/>
      <c r="I37" s="30"/>
      <c r="J37" s="30"/>
      <c r="K37" s="38"/>
      <c r="L37" s="39" t="str">
        <f aca="false">IF(A37="","",Capacity!P102)</f>
        <v/>
      </c>
      <c r="M37" s="39" t="str">
        <f aca="false">IF(A37="","",Capacity!P166)</f>
        <v/>
      </c>
      <c r="N37" s="21" t="str">
        <f aca="false">IF(OR(A37="",L37=0),"",M37/L37)</f>
        <v/>
      </c>
      <c r="O37" s="2"/>
      <c r="P37" s="2"/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29"/>
      <c r="G38" s="37"/>
      <c r="H38" s="29"/>
      <c r="I38" s="30"/>
      <c r="J38" s="30"/>
      <c r="K38" s="38"/>
      <c r="L38" s="39" t="str">
        <f aca="false">IF(A38="","",Capacity!P103)</f>
        <v/>
      </c>
      <c r="M38" s="39" t="str">
        <f aca="false">IF(A38="","",Capacity!P167)</f>
        <v/>
      </c>
      <c r="N38" s="21" t="str">
        <f aca="false">IF(OR(A38="",L38=0),"",M38/L38)</f>
        <v/>
      </c>
      <c r="O38" s="2"/>
      <c r="P38" s="2"/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29"/>
      <c r="G39" s="37"/>
      <c r="H39" s="29"/>
      <c r="I39" s="30"/>
      <c r="J39" s="30"/>
      <c r="K39" s="38"/>
      <c r="L39" s="39" t="str">
        <f aca="false">IF(A39="","",Capacity!P104)</f>
        <v/>
      </c>
      <c r="M39" s="39" t="str">
        <f aca="false">IF(A39="","",Capacity!P168)</f>
        <v/>
      </c>
      <c r="N39" s="21" t="str">
        <f aca="false">IF(OR(A39="",L39=0),"",M39/L39)</f>
        <v/>
      </c>
      <c r="O39" s="2"/>
      <c r="P39" s="2"/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29"/>
      <c r="G40" s="37"/>
      <c r="H40" s="29"/>
      <c r="I40" s="30"/>
      <c r="J40" s="30"/>
      <c r="K40" s="38"/>
      <c r="L40" s="39" t="str">
        <f aca="false">IF(A40="","",Capacity!P105)</f>
        <v/>
      </c>
      <c r="M40" s="39" t="str">
        <f aca="false">IF(A40="","",Capacity!P169)</f>
        <v/>
      </c>
      <c r="N40" s="21" t="str">
        <f aca="false">IF(OR(A40="",L40=0),"",M40/L40)</f>
        <v/>
      </c>
      <c r="O40" s="2"/>
      <c r="P40" s="2"/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29"/>
      <c r="G41" s="37"/>
      <c r="H41" s="29"/>
      <c r="I41" s="30"/>
      <c r="J41" s="30"/>
      <c r="K41" s="38"/>
      <c r="L41" s="39" t="str">
        <f aca="false">IF(A41="","",Capacity!P106)</f>
        <v/>
      </c>
      <c r="M41" s="39" t="str">
        <f aca="false">IF(A41="","",Capacity!P170)</f>
        <v/>
      </c>
      <c r="N41" s="21" t="str">
        <f aca="false">IF(OR(A41="",L41=0),"",M41/L41)</f>
        <v/>
      </c>
      <c r="O41" s="2"/>
      <c r="P41" s="2"/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29"/>
      <c r="G42" s="37"/>
      <c r="H42" s="29"/>
      <c r="I42" s="30"/>
      <c r="J42" s="30"/>
      <c r="K42" s="38"/>
      <c r="L42" s="39" t="str">
        <f aca="false">IF(A42="","",Capacity!P107)</f>
        <v/>
      </c>
      <c r="M42" s="39" t="str">
        <f aca="false">IF(A42="","",Capacity!P171)</f>
        <v/>
      </c>
      <c r="N42" s="21" t="str">
        <f aca="false">IF(OR(A42="",L42=0),"",M42/L42)</f>
        <v/>
      </c>
      <c r="O42" s="2"/>
      <c r="P42" s="2"/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29"/>
      <c r="G43" s="37"/>
      <c r="H43" s="29"/>
      <c r="I43" s="30"/>
      <c r="J43" s="30"/>
      <c r="K43" s="38"/>
      <c r="L43" s="39" t="str">
        <f aca="false">IF(A43="","",Capacity!P108)</f>
        <v/>
      </c>
      <c r="M43" s="39" t="str">
        <f aca="false">IF(A43="","",Capacity!P172)</f>
        <v/>
      </c>
      <c r="N43" s="21" t="str">
        <f aca="false">IF(OR(A43="",L43=0),"",M43/L43)</f>
        <v/>
      </c>
      <c r="O43" s="2"/>
      <c r="P43" s="2"/>
    </row>
    <row r="44" customFormat="false" ht="15" hidden="false" customHeight="false" outlineLevel="0" collapsed="false">
      <c r="A44" s="29"/>
      <c r="B44" s="29"/>
      <c r="C44" s="29"/>
      <c r="D44" s="29"/>
      <c r="E44" s="29"/>
      <c r="F44" s="29"/>
      <c r="G44" s="37"/>
      <c r="H44" s="29"/>
      <c r="I44" s="30"/>
      <c r="J44" s="30"/>
      <c r="K44" s="38"/>
      <c r="L44" s="39" t="str">
        <f aca="false">IF(A44="","",Capacity!P109)</f>
        <v/>
      </c>
      <c r="M44" s="39" t="str">
        <f aca="false">IF(A44="","",Capacity!P173)</f>
        <v/>
      </c>
      <c r="N44" s="21" t="str">
        <f aca="false">IF(OR(A44="",L44=0),"",M44/L44)</f>
        <v/>
      </c>
      <c r="O44" s="2"/>
      <c r="P44" s="2"/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29"/>
      <c r="G45" s="37"/>
      <c r="H45" s="29"/>
      <c r="I45" s="30"/>
      <c r="J45" s="30"/>
      <c r="K45" s="38"/>
      <c r="L45" s="39" t="str">
        <f aca="false">IF(A45="","",Capacity!P110)</f>
        <v/>
      </c>
      <c r="M45" s="39" t="str">
        <f aca="false">IF(A45="","",Capacity!P174)</f>
        <v/>
      </c>
      <c r="N45" s="21" t="str">
        <f aca="false">IF(OR(A45="",L45=0),"",M45/L45)</f>
        <v/>
      </c>
      <c r="O45" s="2"/>
      <c r="P45" s="2"/>
    </row>
    <row r="46" customFormat="false" ht="15" hidden="false" customHeight="false" outlineLevel="0" collapsed="false">
      <c r="A46" s="29"/>
      <c r="B46" s="29"/>
      <c r="C46" s="29"/>
      <c r="D46" s="29"/>
      <c r="E46" s="29"/>
      <c r="F46" s="29"/>
      <c r="G46" s="37"/>
      <c r="H46" s="29"/>
      <c r="I46" s="30"/>
      <c r="J46" s="30"/>
      <c r="K46" s="38"/>
      <c r="L46" s="39" t="str">
        <f aca="false">IF(A46="","",Capacity!P111)</f>
        <v/>
      </c>
      <c r="M46" s="39" t="str">
        <f aca="false">IF(A46="","",Capacity!P175)</f>
        <v/>
      </c>
      <c r="N46" s="21" t="str">
        <f aca="false">IF(OR(A46="",L46=0),"",M46/L46)</f>
        <v/>
      </c>
      <c r="O46" s="2"/>
      <c r="P46" s="2"/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29"/>
      <c r="G47" s="37"/>
      <c r="H47" s="29"/>
      <c r="I47" s="30"/>
      <c r="J47" s="30"/>
      <c r="K47" s="38"/>
      <c r="L47" s="39" t="str">
        <f aca="false">IF(A47="","",Capacity!P112)</f>
        <v/>
      </c>
      <c r="M47" s="39" t="str">
        <f aca="false">IF(A47="","",Capacity!P176)</f>
        <v/>
      </c>
      <c r="N47" s="21" t="str">
        <f aca="false">IF(OR(A47="",L47=0),"",M47/L47)</f>
        <v/>
      </c>
      <c r="O47" s="2"/>
      <c r="P47" s="2"/>
    </row>
    <row r="48" customFormat="false" ht="15" hidden="false" customHeight="false" outlineLevel="0" collapsed="false">
      <c r="A48" s="29"/>
      <c r="B48" s="29"/>
      <c r="C48" s="29"/>
      <c r="D48" s="29"/>
      <c r="E48" s="29"/>
      <c r="F48" s="29"/>
      <c r="G48" s="37"/>
      <c r="H48" s="29"/>
      <c r="I48" s="30"/>
      <c r="J48" s="30"/>
      <c r="K48" s="38"/>
      <c r="L48" s="39" t="str">
        <f aca="false">IF(A48="","",Capacity!P113)</f>
        <v/>
      </c>
      <c r="M48" s="39" t="str">
        <f aca="false">IF(A48="","",Capacity!P177)</f>
        <v/>
      </c>
      <c r="N48" s="21" t="str">
        <f aca="false">IF(OR(A48="",L48=0),"",M48/L48)</f>
        <v/>
      </c>
      <c r="O48" s="2"/>
      <c r="P48" s="2"/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29"/>
      <c r="G49" s="37"/>
      <c r="H49" s="29"/>
      <c r="I49" s="30"/>
      <c r="J49" s="30"/>
      <c r="K49" s="38"/>
      <c r="L49" s="39" t="str">
        <f aca="false">IF(A49="","",Capacity!P114)</f>
        <v/>
      </c>
      <c r="M49" s="39" t="str">
        <f aca="false">IF(A49="","",Capacity!P178)</f>
        <v/>
      </c>
      <c r="N49" s="21" t="str">
        <f aca="false">IF(OR(A49="",L49=0),"",M49/L49)</f>
        <v/>
      </c>
      <c r="O49" s="2"/>
      <c r="P49" s="2"/>
    </row>
    <row r="50" customFormat="false" ht="15" hidden="false" customHeight="false" outlineLevel="0" collapsed="false">
      <c r="A50" s="29"/>
      <c r="B50" s="29"/>
      <c r="C50" s="29"/>
      <c r="D50" s="29"/>
      <c r="E50" s="29"/>
      <c r="F50" s="29"/>
      <c r="G50" s="37"/>
      <c r="H50" s="29"/>
      <c r="I50" s="30"/>
      <c r="J50" s="30"/>
      <c r="K50" s="38"/>
      <c r="L50" s="39" t="str">
        <f aca="false">IF(A50="","",Capacity!P115)</f>
        <v/>
      </c>
      <c r="M50" s="39" t="str">
        <f aca="false">IF(A50="","",Capacity!P179)</f>
        <v/>
      </c>
      <c r="N50" s="21" t="str">
        <f aca="false">IF(OR(A50="",L50=0),"",M50/L50)</f>
        <v/>
      </c>
      <c r="O50" s="2"/>
      <c r="P50" s="2"/>
    </row>
    <row r="51" customFormat="false" ht="15" hidden="false" customHeight="false" outlineLevel="0" collapsed="false">
      <c r="A51" s="29"/>
      <c r="B51" s="29"/>
      <c r="C51" s="29"/>
      <c r="D51" s="29"/>
      <c r="E51" s="29"/>
      <c r="F51" s="29"/>
      <c r="G51" s="37"/>
      <c r="H51" s="29"/>
      <c r="I51" s="30"/>
      <c r="J51" s="30"/>
      <c r="K51" s="38"/>
      <c r="L51" s="39" t="str">
        <f aca="false">IF(A51="","",Capacity!P116)</f>
        <v/>
      </c>
      <c r="M51" s="39" t="str">
        <f aca="false">IF(A51="","",Capacity!P180)</f>
        <v/>
      </c>
      <c r="N51" s="21" t="str">
        <f aca="false">IF(OR(A51="",L51=0),"",M51/L51)</f>
        <v/>
      </c>
      <c r="O51" s="2"/>
      <c r="P51" s="2"/>
    </row>
    <row r="52" customFormat="false" ht="15" hidden="false" customHeight="false" outlineLevel="0" collapsed="false">
      <c r="A52" s="29"/>
      <c r="B52" s="29"/>
      <c r="C52" s="29"/>
      <c r="D52" s="29"/>
      <c r="E52" s="29"/>
      <c r="F52" s="29"/>
      <c r="G52" s="37"/>
      <c r="H52" s="29"/>
      <c r="I52" s="30"/>
      <c r="J52" s="30"/>
      <c r="K52" s="38"/>
      <c r="L52" s="39" t="str">
        <f aca="false">IF(A52="","",Capacity!P117)</f>
        <v/>
      </c>
      <c r="M52" s="39" t="str">
        <f aca="false">IF(A52="","",Capacity!P181)</f>
        <v/>
      </c>
      <c r="N52" s="21" t="str">
        <f aca="false">IF(OR(A52="",L52=0),"",M52/L52)</f>
        <v/>
      </c>
      <c r="O52" s="2"/>
      <c r="P52" s="2"/>
    </row>
    <row r="53" customFormat="false" ht="15" hidden="false" customHeight="false" outlineLevel="0" collapsed="false">
      <c r="A53" s="29"/>
      <c r="B53" s="29"/>
      <c r="C53" s="29"/>
      <c r="D53" s="29"/>
      <c r="E53" s="29"/>
      <c r="F53" s="29"/>
      <c r="G53" s="37"/>
      <c r="H53" s="29"/>
      <c r="I53" s="30"/>
      <c r="J53" s="30"/>
      <c r="K53" s="38"/>
      <c r="L53" s="39" t="str">
        <f aca="false">IF(A53="","",Capacity!P118)</f>
        <v/>
      </c>
      <c r="M53" s="39" t="str">
        <f aca="false">IF(A53="","",Capacity!P182)</f>
        <v/>
      </c>
      <c r="N53" s="21" t="str">
        <f aca="false">IF(OR(A53="",L53=0),"",M53/L53)</f>
        <v/>
      </c>
      <c r="O53" s="2"/>
      <c r="P53" s="2"/>
    </row>
    <row r="54" customFormat="false" ht="15" hidden="false" customHeight="false" outlineLevel="0" collapsed="false">
      <c r="A54" s="29"/>
      <c r="B54" s="29"/>
      <c r="C54" s="29"/>
      <c r="D54" s="29"/>
      <c r="E54" s="29"/>
      <c r="F54" s="29"/>
      <c r="G54" s="37"/>
      <c r="H54" s="29"/>
      <c r="I54" s="30"/>
      <c r="J54" s="30"/>
      <c r="K54" s="38"/>
      <c r="L54" s="39" t="str">
        <f aca="false">IF(A54="","",Capacity!P119)</f>
        <v/>
      </c>
      <c r="M54" s="39" t="str">
        <f aca="false">IF(A54="","",Capacity!P183)</f>
        <v/>
      </c>
      <c r="N54" s="21" t="str">
        <f aca="false">IF(OR(A54="",L54=0),"",M54/L54)</f>
        <v/>
      </c>
      <c r="O54" s="2"/>
      <c r="P54" s="2"/>
    </row>
    <row r="55" customFormat="false" ht="15" hidden="false" customHeight="false" outlineLevel="0" collapsed="false">
      <c r="A55" s="29"/>
      <c r="B55" s="29"/>
      <c r="C55" s="29"/>
      <c r="D55" s="29"/>
      <c r="E55" s="29"/>
      <c r="F55" s="29"/>
      <c r="G55" s="37"/>
      <c r="H55" s="29"/>
      <c r="I55" s="30"/>
      <c r="J55" s="30"/>
      <c r="K55" s="38"/>
      <c r="L55" s="39" t="str">
        <f aca="false">IF(A55="","",Capacity!P120)</f>
        <v/>
      </c>
      <c r="M55" s="39" t="str">
        <f aca="false">IF(A55="","",Capacity!P184)</f>
        <v/>
      </c>
      <c r="N55" s="21" t="str">
        <f aca="false">IF(OR(A55="",L55=0),"",M55/L55)</f>
        <v/>
      </c>
      <c r="O55" s="2"/>
      <c r="P55" s="2"/>
    </row>
    <row r="56" customFormat="false" ht="15" hidden="false" customHeight="false" outlineLevel="0" collapsed="false">
      <c r="A56" s="29"/>
      <c r="B56" s="29"/>
      <c r="C56" s="29"/>
      <c r="D56" s="29"/>
      <c r="E56" s="29"/>
      <c r="F56" s="29"/>
      <c r="G56" s="37"/>
      <c r="H56" s="29"/>
      <c r="I56" s="30"/>
      <c r="J56" s="30"/>
      <c r="K56" s="38"/>
      <c r="L56" s="39" t="str">
        <f aca="false">IF(A56="","",Capacity!P121)</f>
        <v/>
      </c>
      <c r="M56" s="39" t="str">
        <f aca="false">IF(A56="","",Capacity!P185)</f>
        <v/>
      </c>
      <c r="N56" s="21" t="str">
        <f aca="false">IF(OR(A56="",L56=0),"",M56/L56)</f>
        <v/>
      </c>
      <c r="O56" s="2"/>
      <c r="P56" s="2"/>
    </row>
    <row r="57" customFormat="false" ht="15" hidden="false" customHeight="false" outlineLevel="0" collapsed="false">
      <c r="A57" s="29"/>
      <c r="B57" s="29"/>
      <c r="C57" s="29"/>
      <c r="D57" s="29"/>
      <c r="E57" s="29"/>
      <c r="F57" s="29"/>
      <c r="G57" s="37"/>
      <c r="H57" s="29"/>
      <c r="I57" s="30"/>
      <c r="J57" s="30"/>
      <c r="K57" s="38"/>
      <c r="L57" s="39" t="str">
        <f aca="false">IF(A57="","",Capacity!P122)</f>
        <v/>
      </c>
      <c r="M57" s="39" t="str">
        <f aca="false">IF(A57="","",Capacity!P186)</f>
        <v/>
      </c>
      <c r="N57" s="21" t="str">
        <f aca="false">IF(OR(A57="",L57=0),"",M57/L57)</f>
        <v/>
      </c>
      <c r="O57" s="2"/>
      <c r="P57" s="2"/>
    </row>
    <row r="58" customFormat="false" ht="15" hidden="false" customHeight="false" outlineLevel="0" collapsed="false">
      <c r="A58" s="29"/>
      <c r="B58" s="29"/>
      <c r="C58" s="29"/>
      <c r="D58" s="29"/>
      <c r="E58" s="29"/>
      <c r="F58" s="29"/>
      <c r="G58" s="37"/>
      <c r="H58" s="29"/>
      <c r="I58" s="30"/>
      <c r="J58" s="30"/>
      <c r="K58" s="38"/>
      <c r="L58" s="39" t="str">
        <f aca="false">IF(A58="","",Capacity!P123)</f>
        <v/>
      </c>
      <c r="M58" s="39" t="str">
        <f aca="false">IF(A58="","",Capacity!P187)</f>
        <v/>
      </c>
      <c r="N58" s="21" t="str">
        <f aca="false">IF(OR(A58="",L58=0),"",M58/L58)</f>
        <v/>
      </c>
      <c r="O58" s="2"/>
      <c r="P58" s="2"/>
    </row>
    <row r="59" customFormat="false" ht="15" hidden="false" customHeight="false" outlineLevel="0" collapsed="false">
      <c r="A59" s="29"/>
      <c r="B59" s="29"/>
      <c r="C59" s="29"/>
      <c r="D59" s="29"/>
      <c r="E59" s="29"/>
      <c r="F59" s="29"/>
      <c r="G59" s="37"/>
      <c r="H59" s="29"/>
      <c r="I59" s="30"/>
      <c r="J59" s="30"/>
      <c r="K59" s="38"/>
      <c r="L59" s="39" t="str">
        <f aca="false">IF(A59="","",Capacity!P124)</f>
        <v/>
      </c>
      <c r="M59" s="39" t="str">
        <f aca="false">IF(A59="","",Capacity!P188)</f>
        <v/>
      </c>
      <c r="N59" s="21" t="str">
        <f aca="false">IF(OR(A59="",L59=0),"",M59/L59)</f>
        <v/>
      </c>
      <c r="O59" s="2"/>
      <c r="P59" s="2"/>
    </row>
    <row r="60" customFormat="false" ht="15" hidden="false" customHeight="false" outlineLevel="0" collapsed="false">
      <c r="A60" s="29"/>
      <c r="B60" s="29"/>
      <c r="C60" s="29"/>
      <c r="D60" s="29"/>
      <c r="E60" s="29"/>
      <c r="F60" s="29"/>
      <c r="G60" s="37"/>
      <c r="H60" s="29"/>
      <c r="I60" s="30"/>
      <c r="J60" s="30"/>
      <c r="K60" s="38"/>
      <c r="L60" s="39" t="str">
        <f aca="false">IF(A60="","",Capacity!P125)</f>
        <v/>
      </c>
      <c r="M60" s="39" t="str">
        <f aca="false">IF(A60="","",Capacity!P189)</f>
        <v/>
      </c>
      <c r="N60" s="21" t="str">
        <f aca="false">IF(OR(A60="",L60=0),"",M60/L60)</f>
        <v/>
      </c>
      <c r="O60" s="2"/>
      <c r="P60" s="2"/>
    </row>
    <row r="61" customFormat="false" ht="15" hidden="false" customHeight="false" outlineLevel="0" collapsed="false">
      <c r="A61" s="29"/>
      <c r="B61" s="29"/>
      <c r="C61" s="29"/>
      <c r="D61" s="29"/>
      <c r="E61" s="29"/>
      <c r="F61" s="29"/>
      <c r="G61" s="37"/>
      <c r="H61" s="29"/>
      <c r="I61" s="30"/>
      <c r="J61" s="30"/>
      <c r="K61" s="38"/>
      <c r="L61" s="39" t="str">
        <f aca="false">IF(A61="","",Capacity!P126)</f>
        <v/>
      </c>
      <c r="M61" s="39" t="str">
        <f aca="false">IF(A61="","",Capacity!P190)</f>
        <v/>
      </c>
      <c r="N61" s="21" t="str">
        <f aca="false">IF(OR(A61="",L61=0),"",M61/L61)</f>
        <v/>
      </c>
      <c r="O61" s="2"/>
      <c r="P61" s="2"/>
    </row>
    <row r="62" customFormat="false" ht="15" hidden="false" customHeight="false" outlineLevel="0" collapsed="false">
      <c r="A62" s="29"/>
      <c r="B62" s="29"/>
      <c r="C62" s="29"/>
      <c r="D62" s="29"/>
      <c r="E62" s="29"/>
      <c r="F62" s="29"/>
      <c r="G62" s="37"/>
      <c r="H62" s="29"/>
      <c r="I62" s="30"/>
      <c r="J62" s="30"/>
      <c r="K62" s="38"/>
      <c r="L62" s="39" t="str">
        <f aca="false">IF(A62="","",Capacity!P127)</f>
        <v/>
      </c>
      <c r="M62" s="39" t="str">
        <f aca="false">IF(A62="","",Capacity!P191)</f>
        <v/>
      </c>
      <c r="N62" s="21" t="str">
        <f aca="false">IF(OR(A62="",L62=0),"",M62/L62)</f>
        <v/>
      </c>
      <c r="O62" s="2"/>
      <c r="P62" s="2"/>
    </row>
    <row r="63" customFormat="false" ht="15" hidden="false" customHeight="false" outlineLevel="0" collapsed="false">
      <c r="A63" s="29"/>
      <c r="B63" s="29"/>
      <c r="C63" s="29"/>
      <c r="D63" s="29"/>
      <c r="E63" s="29"/>
      <c r="F63" s="29"/>
      <c r="G63" s="37"/>
      <c r="H63" s="29"/>
      <c r="I63" s="30"/>
      <c r="J63" s="30"/>
      <c r="K63" s="38"/>
      <c r="L63" s="39" t="str">
        <f aca="false">IF(A63="","",Capacity!P128)</f>
        <v/>
      </c>
      <c r="M63" s="39" t="str">
        <f aca="false">IF(A63="","",Capacity!P192)</f>
        <v/>
      </c>
      <c r="N63" s="21" t="str">
        <f aca="false">IF(OR(A63="",L63=0),"",M63/L63)</f>
        <v/>
      </c>
      <c r="O63" s="2"/>
      <c r="P63" s="2"/>
    </row>
    <row r="64" customFormat="false" ht="15" hidden="false" customHeight="false" outlineLevel="0" collapsed="false">
      <c r="A64" s="29"/>
      <c r="B64" s="29"/>
      <c r="C64" s="29"/>
      <c r="D64" s="29"/>
      <c r="E64" s="29"/>
      <c r="F64" s="29"/>
      <c r="G64" s="37"/>
      <c r="H64" s="29"/>
      <c r="I64" s="30"/>
      <c r="J64" s="30"/>
      <c r="K64" s="38"/>
      <c r="L64" s="39" t="str">
        <f aca="false">IF(A64="","",Capacity!P129)</f>
        <v/>
      </c>
      <c r="M64" s="39" t="str">
        <f aca="false">IF(A64="","",Capacity!P193)</f>
        <v/>
      </c>
      <c r="N64" s="21" t="str">
        <f aca="false">IF(OR(A64="",L64=0),"",M64/L64)</f>
        <v/>
      </c>
      <c r="O64" s="2"/>
      <c r="P64" s="2"/>
    </row>
  </sheetData>
  <dataValidations count="2">
    <dataValidation allowBlank="true" errorStyle="stop" operator="between" showDropDown="false" showErrorMessage="false" showInputMessage="false" sqref="B5:B64" type="list">
      <formula1>Settings!$N$8:$N$19</formula1>
      <formula2>0</formula2>
    </dataValidation>
    <dataValidation allowBlank="true" errorStyle="stop" operator="between" showDropDown="false" showErrorMessage="false" showInputMessage="false" sqref="C5:C64" type="list">
      <formula1>Settings!$M$8:$M$19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9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16" min="5" style="0" width="7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2"/>
  </cols>
  <sheetData>
    <row r="1" customFormat="false" ht="17.35" hidden="false" customHeight="false" outlineLevel="0" collapsed="false">
      <c r="A1" s="9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10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30" hidden="false" customHeight="true" outlineLevel="0" collapsed="false">
      <c r="A4" s="17" t="s">
        <v>177</v>
      </c>
      <c r="B4" s="17" t="s">
        <v>59</v>
      </c>
      <c r="C4" s="17" t="s">
        <v>178</v>
      </c>
      <c r="D4" s="17" t="s">
        <v>92</v>
      </c>
      <c r="E4" s="17" t="s">
        <v>179</v>
      </c>
      <c r="F4" s="17" t="s">
        <v>180</v>
      </c>
      <c r="G4" s="17" t="s">
        <v>181</v>
      </c>
      <c r="H4" s="17" t="s">
        <v>182</v>
      </c>
      <c r="I4" s="17" t="s">
        <v>183</v>
      </c>
      <c r="J4" s="17" t="s">
        <v>184</v>
      </c>
      <c r="K4" s="17" t="s">
        <v>185</v>
      </c>
      <c r="L4" s="17" t="s">
        <v>186</v>
      </c>
      <c r="M4" s="17" t="s">
        <v>187</v>
      </c>
      <c r="N4" s="17" t="s">
        <v>188</v>
      </c>
      <c r="O4" s="17" t="s">
        <v>189</v>
      </c>
      <c r="P4" s="17" t="s">
        <v>190</v>
      </c>
      <c r="Q4" s="17" t="s">
        <v>65</v>
      </c>
      <c r="R4" s="17" t="s">
        <v>191</v>
      </c>
      <c r="S4" s="17" t="s">
        <v>101</v>
      </c>
    </row>
    <row r="5" customFormat="false" ht="15" hidden="false" customHeight="false" outlineLevel="0" collapsed="false">
      <c r="A5" s="29" t="s">
        <v>110</v>
      </c>
      <c r="B5" s="26" t="str">
        <f aca="false">IF(A5="","",IFERROR(INDEX(Team!$B$5:$B$64,MATCH(A5,Team!$A$5:$A$64,0)),"Not in Team"))</f>
        <v>Tech Lead</v>
      </c>
      <c r="C5" s="29" t="s">
        <v>105</v>
      </c>
      <c r="D5" s="26" t="str">
        <f aca="false">IF(C5="","",IFERROR(INDEX(Projects!$B$5:$B$54,MATCH(C5,Projects!$A$5:$A$54,0)),"Unknown ID"))</f>
        <v>RepApp Angular migration (strangler fig)</v>
      </c>
      <c r="E5" s="41" t="n">
        <v>0.6</v>
      </c>
      <c r="F5" s="41" t="n">
        <v>0.6</v>
      </c>
      <c r="G5" s="41" t="n">
        <v>0.6</v>
      </c>
      <c r="H5" s="41" t="n">
        <v>0.6</v>
      </c>
      <c r="I5" s="41" t="n">
        <v>0.6</v>
      </c>
      <c r="J5" s="41" t="n">
        <v>0.6</v>
      </c>
      <c r="K5" s="41" t="n">
        <v>0.6</v>
      </c>
      <c r="L5" s="41" t="n">
        <v>0.6</v>
      </c>
      <c r="M5" s="41" t="n">
        <v>0.6</v>
      </c>
      <c r="N5" s="41" t="n">
        <v>0.6</v>
      </c>
      <c r="O5" s="41" t="n">
        <v>0.6</v>
      </c>
      <c r="P5" s="41" t="n">
        <v>0.6</v>
      </c>
      <c r="Q5" s="19" t="n">
        <f aca="false">IF(A5="","",SUM(E5:P5))</f>
        <v>7.2</v>
      </c>
      <c r="R5" s="42" t="n">
        <f aca="false">IF(A5="","",IFERROR(INDEX(Team!$K$5:$K$64,MATCH(A5,Team!$A$5:$A$64,0)),0))</f>
        <v>15000</v>
      </c>
      <c r="S5" s="42" t="n">
        <f aca="false">IF(A5="","",Q5*R5)</f>
        <v>108000</v>
      </c>
    </row>
    <row r="6" customFormat="false" ht="15" hidden="false" customHeight="false" outlineLevel="0" collapsed="false">
      <c r="A6" s="29" t="s">
        <v>110</v>
      </c>
      <c r="B6" s="26" t="str">
        <f aca="false">IF(A6="","",IFERROR(INDEX(Team!$B$5:$B$64,MATCH(A6,Team!$A$5:$A$64,0)),"Not in Team"))</f>
        <v>Tech Lead</v>
      </c>
      <c r="C6" s="29" t="s">
        <v>115</v>
      </c>
      <c r="D6" s="26" t="str">
        <f aca="false">IF(C6="","",IFERROR(INDEX(Projects!$B$5:$B$54,MATCH(C6,Projects!$A$5:$A$54,0)),"Unknown ID"))</f>
        <v>Application portfolio dashboard</v>
      </c>
      <c r="E6" s="41" t="n">
        <v>0.2</v>
      </c>
      <c r="F6" s="41" t="n">
        <v>0.2</v>
      </c>
      <c r="G6" s="41" t="n">
        <v>0.2</v>
      </c>
      <c r="H6" s="41" t="n">
        <v>0.2</v>
      </c>
      <c r="I6" s="41"/>
      <c r="J6" s="41"/>
      <c r="K6" s="41"/>
      <c r="L6" s="41"/>
      <c r="M6" s="41"/>
      <c r="N6" s="41"/>
      <c r="O6" s="41"/>
      <c r="P6" s="41"/>
      <c r="Q6" s="19" t="n">
        <f aca="false">IF(A6="","",SUM(E6:P6))</f>
        <v>0.8</v>
      </c>
      <c r="R6" s="42" t="n">
        <f aca="false">IF(A6="","",IFERROR(INDEX(Team!$K$5:$K$64,MATCH(A6,Team!$A$5:$A$64,0)),0))</f>
        <v>15000</v>
      </c>
      <c r="S6" s="42" t="n">
        <f aca="false">IF(A6="","",Q6*R6)</f>
        <v>12000</v>
      </c>
    </row>
    <row r="7" customFormat="false" ht="15" hidden="false" customHeight="false" outlineLevel="0" collapsed="false">
      <c r="A7" s="29" t="s">
        <v>110</v>
      </c>
      <c r="B7" s="26" t="str">
        <f aca="false">IF(A7="","",IFERROR(INDEX(Team!$B$5:$B$64,MATCH(A7,Team!$A$5:$A$64,0)),"Not in Team"))</f>
        <v>Tech Lead</v>
      </c>
      <c r="C7" s="29" t="s">
        <v>125</v>
      </c>
      <c r="D7" s="26" t="str">
        <f aca="false">IF(C7="","",IFERROR(INDEX(Projects!$B$5:$B$54,MATCH(C7,Projects!$A$5:$A$54,0)),"Unknown ID"))</f>
        <v>Observability &amp; alerting uplift</v>
      </c>
      <c r="E7" s="41"/>
      <c r="F7" s="41"/>
      <c r="G7" s="41" t="n">
        <v>0.2</v>
      </c>
      <c r="H7" s="41" t="n">
        <v>0.2</v>
      </c>
      <c r="I7" s="41" t="n">
        <v>0.2</v>
      </c>
      <c r="J7" s="41" t="n">
        <v>0.2</v>
      </c>
      <c r="K7" s="41" t="n">
        <v>0.2</v>
      </c>
      <c r="L7" s="41" t="n">
        <v>0.2</v>
      </c>
      <c r="M7" s="41"/>
      <c r="N7" s="41"/>
      <c r="O7" s="41"/>
      <c r="P7" s="41"/>
      <c r="Q7" s="19" t="n">
        <f aca="false">IF(A7="","",SUM(E7:P7))</f>
        <v>1.2</v>
      </c>
      <c r="R7" s="42" t="n">
        <f aca="false">IF(A7="","",IFERROR(INDEX(Team!$K$5:$K$64,MATCH(A7,Team!$A$5:$A$64,0)),0))</f>
        <v>15000</v>
      </c>
      <c r="S7" s="42" t="n">
        <f aca="false">IF(A7="","",Q7*R7)</f>
        <v>18000</v>
      </c>
    </row>
    <row r="8" customFormat="false" ht="15" hidden="false" customHeight="false" outlineLevel="0" collapsed="false">
      <c r="A8" s="29" t="s">
        <v>128</v>
      </c>
      <c r="B8" s="26" t="str">
        <f aca="false">IF(A8="","",IFERROR(INDEX(Team!$B$5:$B$64,MATCH(A8,Team!$A$5:$A$64,0)),"Not in Team"))</f>
        <v>Backend Developer</v>
      </c>
      <c r="C8" s="29" t="s">
        <v>105</v>
      </c>
      <c r="D8" s="26" t="str">
        <f aca="false">IF(C8="","",IFERROR(INDEX(Projects!$B$5:$B$54,MATCH(C8,Projects!$A$5:$A$54,0)),"Unknown ID"))</f>
        <v>RepApp Angular migration (strangler fig)</v>
      </c>
      <c r="E8" s="41" t="n">
        <v>0.5</v>
      </c>
      <c r="F8" s="41" t="n">
        <v>0.5</v>
      </c>
      <c r="G8" s="41" t="n">
        <v>0.5</v>
      </c>
      <c r="H8" s="41" t="n">
        <v>0.5</v>
      </c>
      <c r="I8" s="41" t="n">
        <v>0.5</v>
      </c>
      <c r="J8" s="41" t="n">
        <v>0.5</v>
      </c>
      <c r="K8" s="41" t="n">
        <v>0.5</v>
      </c>
      <c r="L8" s="41" t="n">
        <v>0.5</v>
      </c>
      <c r="M8" s="41" t="n">
        <v>0.5</v>
      </c>
      <c r="N8" s="41" t="n">
        <v>0.5</v>
      </c>
      <c r="O8" s="41" t="n">
        <v>0.5</v>
      </c>
      <c r="P8" s="41" t="n">
        <v>0.5</v>
      </c>
      <c r="Q8" s="19" t="n">
        <f aca="false">IF(A8="","",SUM(E8:P8))</f>
        <v>6</v>
      </c>
      <c r="R8" s="42" t="n">
        <f aca="false">IF(A8="","",IFERROR(INDEX(Team!$K$5:$K$64,MATCH(A8,Team!$A$5:$A$64,0)),0))</f>
        <v>12000</v>
      </c>
      <c r="S8" s="42" t="n">
        <f aca="false">IF(A8="","",Q8*R8)</f>
        <v>72000</v>
      </c>
    </row>
    <row r="9" customFormat="false" ht="15" hidden="false" customHeight="false" outlineLevel="0" collapsed="false">
      <c r="A9" s="29" t="s">
        <v>128</v>
      </c>
      <c r="B9" s="26" t="str">
        <f aca="false">IF(A9="","",IFERROR(INDEX(Team!$B$5:$B$64,MATCH(A9,Team!$A$5:$A$64,0)),"Not in Team"))</f>
        <v>Backend Developer</v>
      </c>
      <c r="C9" s="29" t="s">
        <v>125</v>
      </c>
      <c r="D9" s="26" t="str">
        <f aca="false">IF(C9="","",IFERROR(INDEX(Projects!$B$5:$B$54,MATCH(C9,Projects!$A$5:$A$54,0)),"Unknown ID"))</f>
        <v>Observability &amp; alerting uplift</v>
      </c>
      <c r="E9" s="41"/>
      <c r="F9" s="41"/>
      <c r="G9" s="41" t="n">
        <v>0.4</v>
      </c>
      <c r="H9" s="41" t="n">
        <v>0.4</v>
      </c>
      <c r="I9" s="41" t="n">
        <v>0.4</v>
      </c>
      <c r="J9" s="41" t="n">
        <v>0.4</v>
      </c>
      <c r="K9" s="41" t="n">
        <v>0.4</v>
      </c>
      <c r="L9" s="41" t="n">
        <v>0.4</v>
      </c>
      <c r="M9" s="41"/>
      <c r="N9" s="41"/>
      <c r="O9" s="41"/>
      <c r="P9" s="41"/>
      <c r="Q9" s="19" t="n">
        <f aca="false">IF(A9="","",SUM(E9:P9))</f>
        <v>2.4</v>
      </c>
      <c r="R9" s="42" t="n">
        <f aca="false">IF(A9="","",IFERROR(INDEX(Team!$K$5:$K$64,MATCH(A9,Team!$A$5:$A$64,0)),0))</f>
        <v>12000</v>
      </c>
      <c r="S9" s="42" t="n">
        <f aca="false">IF(A9="","",Q9*R9)</f>
        <v>28800</v>
      </c>
    </row>
    <row r="10" customFormat="false" ht="15" hidden="false" customHeight="false" outlineLevel="0" collapsed="false">
      <c r="A10" s="29" t="s">
        <v>158</v>
      </c>
      <c r="B10" s="26" t="str">
        <f aca="false">IF(A10="","",IFERROR(INDEX(Team!$B$5:$B$64,MATCH(A10,Team!$A$5:$A$64,0)),"Not in Team"))</f>
        <v>Frontend Developer</v>
      </c>
      <c r="C10" s="29" t="s">
        <v>105</v>
      </c>
      <c r="D10" s="26" t="str">
        <f aca="false">IF(C10="","",IFERROR(INDEX(Projects!$B$5:$B$54,MATCH(C10,Projects!$A$5:$A$54,0)),"Unknown ID"))</f>
        <v>RepApp Angular migration (strangler fig)</v>
      </c>
      <c r="E10" s="41" t="n">
        <v>0.9</v>
      </c>
      <c r="F10" s="41" t="n">
        <v>0.9</v>
      </c>
      <c r="G10" s="41" t="n">
        <v>0.9</v>
      </c>
      <c r="H10" s="41" t="n">
        <v>0.9</v>
      </c>
      <c r="I10" s="41" t="n">
        <v>0.9</v>
      </c>
      <c r="J10" s="41" t="n">
        <v>0.9</v>
      </c>
      <c r="K10" s="41" t="n">
        <v>0.9</v>
      </c>
      <c r="L10" s="41" t="n">
        <v>0.9</v>
      </c>
      <c r="M10" s="41" t="n">
        <v>0.9</v>
      </c>
      <c r="N10" s="41" t="n">
        <v>0.9</v>
      </c>
      <c r="O10" s="41" t="n">
        <v>0.9</v>
      </c>
      <c r="P10" s="41" t="n">
        <v>0.9</v>
      </c>
      <c r="Q10" s="19" t="n">
        <f aca="false">IF(A10="","",SUM(E10:P10))</f>
        <v>10.8</v>
      </c>
      <c r="R10" s="42" t="n">
        <f aca="false">IF(A10="","",IFERROR(INDEX(Team!$K$5:$K$64,MATCH(A10,Team!$A$5:$A$64,0)),0))</f>
        <v>14000</v>
      </c>
      <c r="S10" s="42" t="n">
        <f aca="false">IF(A10="","",Q10*R10)</f>
        <v>151200</v>
      </c>
    </row>
    <row r="11" customFormat="false" ht="15" hidden="false" customHeight="false" outlineLevel="0" collapsed="false">
      <c r="A11" s="29" t="s">
        <v>165</v>
      </c>
      <c r="B11" s="26" t="str">
        <f aca="false">IF(A11="","",IFERROR(INDEX(Team!$B$5:$B$64,MATCH(A11,Team!$A$5:$A$64,0)),"Not in Team"))</f>
        <v>Full-stack Developer</v>
      </c>
      <c r="C11" s="29" t="s">
        <v>105</v>
      </c>
      <c r="D11" s="26" t="str">
        <f aca="false">IF(C11="","",IFERROR(INDEX(Projects!$B$5:$B$54,MATCH(C11,Projects!$A$5:$A$54,0)),"Unknown ID"))</f>
        <v>RepApp Angular migration (strangler fig)</v>
      </c>
      <c r="E11" s="41" t="n">
        <v>0.5</v>
      </c>
      <c r="F11" s="41" t="n">
        <v>0.5</v>
      </c>
      <c r="G11" s="41" t="n">
        <v>0.5</v>
      </c>
      <c r="H11" s="41" t="n">
        <v>0.5</v>
      </c>
      <c r="I11" s="41" t="n">
        <v>0.5</v>
      </c>
      <c r="J11" s="41" t="n">
        <v>0.5</v>
      </c>
      <c r="K11" s="41" t="n">
        <v>0.5</v>
      </c>
      <c r="L11" s="41" t="n">
        <v>0.5</v>
      </c>
      <c r="M11" s="41" t="n">
        <v>0.5</v>
      </c>
      <c r="N11" s="41" t="n">
        <v>0.5</v>
      </c>
      <c r="O11" s="41" t="n">
        <v>0.5</v>
      </c>
      <c r="P11" s="41" t="n">
        <v>0.5</v>
      </c>
      <c r="Q11" s="19" t="n">
        <f aca="false">IF(A11="","",SUM(E11:P11))</f>
        <v>6</v>
      </c>
      <c r="R11" s="42" t="n">
        <f aca="false">IF(A11="","",IFERROR(INDEX(Team!$K$5:$K$64,MATCH(A11,Team!$A$5:$A$64,0)),0))</f>
        <v>14000</v>
      </c>
      <c r="S11" s="42" t="n">
        <f aca="false">IF(A11="","",Q11*R11)</f>
        <v>84000</v>
      </c>
    </row>
    <row r="12" customFormat="false" ht="15" hidden="false" customHeight="false" outlineLevel="0" collapsed="false">
      <c r="A12" s="29" t="s">
        <v>165</v>
      </c>
      <c r="B12" s="26" t="str">
        <f aca="false">IF(A12="","",IFERROR(INDEX(Team!$B$5:$B$64,MATCH(A12,Team!$A$5:$A$64,0)),"Not in Team"))</f>
        <v>Full-stack Developer</v>
      </c>
      <c r="C12" s="29" t="s">
        <v>115</v>
      </c>
      <c r="D12" s="26" t="str">
        <f aca="false">IF(C12="","",IFERROR(INDEX(Projects!$B$5:$B$54,MATCH(C12,Projects!$A$5:$A$54,0)),"Unknown ID"))</f>
        <v>Application portfolio dashboard</v>
      </c>
      <c r="E12" s="41" t="n">
        <v>0.4</v>
      </c>
      <c r="F12" s="41" t="n">
        <v>0.4</v>
      </c>
      <c r="G12" s="41" t="n">
        <v>0.4</v>
      </c>
      <c r="H12" s="41" t="n">
        <v>0.4</v>
      </c>
      <c r="I12" s="41"/>
      <c r="J12" s="41"/>
      <c r="K12" s="41"/>
      <c r="L12" s="41"/>
      <c r="M12" s="41"/>
      <c r="N12" s="41"/>
      <c r="O12" s="41"/>
      <c r="P12" s="41"/>
      <c r="Q12" s="19" t="n">
        <f aca="false">IF(A12="","",SUM(E12:P12))</f>
        <v>1.6</v>
      </c>
      <c r="R12" s="42" t="n">
        <f aca="false">IF(A12="","",IFERROR(INDEX(Team!$K$5:$K$64,MATCH(A12,Team!$A$5:$A$64,0)),0))</f>
        <v>14000</v>
      </c>
      <c r="S12" s="42" t="n">
        <f aca="false">IF(A12="","",Q12*R12)</f>
        <v>22400</v>
      </c>
    </row>
    <row r="13" customFormat="false" ht="15" hidden="false" customHeight="false" outlineLevel="0" collapsed="false">
      <c r="A13" s="29" t="s">
        <v>169</v>
      </c>
      <c r="B13" s="26" t="str">
        <f aca="false">IF(A13="","",IFERROR(INDEX(Team!$B$5:$B$64,MATCH(A13,Team!$A$5:$A$64,0)),"Not in Team"))</f>
        <v>QA / SDET</v>
      </c>
      <c r="C13" s="29" t="s">
        <v>105</v>
      </c>
      <c r="D13" s="26" t="str">
        <f aca="false">IF(C13="","",IFERROR(INDEX(Projects!$B$5:$B$54,MATCH(C13,Projects!$A$5:$A$54,0)),"Unknown ID"))</f>
        <v>RepApp Angular migration (strangler fig)</v>
      </c>
      <c r="E13" s="41" t="n">
        <v>0.6</v>
      </c>
      <c r="F13" s="41" t="n">
        <v>0.6</v>
      </c>
      <c r="G13" s="41" t="n">
        <v>0.6</v>
      </c>
      <c r="H13" s="41" t="n">
        <v>0.6</v>
      </c>
      <c r="I13" s="41" t="n">
        <v>0.6</v>
      </c>
      <c r="J13" s="41" t="n">
        <v>0.6</v>
      </c>
      <c r="K13" s="41" t="n">
        <v>0.6</v>
      </c>
      <c r="L13" s="41" t="n">
        <v>0.6</v>
      </c>
      <c r="M13" s="41" t="n">
        <v>0.6</v>
      </c>
      <c r="N13" s="41" t="n">
        <v>0.6</v>
      </c>
      <c r="O13" s="41" t="n">
        <v>0.6</v>
      </c>
      <c r="P13" s="41" t="n">
        <v>0.6</v>
      </c>
      <c r="Q13" s="19" t="n">
        <f aca="false">IF(A13="","",SUM(E13:P13))</f>
        <v>7.2</v>
      </c>
      <c r="R13" s="42" t="n">
        <f aca="false">IF(A13="","",IFERROR(INDEX(Team!$K$5:$K$64,MATCH(A13,Team!$A$5:$A$64,0)),0))</f>
        <v>11000</v>
      </c>
      <c r="S13" s="42" t="n">
        <f aca="false">IF(A13="","",Q13*R13)</f>
        <v>79200</v>
      </c>
    </row>
    <row r="14" customFormat="false" ht="15" hidden="false" customHeight="false" outlineLevel="0" collapsed="false">
      <c r="A14" s="29" t="s">
        <v>169</v>
      </c>
      <c r="B14" s="26" t="str">
        <f aca="false">IF(A14="","",IFERROR(INDEX(Team!$B$5:$B$64,MATCH(A14,Team!$A$5:$A$64,0)),"Not in Team"))</f>
        <v>QA / SDET</v>
      </c>
      <c r="C14" s="29" t="s">
        <v>125</v>
      </c>
      <c r="D14" s="26" t="str">
        <f aca="false">IF(C14="","",IFERROR(INDEX(Projects!$B$5:$B$54,MATCH(C14,Projects!$A$5:$A$54,0)),"Unknown ID"))</f>
        <v>Observability &amp; alerting uplift</v>
      </c>
      <c r="E14" s="41"/>
      <c r="F14" s="41"/>
      <c r="G14" s="41" t="n">
        <v>0.3</v>
      </c>
      <c r="H14" s="41" t="n">
        <v>0.3</v>
      </c>
      <c r="I14" s="41" t="n">
        <v>0.3</v>
      </c>
      <c r="J14" s="41" t="n">
        <v>0.3</v>
      </c>
      <c r="K14" s="41" t="n">
        <v>0.3</v>
      </c>
      <c r="L14" s="41" t="n">
        <v>0.3</v>
      </c>
      <c r="M14" s="41"/>
      <c r="N14" s="41"/>
      <c r="O14" s="41"/>
      <c r="P14" s="41"/>
      <c r="Q14" s="19" t="n">
        <f aca="false">IF(A14="","",SUM(E14:P14))</f>
        <v>1.8</v>
      </c>
      <c r="R14" s="42" t="n">
        <f aca="false">IF(A14="","",IFERROR(INDEX(Team!$K$5:$K$64,MATCH(A14,Team!$A$5:$A$64,0)),0))</f>
        <v>11000</v>
      </c>
      <c r="S14" s="42" t="n">
        <f aca="false">IF(A14="","",Q14*R14)</f>
        <v>19800</v>
      </c>
    </row>
    <row r="15" customFormat="false" ht="15" hidden="false" customHeight="false" outlineLevel="0" collapsed="false">
      <c r="A15" s="29" t="s">
        <v>172</v>
      </c>
      <c r="B15" s="26" t="str">
        <f aca="false">IF(A15="","",IFERROR(INDEX(Team!$B$5:$B$64,MATCH(A15,Team!$A$5:$A$64,0)),"Not in Team"))</f>
        <v>Frontend Developer</v>
      </c>
      <c r="C15" s="29" t="s">
        <v>105</v>
      </c>
      <c r="D15" s="26" t="str">
        <f aca="false">IF(C15="","",IFERROR(INDEX(Projects!$B$5:$B$54,MATCH(C15,Projects!$A$5:$A$54,0)),"Unknown ID"))</f>
        <v>RepApp Angular migration (strangler fig)</v>
      </c>
      <c r="E15" s="41"/>
      <c r="F15" s="41"/>
      <c r="G15" s="41"/>
      <c r="H15" s="41" t="n">
        <v>0.8</v>
      </c>
      <c r="I15" s="41" t="n">
        <v>0.8</v>
      </c>
      <c r="J15" s="41" t="n">
        <v>0.8</v>
      </c>
      <c r="K15" s="41" t="n">
        <v>0.8</v>
      </c>
      <c r="L15" s="41" t="n">
        <v>0.8</v>
      </c>
      <c r="M15" s="41" t="n">
        <v>0.8</v>
      </c>
      <c r="N15" s="41" t="n">
        <v>0.8</v>
      </c>
      <c r="O15" s="41" t="n">
        <v>0.8</v>
      </c>
      <c r="P15" s="41" t="n">
        <v>0.8</v>
      </c>
      <c r="Q15" s="19" t="n">
        <f aca="false">IF(A15="","",SUM(E15:P15))</f>
        <v>7.2</v>
      </c>
      <c r="R15" s="42" t="n">
        <f aca="false">IF(A15="","",IFERROR(INDEX(Team!$K$5:$K$64,MATCH(A15,Team!$A$5:$A$64,0)),0))</f>
        <v>12000</v>
      </c>
      <c r="S15" s="42" t="n">
        <f aca="false">IF(A15="","",Q15*R15)</f>
        <v>86400</v>
      </c>
    </row>
    <row r="16" customFormat="false" ht="15" hidden="false" customHeight="false" outlineLevel="0" collapsed="false">
      <c r="A16" s="29"/>
      <c r="B16" s="26" t="str">
        <f aca="false">IF(A16="","",IFERROR(INDEX(Team!$B$5:$B$64,MATCH(A16,Team!$A$5:$A$64,0)),"Not in Team"))</f>
        <v/>
      </c>
      <c r="C16" s="29"/>
      <c r="D16" s="26" t="str">
        <f aca="false">IF(C16="","",IFERROR(INDEX(Projects!$B$5:$B$54,MATCH(C16,Projects!$A$5:$A$54,0)),"Unknown ID"))</f>
        <v/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19" t="str">
        <f aca="false">IF(A16="","",SUM(E16:P16))</f>
        <v/>
      </c>
      <c r="R16" s="42" t="str">
        <f aca="false">IF(A16="","",IFERROR(INDEX(Team!$K$5:$K$64,MATCH(A16,Team!$A$5:$A$64,0)),0))</f>
        <v/>
      </c>
      <c r="S16" s="42" t="str">
        <f aca="false">IF(A16="","",Q16*R16)</f>
        <v/>
      </c>
    </row>
    <row r="17" customFormat="false" ht="15" hidden="false" customHeight="false" outlineLevel="0" collapsed="false">
      <c r="A17" s="29"/>
      <c r="B17" s="26" t="str">
        <f aca="false">IF(A17="","",IFERROR(INDEX(Team!$B$5:$B$64,MATCH(A17,Team!$A$5:$A$64,0)),"Not in Team"))</f>
        <v/>
      </c>
      <c r="C17" s="29"/>
      <c r="D17" s="26" t="str">
        <f aca="false">IF(C17="","",IFERROR(INDEX(Projects!$B$5:$B$54,MATCH(C17,Projects!$A$5:$A$54,0)),"Unknown ID"))</f>
        <v/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19" t="str">
        <f aca="false">IF(A17="","",SUM(E17:P17))</f>
        <v/>
      </c>
      <c r="R17" s="42" t="str">
        <f aca="false">IF(A17="","",IFERROR(INDEX(Team!$K$5:$K$64,MATCH(A17,Team!$A$5:$A$64,0)),0))</f>
        <v/>
      </c>
      <c r="S17" s="42" t="str">
        <f aca="false">IF(A17="","",Q17*R17)</f>
        <v/>
      </c>
    </row>
    <row r="18" customFormat="false" ht="15" hidden="false" customHeight="false" outlineLevel="0" collapsed="false">
      <c r="A18" s="29"/>
      <c r="B18" s="26" t="str">
        <f aca="false">IF(A18="","",IFERROR(INDEX(Team!$B$5:$B$64,MATCH(A18,Team!$A$5:$A$64,0)),"Not in Team"))</f>
        <v/>
      </c>
      <c r="C18" s="29"/>
      <c r="D18" s="26" t="str">
        <f aca="false">IF(C18="","",IFERROR(INDEX(Projects!$B$5:$B$54,MATCH(C18,Projects!$A$5:$A$54,0)),"Unknown ID"))</f>
        <v/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19" t="str">
        <f aca="false">IF(A18="","",SUM(E18:P18))</f>
        <v/>
      </c>
      <c r="R18" s="42" t="str">
        <f aca="false">IF(A18="","",IFERROR(INDEX(Team!$K$5:$K$64,MATCH(A18,Team!$A$5:$A$64,0)),0))</f>
        <v/>
      </c>
      <c r="S18" s="42" t="str">
        <f aca="false">IF(A18="","",Q18*R18)</f>
        <v/>
      </c>
    </row>
    <row r="19" customFormat="false" ht="15" hidden="false" customHeight="false" outlineLevel="0" collapsed="false">
      <c r="A19" s="29"/>
      <c r="B19" s="26" t="str">
        <f aca="false">IF(A19="","",IFERROR(INDEX(Team!$B$5:$B$64,MATCH(A19,Team!$A$5:$A$64,0)),"Not in Team"))</f>
        <v/>
      </c>
      <c r="C19" s="29"/>
      <c r="D19" s="26" t="str">
        <f aca="false">IF(C19="","",IFERROR(INDEX(Projects!$B$5:$B$54,MATCH(C19,Projects!$A$5:$A$54,0)),"Unknown ID"))</f>
        <v/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19" t="str">
        <f aca="false">IF(A19="","",SUM(E19:P19))</f>
        <v/>
      </c>
      <c r="R19" s="42" t="str">
        <f aca="false">IF(A19="","",IFERROR(INDEX(Team!$K$5:$K$64,MATCH(A19,Team!$A$5:$A$64,0)),0))</f>
        <v/>
      </c>
      <c r="S19" s="42" t="str">
        <f aca="false">IF(A19="","",Q19*R19)</f>
        <v/>
      </c>
    </row>
    <row r="20" customFormat="false" ht="15" hidden="false" customHeight="false" outlineLevel="0" collapsed="false">
      <c r="A20" s="29"/>
      <c r="B20" s="26" t="str">
        <f aca="false">IF(A20="","",IFERROR(INDEX(Team!$B$5:$B$64,MATCH(A20,Team!$A$5:$A$64,0)),"Not in Team"))</f>
        <v/>
      </c>
      <c r="C20" s="29"/>
      <c r="D20" s="26" t="str">
        <f aca="false">IF(C20="","",IFERROR(INDEX(Projects!$B$5:$B$54,MATCH(C20,Projects!$A$5:$A$54,0)),"Unknown ID"))</f>
        <v/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19" t="str">
        <f aca="false">IF(A20="","",SUM(E20:P20))</f>
        <v/>
      </c>
      <c r="R20" s="42" t="str">
        <f aca="false">IF(A20="","",IFERROR(INDEX(Team!$K$5:$K$64,MATCH(A20,Team!$A$5:$A$64,0)),0))</f>
        <v/>
      </c>
      <c r="S20" s="42" t="str">
        <f aca="false">IF(A20="","",Q20*R20)</f>
        <v/>
      </c>
    </row>
    <row r="21" customFormat="false" ht="15" hidden="false" customHeight="false" outlineLevel="0" collapsed="false">
      <c r="A21" s="29"/>
      <c r="B21" s="26" t="str">
        <f aca="false">IF(A21="","",IFERROR(INDEX(Team!$B$5:$B$64,MATCH(A21,Team!$A$5:$A$64,0)),"Not in Team"))</f>
        <v/>
      </c>
      <c r="C21" s="29"/>
      <c r="D21" s="26" t="str">
        <f aca="false">IF(C21="","",IFERROR(INDEX(Projects!$B$5:$B$54,MATCH(C21,Projects!$A$5:$A$54,0)),"Unknown ID"))</f>
        <v/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19" t="str">
        <f aca="false">IF(A21="","",SUM(E21:P21))</f>
        <v/>
      </c>
      <c r="R21" s="42" t="str">
        <f aca="false">IF(A21="","",IFERROR(INDEX(Team!$K$5:$K$64,MATCH(A21,Team!$A$5:$A$64,0)),0))</f>
        <v/>
      </c>
      <c r="S21" s="42" t="str">
        <f aca="false">IF(A21="","",Q21*R21)</f>
        <v/>
      </c>
    </row>
    <row r="22" customFormat="false" ht="15" hidden="false" customHeight="false" outlineLevel="0" collapsed="false">
      <c r="A22" s="29"/>
      <c r="B22" s="26" t="str">
        <f aca="false">IF(A22="","",IFERROR(INDEX(Team!$B$5:$B$64,MATCH(A22,Team!$A$5:$A$64,0)),"Not in Team"))</f>
        <v/>
      </c>
      <c r="C22" s="29"/>
      <c r="D22" s="26" t="str">
        <f aca="false">IF(C22="","",IFERROR(INDEX(Projects!$B$5:$B$54,MATCH(C22,Projects!$A$5:$A$54,0)),"Unknown ID"))</f>
        <v/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19" t="str">
        <f aca="false">IF(A22="","",SUM(E22:P22))</f>
        <v/>
      </c>
      <c r="R22" s="42" t="str">
        <f aca="false">IF(A22="","",IFERROR(INDEX(Team!$K$5:$K$64,MATCH(A22,Team!$A$5:$A$64,0)),0))</f>
        <v/>
      </c>
      <c r="S22" s="42" t="str">
        <f aca="false">IF(A22="","",Q22*R22)</f>
        <v/>
      </c>
    </row>
    <row r="23" customFormat="false" ht="15" hidden="false" customHeight="false" outlineLevel="0" collapsed="false">
      <c r="A23" s="29"/>
      <c r="B23" s="26" t="str">
        <f aca="false">IF(A23="","",IFERROR(INDEX(Team!$B$5:$B$64,MATCH(A23,Team!$A$5:$A$64,0)),"Not in Team"))</f>
        <v/>
      </c>
      <c r="C23" s="29"/>
      <c r="D23" s="26" t="str">
        <f aca="false">IF(C23="","",IFERROR(INDEX(Projects!$B$5:$B$54,MATCH(C23,Projects!$A$5:$A$54,0)),"Unknown ID"))</f>
        <v/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19" t="str">
        <f aca="false">IF(A23="","",SUM(E23:P23))</f>
        <v/>
      </c>
      <c r="R23" s="42" t="str">
        <f aca="false">IF(A23="","",IFERROR(INDEX(Team!$K$5:$K$64,MATCH(A23,Team!$A$5:$A$64,0)),0))</f>
        <v/>
      </c>
      <c r="S23" s="42" t="str">
        <f aca="false">IF(A23="","",Q23*R23)</f>
        <v/>
      </c>
    </row>
    <row r="24" customFormat="false" ht="15" hidden="false" customHeight="false" outlineLevel="0" collapsed="false">
      <c r="A24" s="29"/>
      <c r="B24" s="26" t="str">
        <f aca="false">IF(A24="","",IFERROR(INDEX(Team!$B$5:$B$64,MATCH(A24,Team!$A$5:$A$64,0)),"Not in Team"))</f>
        <v/>
      </c>
      <c r="C24" s="29"/>
      <c r="D24" s="26" t="str">
        <f aca="false">IF(C24="","",IFERROR(INDEX(Projects!$B$5:$B$54,MATCH(C24,Projects!$A$5:$A$54,0)),"Unknown ID"))</f>
        <v/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19" t="str">
        <f aca="false">IF(A24="","",SUM(E24:P24))</f>
        <v/>
      </c>
      <c r="R24" s="42" t="str">
        <f aca="false">IF(A24="","",IFERROR(INDEX(Team!$K$5:$K$64,MATCH(A24,Team!$A$5:$A$64,0)),0))</f>
        <v/>
      </c>
      <c r="S24" s="42" t="str">
        <f aca="false">IF(A24="","",Q24*R24)</f>
        <v/>
      </c>
    </row>
    <row r="25" customFormat="false" ht="15" hidden="false" customHeight="false" outlineLevel="0" collapsed="false">
      <c r="A25" s="29"/>
      <c r="B25" s="26" t="str">
        <f aca="false">IF(A25="","",IFERROR(INDEX(Team!$B$5:$B$64,MATCH(A25,Team!$A$5:$A$64,0)),"Not in Team"))</f>
        <v/>
      </c>
      <c r="C25" s="29"/>
      <c r="D25" s="26" t="str">
        <f aca="false">IF(C25="","",IFERROR(INDEX(Projects!$B$5:$B$54,MATCH(C25,Projects!$A$5:$A$54,0)),"Unknown ID"))</f>
        <v/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19" t="str">
        <f aca="false">IF(A25="","",SUM(E25:P25))</f>
        <v/>
      </c>
      <c r="R25" s="42" t="str">
        <f aca="false">IF(A25="","",IFERROR(INDEX(Team!$K$5:$K$64,MATCH(A25,Team!$A$5:$A$64,0)),0))</f>
        <v/>
      </c>
      <c r="S25" s="42" t="str">
        <f aca="false">IF(A25="","",Q25*R25)</f>
        <v/>
      </c>
    </row>
    <row r="26" customFormat="false" ht="15" hidden="false" customHeight="false" outlineLevel="0" collapsed="false">
      <c r="A26" s="29"/>
      <c r="B26" s="26" t="str">
        <f aca="false">IF(A26="","",IFERROR(INDEX(Team!$B$5:$B$64,MATCH(A26,Team!$A$5:$A$64,0)),"Not in Team"))</f>
        <v/>
      </c>
      <c r="C26" s="29"/>
      <c r="D26" s="26" t="str">
        <f aca="false">IF(C26="","",IFERROR(INDEX(Projects!$B$5:$B$54,MATCH(C26,Projects!$A$5:$A$54,0)),"Unknown ID"))</f>
        <v/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19" t="str">
        <f aca="false">IF(A26="","",SUM(E26:P26))</f>
        <v/>
      </c>
      <c r="R26" s="42" t="str">
        <f aca="false">IF(A26="","",IFERROR(INDEX(Team!$K$5:$K$64,MATCH(A26,Team!$A$5:$A$64,0)),0))</f>
        <v/>
      </c>
      <c r="S26" s="42" t="str">
        <f aca="false">IF(A26="","",Q26*R26)</f>
        <v/>
      </c>
    </row>
    <row r="27" customFormat="false" ht="15" hidden="false" customHeight="false" outlineLevel="0" collapsed="false">
      <c r="A27" s="29"/>
      <c r="B27" s="26" t="str">
        <f aca="false">IF(A27="","",IFERROR(INDEX(Team!$B$5:$B$64,MATCH(A27,Team!$A$5:$A$64,0)),"Not in Team"))</f>
        <v/>
      </c>
      <c r="C27" s="29"/>
      <c r="D27" s="26" t="str">
        <f aca="false">IF(C27="","",IFERROR(INDEX(Projects!$B$5:$B$54,MATCH(C27,Projects!$A$5:$A$54,0)),"Unknown ID"))</f>
        <v/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19" t="str">
        <f aca="false">IF(A27="","",SUM(E27:P27))</f>
        <v/>
      </c>
      <c r="R27" s="42" t="str">
        <f aca="false">IF(A27="","",IFERROR(INDEX(Team!$K$5:$K$64,MATCH(A27,Team!$A$5:$A$64,0)),0))</f>
        <v/>
      </c>
      <c r="S27" s="42" t="str">
        <f aca="false">IF(A27="","",Q27*R27)</f>
        <v/>
      </c>
    </row>
    <row r="28" customFormat="false" ht="15" hidden="false" customHeight="false" outlineLevel="0" collapsed="false">
      <c r="A28" s="29"/>
      <c r="B28" s="26" t="str">
        <f aca="false">IF(A28="","",IFERROR(INDEX(Team!$B$5:$B$64,MATCH(A28,Team!$A$5:$A$64,0)),"Not in Team"))</f>
        <v/>
      </c>
      <c r="C28" s="29"/>
      <c r="D28" s="26" t="str">
        <f aca="false">IF(C28="","",IFERROR(INDEX(Projects!$B$5:$B$54,MATCH(C28,Projects!$A$5:$A$54,0)),"Unknown ID"))</f>
        <v/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19" t="str">
        <f aca="false">IF(A28="","",SUM(E28:P28))</f>
        <v/>
      </c>
      <c r="R28" s="42" t="str">
        <f aca="false">IF(A28="","",IFERROR(INDEX(Team!$K$5:$K$64,MATCH(A28,Team!$A$5:$A$64,0)),0))</f>
        <v/>
      </c>
      <c r="S28" s="42" t="str">
        <f aca="false">IF(A28="","",Q28*R28)</f>
        <v/>
      </c>
    </row>
    <row r="29" customFormat="false" ht="15" hidden="false" customHeight="false" outlineLevel="0" collapsed="false">
      <c r="A29" s="29"/>
      <c r="B29" s="26" t="str">
        <f aca="false">IF(A29="","",IFERROR(INDEX(Team!$B$5:$B$64,MATCH(A29,Team!$A$5:$A$64,0)),"Not in Team"))</f>
        <v/>
      </c>
      <c r="C29" s="29"/>
      <c r="D29" s="26" t="str">
        <f aca="false">IF(C29="","",IFERROR(INDEX(Projects!$B$5:$B$54,MATCH(C29,Projects!$A$5:$A$54,0)),"Unknown ID"))</f>
        <v/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19" t="str">
        <f aca="false">IF(A29="","",SUM(E29:P29))</f>
        <v/>
      </c>
      <c r="R29" s="42" t="str">
        <f aca="false">IF(A29="","",IFERROR(INDEX(Team!$K$5:$K$64,MATCH(A29,Team!$A$5:$A$64,0)),0))</f>
        <v/>
      </c>
      <c r="S29" s="42" t="str">
        <f aca="false">IF(A29="","",Q29*R29)</f>
        <v/>
      </c>
    </row>
    <row r="30" customFormat="false" ht="15" hidden="false" customHeight="false" outlineLevel="0" collapsed="false">
      <c r="A30" s="29"/>
      <c r="B30" s="26" t="str">
        <f aca="false">IF(A30="","",IFERROR(INDEX(Team!$B$5:$B$64,MATCH(A30,Team!$A$5:$A$64,0)),"Not in Team"))</f>
        <v/>
      </c>
      <c r="C30" s="29"/>
      <c r="D30" s="26" t="str">
        <f aca="false">IF(C30="","",IFERROR(INDEX(Projects!$B$5:$B$54,MATCH(C30,Projects!$A$5:$A$54,0)),"Unknown ID"))</f>
        <v/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19" t="str">
        <f aca="false">IF(A30="","",SUM(E30:P30))</f>
        <v/>
      </c>
      <c r="R30" s="42" t="str">
        <f aca="false">IF(A30="","",IFERROR(INDEX(Team!$K$5:$K$64,MATCH(A30,Team!$A$5:$A$64,0)),0))</f>
        <v/>
      </c>
      <c r="S30" s="42" t="str">
        <f aca="false">IF(A30="","",Q30*R30)</f>
        <v/>
      </c>
    </row>
    <row r="31" customFormat="false" ht="15" hidden="false" customHeight="false" outlineLevel="0" collapsed="false">
      <c r="A31" s="29"/>
      <c r="B31" s="26" t="str">
        <f aca="false">IF(A31="","",IFERROR(INDEX(Team!$B$5:$B$64,MATCH(A31,Team!$A$5:$A$64,0)),"Not in Team"))</f>
        <v/>
      </c>
      <c r="C31" s="29"/>
      <c r="D31" s="26" t="str">
        <f aca="false">IF(C31="","",IFERROR(INDEX(Projects!$B$5:$B$54,MATCH(C31,Projects!$A$5:$A$54,0)),"Unknown ID"))</f>
        <v/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19" t="str">
        <f aca="false">IF(A31="","",SUM(E31:P31))</f>
        <v/>
      </c>
      <c r="R31" s="42" t="str">
        <f aca="false">IF(A31="","",IFERROR(INDEX(Team!$K$5:$K$64,MATCH(A31,Team!$A$5:$A$64,0)),0))</f>
        <v/>
      </c>
      <c r="S31" s="42" t="str">
        <f aca="false">IF(A31="","",Q31*R31)</f>
        <v/>
      </c>
    </row>
    <row r="32" customFormat="false" ht="15" hidden="false" customHeight="false" outlineLevel="0" collapsed="false">
      <c r="A32" s="29"/>
      <c r="B32" s="26" t="str">
        <f aca="false">IF(A32="","",IFERROR(INDEX(Team!$B$5:$B$64,MATCH(A32,Team!$A$5:$A$64,0)),"Not in Team"))</f>
        <v/>
      </c>
      <c r="C32" s="29"/>
      <c r="D32" s="26" t="str">
        <f aca="false">IF(C32="","",IFERROR(INDEX(Projects!$B$5:$B$54,MATCH(C32,Projects!$A$5:$A$54,0)),"Unknown ID"))</f>
        <v/>
      </c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19" t="str">
        <f aca="false">IF(A32="","",SUM(E32:P32))</f>
        <v/>
      </c>
      <c r="R32" s="42" t="str">
        <f aca="false">IF(A32="","",IFERROR(INDEX(Team!$K$5:$K$64,MATCH(A32,Team!$A$5:$A$64,0)),0))</f>
        <v/>
      </c>
      <c r="S32" s="42" t="str">
        <f aca="false">IF(A32="","",Q32*R32)</f>
        <v/>
      </c>
    </row>
    <row r="33" customFormat="false" ht="15" hidden="false" customHeight="false" outlineLevel="0" collapsed="false">
      <c r="A33" s="29"/>
      <c r="B33" s="26" t="str">
        <f aca="false">IF(A33="","",IFERROR(INDEX(Team!$B$5:$B$64,MATCH(A33,Team!$A$5:$A$64,0)),"Not in Team"))</f>
        <v/>
      </c>
      <c r="C33" s="29"/>
      <c r="D33" s="26" t="str">
        <f aca="false">IF(C33="","",IFERROR(INDEX(Projects!$B$5:$B$54,MATCH(C33,Projects!$A$5:$A$54,0)),"Unknown ID"))</f>
        <v/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19" t="str">
        <f aca="false">IF(A33="","",SUM(E33:P33))</f>
        <v/>
      </c>
      <c r="R33" s="42" t="str">
        <f aca="false">IF(A33="","",IFERROR(INDEX(Team!$K$5:$K$64,MATCH(A33,Team!$A$5:$A$64,0)),0))</f>
        <v/>
      </c>
      <c r="S33" s="42" t="str">
        <f aca="false">IF(A33="","",Q33*R33)</f>
        <v/>
      </c>
    </row>
    <row r="34" customFormat="false" ht="15" hidden="false" customHeight="false" outlineLevel="0" collapsed="false">
      <c r="A34" s="29"/>
      <c r="B34" s="26" t="str">
        <f aca="false">IF(A34="","",IFERROR(INDEX(Team!$B$5:$B$64,MATCH(A34,Team!$A$5:$A$64,0)),"Not in Team"))</f>
        <v/>
      </c>
      <c r="C34" s="29"/>
      <c r="D34" s="26" t="str">
        <f aca="false">IF(C34="","",IFERROR(INDEX(Projects!$B$5:$B$54,MATCH(C34,Projects!$A$5:$A$54,0)),"Unknown ID"))</f>
        <v/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19" t="str">
        <f aca="false">IF(A34="","",SUM(E34:P34))</f>
        <v/>
      </c>
      <c r="R34" s="42" t="str">
        <f aca="false">IF(A34="","",IFERROR(INDEX(Team!$K$5:$K$64,MATCH(A34,Team!$A$5:$A$64,0)),0))</f>
        <v/>
      </c>
      <c r="S34" s="42" t="str">
        <f aca="false">IF(A34="","",Q34*R34)</f>
        <v/>
      </c>
    </row>
    <row r="35" customFormat="false" ht="15" hidden="false" customHeight="false" outlineLevel="0" collapsed="false">
      <c r="A35" s="29"/>
      <c r="B35" s="26" t="str">
        <f aca="false">IF(A35="","",IFERROR(INDEX(Team!$B$5:$B$64,MATCH(A35,Team!$A$5:$A$64,0)),"Not in Team"))</f>
        <v/>
      </c>
      <c r="C35" s="29"/>
      <c r="D35" s="26" t="str">
        <f aca="false">IF(C35="","",IFERROR(INDEX(Projects!$B$5:$B$54,MATCH(C35,Projects!$A$5:$A$54,0)),"Unknown ID"))</f>
        <v/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19" t="str">
        <f aca="false">IF(A35="","",SUM(E35:P35))</f>
        <v/>
      </c>
      <c r="R35" s="42" t="str">
        <f aca="false">IF(A35="","",IFERROR(INDEX(Team!$K$5:$K$64,MATCH(A35,Team!$A$5:$A$64,0)),0))</f>
        <v/>
      </c>
      <c r="S35" s="42" t="str">
        <f aca="false">IF(A35="","",Q35*R35)</f>
        <v/>
      </c>
    </row>
    <row r="36" customFormat="false" ht="15" hidden="false" customHeight="false" outlineLevel="0" collapsed="false">
      <c r="A36" s="29"/>
      <c r="B36" s="26" t="str">
        <f aca="false">IF(A36="","",IFERROR(INDEX(Team!$B$5:$B$64,MATCH(A36,Team!$A$5:$A$64,0)),"Not in Team"))</f>
        <v/>
      </c>
      <c r="C36" s="29"/>
      <c r="D36" s="26" t="str">
        <f aca="false">IF(C36="","",IFERROR(INDEX(Projects!$B$5:$B$54,MATCH(C36,Projects!$A$5:$A$54,0)),"Unknown ID"))</f>
        <v/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19" t="str">
        <f aca="false">IF(A36="","",SUM(E36:P36))</f>
        <v/>
      </c>
      <c r="R36" s="42" t="str">
        <f aca="false">IF(A36="","",IFERROR(INDEX(Team!$K$5:$K$64,MATCH(A36,Team!$A$5:$A$64,0)),0))</f>
        <v/>
      </c>
      <c r="S36" s="42" t="str">
        <f aca="false">IF(A36="","",Q36*R36)</f>
        <v/>
      </c>
    </row>
    <row r="37" customFormat="false" ht="15" hidden="false" customHeight="false" outlineLevel="0" collapsed="false">
      <c r="A37" s="29"/>
      <c r="B37" s="26" t="str">
        <f aca="false">IF(A37="","",IFERROR(INDEX(Team!$B$5:$B$64,MATCH(A37,Team!$A$5:$A$64,0)),"Not in Team"))</f>
        <v/>
      </c>
      <c r="C37" s="29"/>
      <c r="D37" s="26" t="str">
        <f aca="false">IF(C37="","",IFERROR(INDEX(Projects!$B$5:$B$54,MATCH(C37,Projects!$A$5:$A$54,0)),"Unknown ID"))</f>
        <v/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19" t="str">
        <f aca="false">IF(A37="","",SUM(E37:P37))</f>
        <v/>
      </c>
      <c r="R37" s="42" t="str">
        <f aca="false">IF(A37="","",IFERROR(INDEX(Team!$K$5:$K$64,MATCH(A37,Team!$A$5:$A$64,0)),0))</f>
        <v/>
      </c>
      <c r="S37" s="42" t="str">
        <f aca="false">IF(A37="","",Q37*R37)</f>
        <v/>
      </c>
    </row>
    <row r="38" customFormat="false" ht="15" hidden="false" customHeight="false" outlineLevel="0" collapsed="false">
      <c r="A38" s="29"/>
      <c r="B38" s="26" t="str">
        <f aca="false">IF(A38="","",IFERROR(INDEX(Team!$B$5:$B$64,MATCH(A38,Team!$A$5:$A$64,0)),"Not in Team"))</f>
        <v/>
      </c>
      <c r="C38" s="29"/>
      <c r="D38" s="26" t="str">
        <f aca="false">IF(C38="","",IFERROR(INDEX(Projects!$B$5:$B$54,MATCH(C38,Projects!$A$5:$A$54,0)),"Unknown ID"))</f>
        <v/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19" t="str">
        <f aca="false">IF(A38="","",SUM(E38:P38))</f>
        <v/>
      </c>
      <c r="R38" s="42" t="str">
        <f aca="false">IF(A38="","",IFERROR(INDEX(Team!$K$5:$K$64,MATCH(A38,Team!$A$5:$A$64,0)),0))</f>
        <v/>
      </c>
      <c r="S38" s="42" t="str">
        <f aca="false">IF(A38="","",Q38*R38)</f>
        <v/>
      </c>
    </row>
    <row r="39" customFormat="false" ht="15" hidden="false" customHeight="false" outlineLevel="0" collapsed="false">
      <c r="A39" s="29"/>
      <c r="B39" s="26" t="str">
        <f aca="false">IF(A39="","",IFERROR(INDEX(Team!$B$5:$B$64,MATCH(A39,Team!$A$5:$A$64,0)),"Not in Team"))</f>
        <v/>
      </c>
      <c r="C39" s="29"/>
      <c r="D39" s="26" t="str">
        <f aca="false">IF(C39="","",IFERROR(INDEX(Projects!$B$5:$B$54,MATCH(C39,Projects!$A$5:$A$54,0)),"Unknown ID"))</f>
        <v/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19" t="str">
        <f aca="false">IF(A39="","",SUM(E39:P39))</f>
        <v/>
      </c>
      <c r="R39" s="42" t="str">
        <f aca="false">IF(A39="","",IFERROR(INDEX(Team!$K$5:$K$64,MATCH(A39,Team!$A$5:$A$64,0)),0))</f>
        <v/>
      </c>
      <c r="S39" s="42" t="str">
        <f aca="false">IF(A39="","",Q39*R39)</f>
        <v/>
      </c>
    </row>
    <row r="40" customFormat="false" ht="15" hidden="false" customHeight="false" outlineLevel="0" collapsed="false">
      <c r="A40" s="29"/>
      <c r="B40" s="26" t="str">
        <f aca="false">IF(A40="","",IFERROR(INDEX(Team!$B$5:$B$64,MATCH(A40,Team!$A$5:$A$64,0)),"Not in Team"))</f>
        <v/>
      </c>
      <c r="C40" s="29"/>
      <c r="D40" s="26" t="str">
        <f aca="false">IF(C40="","",IFERROR(INDEX(Projects!$B$5:$B$54,MATCH(C40,Projects!$A$5:$A$54,0)),"Unknown ID"))</f>
        <v/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19" t="str">
        <f aca="false">IF(A40="","",SUM(E40:P40))</f>
        <v/>
      </c>
      <c r="R40" s="42" t="str">
        <f aca="false">IF(A40="","",IFERROR(INDEX(Team!$K$5:$K$64,MATCH(A40,Team!$A$5:$A$64,0)),0))</f>
        <v/>
      </c>
      <c r="S40" s="42" t="str">
        <f aca="false">IF(A40="","",Q40*R40)</f>
        <v/>
      </c>
    </row>
    <row r="41" customFormat="false" ht="15" hidden="false" customHeight="false" outlineLevel="0" collapsed="false">
      <c r="A41" s="29"/>
      <c r="B41" s="26" t="str">
        <f aca="false">IF(A41="","",IFERROR(INDEX(Team!$B$5:$B$64,MATCH(A41,Team!$A$5:$A$64,0)),"Not in Team"))</f>
        <v/>
      </c>
      <c r="C41" s="29"/>
      <c r="D41" s="26" t="str">
        <f aca="false">IF(C41="","",IFERROR(INDEX(Projects!$B$5:$B$54,MATCH(C41,Projects!$A$5:$A$54,0)),"Unknown ID"))</f>
        <v/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19" t="str">
        <f aca="false">IF(A41="","",SUM(E41:P41))</f>
        <v/>
      </c>
      <c r="R41" s="42" t="str">
        <f aca="false">IF(A41="","",IFERROR(INDEX(Team!$K$5:$K$64,MATCH(A41,Team!$A$5:$A$64,0)),0))</f>
        <v/>
      </c>
      <c r="S41" s="42" t="str">
        <f aca="false">IF(A41="","",Q41*R41)</f>
        <v/>
      </c>
    </row>
    <row r="42" customFormat="false" ht="15" hidden="false" customHeight="false" outlineLevel="0" collapsed="false">
      <c r="A42" s="29"/>
      <c r="B42" s="26" t="str">
        <f aca="false">IF(A42="","",IFERROR(INDEX(Team!$B$5:$B$64,MATCH(A42,Team!$A$5:$A$64,0)),"Not in Team"))</f>
        <v/>
      </c>
      <c r="C42" s="29"/>
      <c r="D42" s="26" t="str">
        <f aca="false">IF(C42="","",IFERROR(INDEX(Projects!$B$5:$B$54,MATCH(C42,Projects!$A$5:$A$54,0)),"Unknown ID"))</f>
        <v/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19" t="str">
        <f aca="false">IF(A42="","",SUM(E42:P42))</f>
        <v/>
      </c>
      <c r="R42" s="42" t="str">
        <f aca="false">IF(A42="","",IFERROR(INDEX(Team!$K$5:$K$64,MATCH(A42,Team!$A$5:$A$64,0)),0))</f>
        <v/>
      </c>
      <c r="S42" s="42" t="str">
        <f aca="false">IF(A42="","",Q42*R42)</f>
        <v/>
      </c>
    </row>
    <row r="43" customFormat="false" ht="15" hidden="false" customHeight="false" outlineLevel="0" collapsed="false">
      <c r="A43" s="29"/>
      <c r="B43" s="26" t="str">
        <f aca="false">IF(A43="","",IFERROR(INDEX(Team!$B$5:$B$64,MATCH(A43,Team!$A$5:$A$64,0)),"Not in Team"))</f>
        <v/>
      </c>
      <c r="C43" s="29"/>
      <c r="D43" s="26" t="str">
        <f aca="false">IF(C43="","",IFERROR(INDEX(Projects!$B$5:$B$54,MATCH(C43,Projects!$A$5:$A$54,0)),"Unknown ID"))</f>
        <v/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19" t="str">
        <f aca="false">IF(A43="","",SUM(E43:P43))</f>
        <v/>
      </c>
      <c r="R43" s="42" t="str">
        <f aca="false">IF(A43="","",IFERROR(INDEX(Team!$K$5:$K$64,MATCH(A43,Team!$A$5:$A$64,0)),0))</f>
        <v/>
      </c>
      <c r="S43" s="42" t="str">
        <f aca="false">IF(A43="","",Q43*R43)</f>
        <v/>
      </c>
    </row>
    <row r="44" customFormat="false" ht="15" hidden="false" customHeight="false" outlineLevel="0" collapsed="false">
      <c r="A44" s="29"/>
      <c r="B44" s="26" t="str">
        <f aca="false">IF(A44="","",IFERROR(INDEX(Team!$B$5:$B$64,MATCH(A44,Team!$A$5:$A$64,0)),"Not in Team"))</f>
        <v/>
      </c>
      <c r="C44" s="29"/>
      <c r="D44" s="26" t="str">
        <f aca="false">IF(C44="","",IFERROR(INDEX(Projects!$B$5:$B$54,MATCH(C44,Projects!$A$5:$A$54,0)),"Unknown ID"))</f>
        <v/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19" t="str">
        <f aca="false">IF(A44="","",SUM(E44:P44))</f>
        <v/>
      </c>
      <c r="R44" s="42" t="str">
        <f aca="false">IF(A44="","",IFERROR(INDEX(Team!$K$5:$K$64,MATCH(A44,Team!$A$5:$A$64,0)),0))</f>
        <v/>
      </c>
      <c r="S44" s="42" t="str">
        <f aca="false">IF(A44="","",Q44*R44)</f>
        <v/>
      </c>
    </row>
    <row r="45" customFormat="false" ht="15" hidden="false" customHeight="false" outlineLevel="0" collapsed="false">
      <c r="A45" s="29"/>
      <c r="B45" s="26" t="str">
        <f aca="false">IF(A45="","",IFERROR(INDEX(Team!$B$5:$B$64,MATCH(A45,Team!$A$5:$A$64,0)),"Not in Team"))</f>
        <v/>
      </c>
      <c r="C45" s="29"/>
      <c r="D45" s="26" t="str">
        <f aca="false">IF(C45="","",IFERROR(INDEX(Projects!$B$5:$B$54,MATCH(C45,Projects!$A$5:$A$54,0)),"Unknown ID"))</f>
        <v/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19" t="str">
        <f aca="false">IF(A45="","",SUM(E45:P45))</f>
        <v/>
      </c>
      <c r="R45" s="42" t="str">
        <f aca="false">IF(A45="","",IFERROR(INDEX(Team!$K$5:$K$64,MATCH(A45,Team!$A$5:$A$64,0)),0))</f>
        <v/>
      </c>
      <c r="S45" s="42" t="str">
        <f aca="false">IF(A45="","",Q45*R45)</f>
        <v/>
      </c>
    </row>
    <row r="46" customFormat="false" ht="15" hidden="false" customHeight="false" outlineLevel="0" collapsed="false">
      <c r="A46" s="29"/>
      <c r="B46" s="26" t="str">
        <f aca="false">IF(A46="","",IFERROR(INDEX(Team!$B$5:$B$64,MATCH(A46,Team!$A$5:$A$64,0)),"Not in Team"))</f>
        <v/>
      </c>
      <c r="C46" s="29"/>
      <c r="D46" s="26" t="str">
        <f aca="false">IF(C46="","",IFERROR(INDEX(Projects!$B$5:$B$54,MATCH(C46,Projects!$A$5:$A$54,0)),"Unknown ID"))</f>
        <v/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19" t="str">
        <f aca="false">IF(A46="","",SUM(E46:P46))</f>
        <v/>
      </c>
      <c r="R46" s="42" t="str">
        <f aca="false">IF(A46="","",IFERROR(INDEX(Team!$K$5:$K$64,MATCH(A46,Team!$A$5:$A$64,0)),0))</f>
        <v/>
      </c>
      <c r="S46" s="42" t="str">
        <f aca="false">IF(A46="","",Q46*R46)</f>
        <v/>
      </c>
    </row>
    <row r="47" customFormat="false" ht="15" hidden="false" customHeight="false" outlineLevel="0" collapsed="false">
      <c r="A47" s="29"/>
      <c r="B47" s="26" t="str">
        <f aca="false">IF(A47="","",IFERROR(INDEX(Team!$B$5:$B$64,MATCH(A47,Team!$A$5:$A$64,0)),"Not in Team"))</f>
        <v/>
      </c>
      <c r="C47" s="29"/>
      <c r="D47" s="26" t="str">
        <f aca="false">IF(C47="","",IFERROR(INDEX(Projects!$B$5:$B$54,MATCH(C47,Projects!$A$5:$A$54,0)),"Unknown ID"))</f>
        <v/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19" t="str">
        <f aca="false">IF(A47="","",SUM(E47:P47))</f>
        <v/>
      </c>
      <c r="R47" s="42" t="str">
        <f aca="false">IF(A47="","",IFERROR(INDEX(Team!$K$5:$K$64,MATCH(A47,Team!$A$5:$A$64,0)),0))</f>
        <v/>
      </c>
      <c r="S47" s="42" t="str">
        <f aca="false">IF(A47="","",Q47*R47)</f>
        <v/>
      </c>
    </row>
    <row r="48" customFormat="false" ht="15" hidden="false" customHeight="false" outlineLevel="0" collapsed="false">
      <c r="A48" s="29"/>
      <c r="B48" s="26" t="str">
        <f aca="false">IF(A48="","",IFERROR(INDEX(Team!$B$5:$B$64,MATCH(A48,Team!$A$5:$A$64,0)),"Not in Team"))</f>
        <v/>
      </c>
      <c r="C48" s="29"/>
      <c r="D48" s="26" t="str">
        <f aca="false">IF(C48="","",IFERROR(INDEX(Projects!$B$5:$B$54,MATCH(C48,Projects!$A$5:$A$54,0)),"Unknown ID"))</f>
        <v/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19" t="str">
        <f aca="false">IF(A48="","",SUM(E48:P48))</f>
        <v/>
      </c>
      <c r="R48" s="42" t="str">
        <f aca="false">IF(A48="","",IFERROR(INDEX(Team!$K$5:$K$64,MATCH(A48,Team!$A$5:$A$64,0)),0))</f>
        <v/>
      </c>
      <c r="S48" s="42" t="str">
        <f aca="false">IF(A48="","",Q48*R48)</f>
        <v/>
      </c>
    </row>
    <row r="49" customFormat="false" ht="15" hidden="false" customHeight="false" outlineLevel="0" collapsed="false">
      <c r="A49" s="29"/>
      <c r="B49" s="26" t="str">
        <f aca="false">IF(A49="","",IFERROR(INDEX(Team!$B$5:$B$64,MATCH(A49,Team!$A$5:$A$64,0)),"Not in Team"))</f>
        <v/>
      </c>
      <c r="C49" s="29"/>
      <c r="D49" s="26" t="str">
        <f aca="false">IF(C49="","",IFERROR(INDEX(Projects!$B$5:$B$54,MATCH(C49,Projects!$A$5:$A$54,0)),"Unknown ID"))</f>
        <v/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19" t="str">
        <f aca="false">IF(A49="","",SUM(E49:P49))</f>
        <v/>
      </c>
      <c r="R49" s="42" t="str">
        <f aca="false">IF(A49="","",IFERROR(INDEX(Team!$K$5:$K$64,MATCH(A49,Team!$A$5:$A$64,0)),0))</f>
        <v/>
      </c>
      <c r="S49" s="42" t="str">
        <f aca="false">IF(A49="","",Q49*R49)</f>
        <v/>
      </c>
    </row>
    <row r="50" customFormat="false" ht="15" hidden="false" customHeight="false" outlineLevel="0" collapsed="false">
      <c r="A50" s="29"/>
      <c r="B50" s="26" t="str">
        <f aca="false">IF(A50="","",IFERROR(INDEX(Team!$B$5:$B$64,MATCH(A50,Team!$A$5:$A$64,0)),"Not in Team"))</f>
        <v/>
      </c>
      <c r="C50" s="29"/>
      <c r="D50" s="26" t="str">
        <f aca="false">IF(C50="","",IFERROR(INDEX(Projects!$B$5:$B$54,MATCH(C50,Projects!$A$5:$A$54,0)),"Unknown ID"))</f>
        <v/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19" t="str">
        <f aca="false">IF(A50="","",SUM(E50:P50))</f>
        <v/>
      </c>
      <c r="R50" s="42" t="str">
        <f aca="false">IF(A50="","",IFERROR(INDEX(Team!$K$5:$K$64,MATCH(A50,Team!$A$5:$A$64,0)),0))</f>
        <v/>
      </c>
      <c r="S50" s="42" t="str">
        <f aca="false">IF(A50="","",Q50*R50)</f>
        <v/>
      </c>
    </row>
    <row r="51" customFormat="false" ht="15" hidden="false" customHeight="false" outlineLevel="0" collapsed="false">
      <c r="A51" s="29"/>
      <c r="B51" s="26" t="str">
        <f aca="false">IF(A51="","",IFERROR(INDEX(Team!$B$5:$B$64,MATCH(A51,Team!$A$5:$A$64,0)),"Not in Team"))</f>
        <v/>
      </c>
      <c r="C51" s="29"/>
      <c r="D51" s="26" t="str">
        <f aca="false">IF(C51="","",IFERROR(INDEX(Projects!$B$5:$B$54,MATCH(C51,Projects!$A$5:$A$54,0)),"Unknown ID"))</f>
        <v/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19" t="str">
        <f aca="false">IF(A51="","",SUM(E51:P51))</f>
        <v/>
      </c>
      <c r="R51" s="42" t="str">
        <f aca="false">IF(A51="","",IFERROR(INDEX(Team!$K$5:$K$64,MATCH(A51,Team!$A$5:$A$64,0)),0))</f>
        <v/>
      </c>
      <c r="S51" s="42" t="str">
        <f aca="false">IF(A51="","",Q51*R51)</f>
        <v/>
      </c>
    </row>
    <row r="52" customFormat="false" ht="15" hidden="false" customHeight="false" outlineLevel="0" collapsed="false">
      <c r="A52" s="29"/>
      <c r="B52" s="26" t="str">
        <f aca="false">IF(A52="","",IFERROR(INDEX(Team!$B$5:$B$64,MATCH(A52,Team!$A$5:$A$64,0)),"Not in Team"))</f>
        <v/>
      </c>
      <c r="C52" s="29"/>
      <c r="D52" s="26" t="str">
        <f aca="false">IF(C52="","",IFERROR(INDEX(Projects!$B$5:$B$54,MATCH(C52,Projects!$A$5:$A$54,0)),"Unknown ID"))</f>
        <v/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19" t="str">
        <f aca="false">IF(A52="","",SUM(E52:P52))</f>
        <v/>
      </c>
      <c r="R52" s="42" t="str">
        <f aca="false">IF(A52="","",IFERROR(INDEX(Team!$K$5:$K$64,MATCH(A52,Team!$A$5:$A$64,0)),0))</f>
        <v/>
      </c>
      <c r="S52" s="42" t="str">
        <f aca="false">IF(A52="","",Q52*R52)</f>
        <v/>
      </c>
    </row>
    <row r="53" customFormat="false" ht="15" hidden="false" customHeight="false" outlineLevel="0" collapsed="false">
      <c r="A53" s="29"/>
      <c r="B53" s="26" t="str">
        <f aca="false">IF(A53="","",IFERROR(INDEX(Team!$B$5:$B$64,MATCH(A53,Team!$A$5:$A$64,0)),"Not in Team"))</f>
        <v/>
      </c>
      <c r="C53" s="29"/>
      <c r="D53" s="26" t="str">
        <f aca="false">IF(C53="","",IFERROR(INDEX(Projects!$B$5:$B$54,MATCH(C53,Projects!$A$5:$A$54,0)),"Unknown ID"))</f>
        <v/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19" t="str">
        <f aca="false">IF(A53="","",SUM(E53:P53))</f>
        <v/>
      </c>
      <c r="R53" s="42" t="str">
        <f aca="false">IF(A53="","",IFERROR(INDEX(Team!$K$5:$K$64,MATCH(A53,Team!$A$5:$A$64,0)),0))</f>
        <v/>
      </c>
      <c r="S53" s="42" t="str">
        <f aca="false">IF(A53="","",Q53*R53)</f>
        <v/>
      </c>
    </row>
    <row r="54" customFormat="false" ht="15" hidden="false" customHeight="false" outlineLevel="0" collapsed="false">
      <c r="A54" s="29"/>
      <c r="B54" s="26" t="str">
        <f aca="false">IF(A54="","",IFERROR(INDEX(Team!$B$5:$B$64,MATCH(A54,Team!$A$5:$A$64,0)),"Not in Team"))</f>
        <v/>
      </c>
      <c r="C54" s="29"/>
      <c r="D54" s="26" t="str">
        <f aca="false">IF(C54="","",IFERROR(INDEX(Projects!$B$5:$B$54,MATCH(C54,Projects!$A$5:$A$54,0)),"Unknown ID"))</f>
        <v/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19" t="str">
        <f aca="false">IF(A54="","",SUM(E54:P54))</f>
        <v/>
      </c>
      <c r="R54" s="42" t="str">
        <f aca="false">IF(A54="","",IFERROR(INDEX(Team!$K$5:$K$64,MATCH(A54,Team!$A$5:$A$64,0)),0))</f>
        <v/>
      </c>
      <c r="S54" s="42" t="str">
        <f aca="false">IF(A54="","",Q54*R54)</f>
        <v/>
      </c>
    </row>
    <row r="55" customFormat="false" ht="15" hidden="false" customHeight="false" outlineLevel="0" collapsed="false">
      <c r="A55" s="29"/>
      <c r="B55" s="26" t="str">
        <f aca="false">IF(A55="","",IFERROR(INDEX(Team!$B$5:$B$64,MATCH(A55,Team!$A$5:$A$64,0)),"Not in Team"))</f>
        <v/>
      </c>
      <c r="C55" s="29"/>
      <c r="D55" s="26" t="str">
        <f aca="false">IF(C55="","",IFERROR(INDEX(Projects!$B$5:$B$54,MATCH(C55,Projects!$A$5:$A$54,0)),"Unknown ID"))</f>
        <v/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19" t="str">
        <f aca="false">IF(A55="","",SUM(E55:P55))</f>
        <v/>
      </c>
      <c r="R55" s="42" t="str">
        <f aca="false">IF(A55="","",IFERROR(INDEX(Team!$K$5:$K$64,MATCH(A55,Team!$A$5:$A$64,0)),0))</f>
        <v/>
      </c>
      <c r="S55" s="42" t="str">
        <f aca="false">IF(A55="","",Q55*R55)</f>
        <v/>
      </c>
    </row>
    <row r="56" customFormat="false" ht="15" hidden="false" customHeight="false" outlineLevel="0" collapsed="false">
      <c r="A56" s="29"/>
      <c r="B56" s="26" t="str">
        <f aca="false">IF(A56="","",IFERROR(INDEX(Team!$B$5:$B$64,MATCH(A56,Team!$A$5:$A$64,0)),"Not in Team"))</f>
        <v/>
      </c>
      <c r="C56" s="29"/>
      <c r="D56" s="26" t="str">
        <f aca="false">IF(C56="","",IFERROR(INDEX(Projects!$B$5:$B$54,MATCH(C56,Projects!$A$5:$A$54,0)),"Unknown ID"))</f>
        <v/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19" t="str">
        <f aca="false">IF(A56="","",SUM(E56:P56))</f>
        <v/>
      </c>
      <c r="R56" s="42" t="str">
        <f aca="false">IF(A56="","",IFERROR(INDEX(Team!$K$5:$K$64,MATCH(A56,Team!$A$5:$A$64,0)),0))</f>
        <v/>
      </c>
      <c r="S56" s="42" t="str">
        <f aca="false">IF(A56="","",Q56*R56)</f>
        <v/>
      </c>
    </row>
    <row r="57" customFormat="false" ht="15" hidden="false" customHeight="false" outlineLevel="0" collapsed="false">
      <c r="A57" s="29"/>
      <c r="B57" s="26" t="str">
        <f aca="false">IF(A57="","",IFERROR(INDEX(Team!$B$5:$B$64,MATCH(A57,Team!$A$5:$A$64,0)),"Not in Team"))</f>
        <v/>
      </c>
      <c r="C57" s="29"/>
      <c r="D57" s="26" t="str">
        <f aca="false">IF(C57="","",IFERROR(INDEX(Projects!$B$5:$B$54,MATCH(C57,Projects!$A$5:$A$54,0)),"Unknown ID"))</f>
        <v/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19" t="str">
        <f aca="false">IF(A57="","",SUM(E57:P57))</f>
        <v/>
      </c>
      <c r="R57" s="42" t="str">
        <f aca="false">IF(A57="","",IFERROR(INDEX(Team!$K$5:$K$64,MATCH(A57,Team!$A$5:$A$64,0)),0))</f>
        <v/>
      </c>
      <c r="S57" s="42" t="str">
        <f aca="false">IF(A57="","",Q57*R57)</f>
        <v/>
      </c>
    </row>
    <row r="58" customFormat="false" ht="15" hidden="false" customHeight="false" outlineLevel="0" collapsed="false">
      <c r="A58" s="29"/>
      <c r="B58" s="26" t="str">
        <f aca="false">IF(A58="","",IFERROR(INDEX(Team!$B$5:$B$64,MATCH(A58,Team!$A$5:$A$64,0)),"Not in Team"))</f>
        <v/>
      </c>
      <c r="C58" s="29"/>
      <c r="D58" s="26" t="str">
        <f aca="false">IF(C58="","",IFERROR(INDEX(Projects!$B$5:$B$54,MATCH(C58,Projects!$A$5:$A$54,0)),"Unknown ID"))</f>
        <v/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19" t="str">
        <f aca="false">IF(A58="","",SUM(E58:P58))</f>
        <v/>
      </c>
      <c r="R58" s="42" t="str">
        <f aca="false">IF(A58="","",IFERROR(INDEX(Team!$K$5:$K$64,MATCH(A58,Team!$A$5:$A$64,0)),0))</f>
        <v/>
      </c>
      <c r="S58" s="42" t="str">
        <f aca="false">IF(A58="","",Q58*R58)</f>
        <v/>
      </c>
    </row>
    <row r="59" customFormat="false" ht="15" hidden="false" customHeight="false" outlineLevel="0" collapsed="false">
      <c r="A59" s="29"/>
      <c r="B59" s="26" t="str">
        <f aca="false">IF(A59="","",IFERROR(INDEX(Team!$B$5:$B$64,MATCH(A59,Team!$A$5:$A$64,0)),"Not in Team"))</f>
        <v/>
      </c>
      <c r="C59" s="29"/>
      <c r="D59" s="26" t="str">
        <f aca="false">IF(C59="","",IFERROR(INDEX(Projects!$B$5:$B$54,MATCH(C59,Projects!$A$5:$A$54,0)),"Unknown ID"))</f>
        <v/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19" t="str">
        <f aca="false">IF(A59="","",SUM(E59:P59))</f>
        <v/>
      </c>
      <c r="R59" s="42" t="str">
        <f aca="false">IF(A59="","",IFERROR(INDEX(Team!$K$5:$K$64,MATCH(A59,Team!$A$5:$A$64,0)),0))</f>
        <v/>
      </c>
      <c r="S59" s="42" t="str">
        <f aca="false">IF(A59="","",Q59*R59)</f>
        <v/>
      </c>
    </row>
    <row r="60" customFormat="false" ht="15" hidden="false" customHeight="false" outlineLevel="0" collapsed="false">
      <c r="A60" s="29"/>
      <c r="B60" s="26" t="str">
        <f aca="false">IF(A60="","",IFERROR(INDEX(Team!$B$5:$B$64,MATCH(A60,Team!$A$5:$A$64,0)),"Not in Team"))</f>
        <v/>
      </c>
      <c r="C60" s="29"/>
      <c r="D60" s="26" t="str">
        <f aca="false">IF(C60="","",IFERROR(INDEX(Projects!$B$5:$B$54,MATCH(C60,Projects!$A$5:$A$54,0)),"Unknown ID"))</f>
        <v/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19" t="str">
        <f aca="false">IF(A60="","",SUM(E60:P60))</f>
        <v/>
      </c>
      <c r="R60" s="42" t="str">
        <f aca="false">IF(A60="","",IFERROR(INDEX(Team!$K$5:$K$64,MATCH(A60,Team!$A$5:$A$64,0)),0))</f>
        <v/>
      </c>
      <c r="S60" s="42" t="str">
        <f aca="false">IF(A60="","",Q60*R60)</f>
        <v/>
      </c>
    </row>
    <row r="61" customFormat="false" ht="15" hidden="false" customHeight="false" outlineLevel="0" collapsed="false">
      <c r="A61" s="29"/>
      <c r="B61" s="26" t="str">
        <f aca="false">IF(A61="","",IFERROR(INDEX(Team!$B$5:$B$64,MATCH(A61,Team!$A$5:$A$64,0)),"Not in Team"))</f>
        <v/>
      </c>
      <c r="C61" s="29"/>
      <c r="D61" s="26" t="str">
        <f aca="false">IF(C61="","",IFERROR(INDEX(Projects!$B$5:$B$54,MATCH(C61,Projects!$A$5:$A$54,0)),"Unknown ID"))</f>
        <v/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19" t="str">
        <f aca="false">IF(A61="","",SUM(E61:P61))</f>
        <v/>
      </c>
      <c r="R61" s="42" t="str">
        <f aca="false">IF(A61="","",IFERROR(INDEX(Team!$K$5:$K$64,MATCH(A61,Team!$A$5:$A$64,0)),0))</f>
        <v/>
      </c>
      <c r="S61" s="42" t="str">
        <f aca="false">IF(A61="","",Q61*R61)</f>
        <v/>
      </c>
    </row>
    <row r="62" customFormat="false" ht="15" hidden="false" customHeight="false" outlineLevel="0" collapsed="false">
      <c r="A62" s="29"/>
      <c r="B62" s="26" t="str">
        <f aca="false">IF(A62="","",IFERROR(INDEX(Team!$B$5:$B$64,MATCH(A62,Team!$A$5:$A$64,0)),"Not in Team"))</f>
        <v/>
      </c>
      <c r="C62" s="29"/>
      <c r="D62" s="26" t="str">
        <f aca="false">IF(C62="","",IFERROR(INDEX(Projects!$B$5:$B$54,MATCH(C62,Projects!$A$5:$A$54,0)),"Unknown ID"))</f>
        <v/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19" t="str">
        <f aca="false">IF(A62="","",SUM(E62:P62))</f>
        <v/>
      </c>
      <c r="R62" s="42" t="str">
        <f aca="false">IF(A62="","",IFERROR(INDEX(Team!$K$5:$K$64,MATCH(A62,Team!$A$5:$A$64,0)),0))</f>
        <v/>
      </c>
      <c r="S62" s="42" t="str">
        <f aca="false">IF(A62="","",Q62*R62)</f>
        <v/>
      </c>
    </row>
    <row r="63" customFormat="false" ht="15" hidden="false" customHeight="false" outlineLevel="0" collapsed="false">
      <c r="A63" s="29"/>
      <c r="B63" s="26" t="str">
        <f aca="false">IF(A63="","",IFERROR(INDEX(Team!$B$5:$B$64,MATCH(A63,Team!$A$5:$A$64,0)),"Not in Team"))</f>
        <v/>
      </c>
      <c r="C63" s="29"/>
      <c r="D63" s="26" t="str">
        <f aca="false">IF(C63="","",IFERROR(INDEX(Projects!$B$5:$B$54,MATCH(C63,Projects!$A$5:$A$54,0)),"Unknown ID"))</f>
        <v/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19" t="str">
        <f aca="false">IF(A63="","",SUM(E63:P63))</f>
        <v/>
      </c>
      <c r="R63" s="42" t="str">
        <f aca="false">IF(A63="","",IFERROR(INDEX(Team!$K$5:$K$64,MATCH(A63,Team!$A$5:$A$64,0)),0))</f>
        <v/>
      </c>
      <c r="S63" s="42" t="str">
        <f aca="false">IF(A63="","",Q63*R63)</f>
        <v/>
      </c>
    </row>
    <row r="64" customFormat="false" ht="15" hidden="false" customHeight="false" outlineLevel="0" collapsed="false">
      <c r="A64" s="29"/>
      <c r="B64" s="26" t="str">
        <f aca="false">IF(A64="","",IFERROR(INDEX(Team!$B$5:$B$64,MATCH(A64,Team!$A$5:$A$64,0)),"Not in Team"))</f>
        <v/>
      </c>
      <c r="C64" s="29"/>
      <c r="D64" s="26" t="str">
        <f aca="false">IF(C64="","",IFERROR(INDEX(Projects!$B$5:$B$54,MATCH(C64,Projects!$A$5:$A$54,0)),"Unknown ID"))</f>
        <v/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19" t="str">
        <f aca="false">IF(A64="","",SUM(E64:P64))</f>
        <v/>
      </c>
      <c r="R64" s="42" t="str">
        <f aca="false">IF(A64="","",IFERROR(INDEX(Team!$K$5:$K$64,MATCH(A64,Team!$A$5:$A$64,0)),0))</f>
        <v/>
      </c>
      <c r="S64" s="42" t="str">
        <f aca="false">IF(A64="","",Q64*R64)</f>
        <v/>
      </c>
    </row>
    <row r="65" customFormat="false" ht="15" hidden="false" customHeight="false" outlineLevel="0" collapsed="false">
      <c r="A65" s="29"/>
      <c r="B65" s="26" t="str">
        <f aca="false">IF(A65="","",IFERROR(INDEX(Team!$B$5:$B$64,MATCH(A65,Team!$A$5:$A$64,0)),"Not in Team"))</f>
        <v/>
      </c>
      <c r="C65" s="29"/>
      <c r="D65" s="26" t="str">
        <f aca="false">IF(C65="","",IFERROR(INDEX(Projects!$B$5:$B$54,MATCH(C65,Projects!$A$5:$A$54,0)),"Unknown ID"))</f>
        <v/>
      </c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19" t="str">
        <f aca="false">IF(A65="","",SUM(E65:P65))</f>
        <v/>
      </c>
      <c r="R65" s="42" t="str">
        <f aca="false">IF(A65="","",IFERROR(INDEX(Team!$K$5:$K$64,MATCH(A65,Team!$A$5:$A$64,0)),0))</f>
        <v/>
      </c>
      <c r="S65" s="42" t="str">
        <f aca="false">IF(A65="","",Q65*R65)</f>
        <v/>
      </c>
    </row>
    <row r="66" customFormat="false" ht="15" hidden="false" customHeight="false" outlineLevel="0" collapsed="false">
      <c r="A66" s="29"/>
      <c r="B66" s="26" t="str">
        <f aca="false">IF(A66="","",IFERROR(INDEX(Team!$B$5:$B$64,MATCH(A66,Team!$A$5:$A$64,0)),"Not in Team"))</f>
        <v/>
      </c>
      <c r="C66" s="29"/>
      <c r="D66" s="26" t="str">
        <f aca="false">IF(C66="","",IFERROR(INDEX(Projects!$B$5:$B$54,MATCH(C66,Projects!$A$5:$A$54,0)),"Unknown ID"))</f>
        <v/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19" t="str">
        <f aca="false">IF(A66="","",SUM(E66:P66))</f>
        <v/>
      </c>
      <c r="R66" s="42" t="str">
        <f aca="false">IF(A66="","",IFERROR(INDEX(Team!$K$5:$K$64,MATCH(A66,Team!$A$5:$A$64,0)),0))</f>
        <v/>
      </c>
      <c r="S66" s="42" t="str">
        <f aca="false">IF(A66="","",Q66*R66)</f>
        <v/>
      </c>
    </row>
    <row r="67" customFormat="false" ht="15" hidden="false" customHeight="false" outlineLevel="0" collapsed="false">
      <c r="A67" s="29"/>
      <c r="B67" s="26" t="str">
        <f aca="false">IF(A67="","",IFERROR(INDEX(Team!$B$5:$B$64,MATCH(A67,Team!$A$5:$A$64,0)),"Not in Team"))</f>
        <v/>
      </c>
      <c r="C67" s="29"/>
      <c r="D67" s="26" t="str">
        <f aca="false">IF(C67="","",IFERROR(INDEX(Projects!$B$5:$B$54,MATCH(C67,Projects!$A$5:$A$54,0)),"Unknown ID"))</f>
        <v/>
      </c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19" t="str">
        <f aca="false">IF(A67="","",SUM(E67:P67))</f>
        <v/>
      </c>
      <c r="R67" s="42" t="str">
        <f aca="false">IF(A67="","",IFERROR(INDEX(Team!$K$5:$K$64,MATCH(A67,Team!$A$5:$A$64,0)),0))</f>
        <v/>
      </c>
      <c r="S67" s="42" t="str">
        <f aca="false">IF(A67="","",Q67*R67)</f>
        <v/>
      </c>
    </row>
    <row r="68" customFormat="false" ht="15" hidden="false" customHeight="false" outlineLevel="0" collapsed="false">
      <c r="A68" s="29"/>
      <c r="B68" s="26" t="str">
        <f aca="false">IF(A68="","",IFERROR(INDEX(Team!$B$5:$B$64,MATCH(A68,Team!$A$5:$A$64,0)),"Not in Team"))</f>
        <v/>
      </c>
      <c r="C68" s="29"/>
      <c r="D68" s="26" t="str">
        <f aca="false">IF(C68="","",IFERROR(INDEX(Projects!$B$5:$B$54,MATCH(C68,Projects!$A$5:$A$54,0)),"Unknown ID"))</f>
        <v/>
      </c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19" t="str">
        <f aca="false">IF(A68="","",SUM(E68:P68))</f>
        <v/>
      </c>
      <c r="R68" s="42" t="str">
        <f aca="false">IF(A68="","",IFERROR(INDEX(Team!$K$5:$K$64,MATCH(A68,Team!$A$5:$A$64,0)),0))</f>
        <v/>
      </c>
      <c r="S68" s="42" t="str">
        <f aca="false">IF(A68="","",Q68*R68)</f>
        <v/>
      </c>
    </row>
    <row r="69" customFormat="false" ht="15" hidden="false" customHeight="false" outlineLevel="0" collapsed="false">
      <c r="A69" s="29"/>
      <c r="B69" s="26" t="str">
        <f aca="false">IF(A69="","",IFERROR(INDEX(Team!$B$5:$B$64,MATCH(A69,Team!$A$5:$A$64,0)),"Not in Team"))</f>
        <v/>
      </c>
      <c r="C69" s="29"/>
      <c r="D69" s="26" t="str">
        <f aca="false">IF(C69="","",IFERROR(INDEX(Projects!$B$5:$B$54,MATCH(C69,Projects!$A$5:$A$54,0)),"Unknown ID"))</f>
        <v/>
      </c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19" t="str">
        <f aca="false">IF(A69="","",SUM(E69:P69))</f>
        <v/>
      </c>
      <c r="R69" s="42" t="str">
        <f aca="false">IF(A69="","",IFERROR(INDEX(Team!$K$5:$K$64,MATCH(A69,Team!$A$5:$A$64,0)),0))</f>
        <v/>
      </c>
      <c r="S69" s="42" t="str">
        <f aca="false">IF(A69="","",Q69*R69)</f>
        <v/>
      </c>
    </row>
    <row r="70" customFormat="false" ht="15" hidden="false" customHeight="false" outlineLevel="0" collapsed="false">
      <c r="A70" s="29"/>
      <c r="B70" s="26" t="str">
        <f aca="false">IF(A70="","",IFERROR(INDEX(Team!$B$5:$B$64,MATCH(A70,Team!$A$5:$A$64,0)),"Not in Team"))</f>
        <v/>
      </c>
      <c r="C70" s="29"/>
      <c r="D70" s="26" t="str">
        <f aca="false">IF(C70="","",IFERROR(INDEX(Projects!$B$5:$B$54,MATCH(C70,Projects!$A$5:$A$54,0)),"Unknown ID"))</f>
        <v/>
      </c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19" t="str">
        <f aca="false">IF(A70="","",SUM(E70:P70))</f>
        <v/>
      </c>
      <c r="R70" s="42" t="str">
        <f aca="false">IF(A70="","",IFERROR(INDEX(Team!$K$5:$K$64,MATCH(A70,Team!$A$5:$A$64,0)),0))</f>
        <v/>
      </c>
      <c r="S70" s="42" t="str">
        <f aca="false">IF(A70="","",Q70*R70)</f>
        <v/>
      </c>
    </row>
    <row r="71" customFormat="false" ht="15" hidden="false" customHeight="false" outlineLevel="0" collapsed="false">
      <c r="A71" s="29"/>
      <c r="B71" s="26" t="str">
        <f aca="false">IF(A71="","",IFERROR(INDEX(Team!$B$5:$B$64,MATCH(A71,Team!$A$5:$A$64,0)),"Not in Team"))</f>
        <v/>
      </c>
      <c r="C71" s="29"/>
      <c r="D71" s="26" t="str">
        <f aca="false">IF(C71="","",IFERROR(INDEX(Projects!$B$5:$B$54,MATCH(C71,Projects!$A$5:$A$54,0)),"Unknown ID"))</f>
        <v/>
      </c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19" t="str">
        <f aca="false">IF(A71="","",SUM(E71:P71))</f>
        <v/>
      </c>
      <c r="R71" s="42" t="str">
        <f aca="false">IF(A71="","",IFERROR(INDEX(Team!$K$5:$K$64,MATCH(A71,Team!$A$5:$A$64,0)),0))</f>
        <v/>
      </c>
      <c r="S71" s="42" t="str">
        <f aca="false">IF(A71="","",Q71*R71)</f>
        <v/>
      </c>
    </row>
    <row r="72" customFormat="false" ht="15" hidden="false" customHeight="false" outlineLevel="0" collapsed="false">
      <c r="A72" s="29"/>
      <c r="B72" s="26" t="str">
        <f aca="false">IF(A72="","",IFERROR(INDEX(Team!$B$5:$B$64,MATCH(A72,Team!$A$5:$A$64,0)),"Not in Team"))</f>
        <v/>
      </c>
      <c r="C72" s="29"/>
      <c r="D72" s="26" t="str">
        <f aca="false">IF(C72="","",IFERROR(INDEX(Projects!$B$5:$B$54,MATCH(C72,Projects!$A$5:$A$54,0)),"Unknown ID"))</f>
        <v/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19" t="str">
        <f aca="false">IF(A72="","",SUM(E72:P72))</f>
        <v/>
      </c>
      <c r="R72" s="42" t="str">
        <f aca="false">IF(A72="","",IFERROR(INDEX(Team!$K$5:$K$64,MATCH(A72,Team!$A$5:$A$64,0)),0))</f>
        <v/>
      </c>
      <c r="S72" s="42" t="str">
        <f aca="false">IF(A72="","",Q72*R72)</f>
        <v/>
      </c>
    </row>
    <row r="73" customFormat="false" ht="15" hidden="false" customHeight="false" outlineLevel="0" collapsed="false">
      <c r="A73" s="29"/>
      <c r="B73" s="26" t="str">
        <f aca="false">IF(A73="","",IFERROR(INDEX(Team!$B$5:$B$64,MATCH(A73,Team!$A$5:$A$64,0)),"Not in Team"))</f>
        <v/>
      </c>
      <c r="C73" s="29"/>
      <c r="D73" s="26" t="str">
        <f aca="false">IF(C73="","",IFERROR(INDEX(Projects!$B$5:$B$54,MATCH(C73,Projects!$A$5:$A$54,0)),"Unknown ID"))</f>
        <v/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19" t="str">
        <f aca="false">IF(A73="","",SUM(E73:P73))</f>
        <v/>
      </c>
      <c r="R73" s="42" t="str">
        <f aca="false">IF(A73="","",IFERROR(INDEX(Team!$K$5:$K$64,MATCH(A73,Team!$A$5:$A$64,0)),0))</f>
        <v/>
      </c>
      <c r="S73" s="42" t="str">
        <f aca="false">IF(A73="","",Q73*R73)</f>
        <v/>
      </c>
    </row>
    <row r="74" customFormat="false" ht="15" hidden="false" customHeight="false" outlineLevel="0" collapsed="false">
      <c r="A74" s="29"/>
      <c r="B74" s="26" t="str">
        <f aca="false">IF(A74="","",IFERROR(INDEX(Team!$B$5:$B$64,MATCH(A74,Team!$A$5:$A$64,0)),"Not in Team"))</f>
        <v/>
      </c>
      <c r="C74" s="29"/>
      <c r="D74" s="26" t="str">
        <f aca="false">IF(C74="","",IFERROR(INDEX(Projects!$B$5:$B$54,MATCH(C74,Projects!$A$5:$A$54,0)),"Unknown ID"))</f>
        <v/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19" t="str">
        <f aca="false">IF(A74="","",SUM(E74:P74))</f>
        <v/>
      </c>
      <c r="R74" s="42" t="str">
        <f aca="false">IF(A74="","",IFERROR(INDEX(Team!$K$5:$K$64,MATCH(A74,Team!$A$5:$A$64,0)),0))</f>
        <v/>
      </c>
      <c r="S74" s="42" t="str">
        <f aca="false">IF(A74="","",Q74*R74)</f>
        <v/>
      </c>
    </row>
    <row r="75" customFormat="false" ht="15" hidden="false" customHeight="false" outlineLevel="0" collapsed="false">
      <c r="A75" s="29"/>
      <c r="B75" s="26" t="str">
        <f aca="false">IF(A75="","",IFERROR(INDEX(Team!$B$5:$B$64,MATCH(A75,Team!$A$5:$A$64,0)),"Not in Team"))</f>
        <v/>
      </c>
      <c r="C75" s="29"/>
      <c r="D75" s="26" t="str">
        <f aca="false">IF(C75="","",IFERROR(INDEX(Projects!$B$5:$B$54,MATCH(C75,Projects!$A$5:$A$54,0)),"Unknown ID"))</f>
        <v/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19" t="str">
        <f aca="false">IF(A75="","",SUM(E75:P75))</f>
        <v/>
      </c>
      <c r="R75" s="42" t="str">
        <f aca="false">IF(A75="","",IFERROR(INDEX(Team!$K$5:$K$64,MATCH(A75,Team!$A$5:$A$64,0)),0))</f>
        <v/>
      </c>
      <c r="S75" s="42" t="str">
        <f aca="false">IF(A75="","",Q75*R75)</f>
        <v/>
      </c>
    </row>
    <row r="76" customFormat="false" ht="15" hidden="false" customHeight="false" outlineLevel="0" collapsed="false">
      <c r="A76" s="29"/>
      <c r="B76" s="26" t="str">
        <f aca="false">IF(A76="","",IFERROR(INDEX(Team!$B$5:$B$64,MATCH(A76,Team!$A$5:$A$64,0)),"Not in Team"))</f>
        <v/>
      </c>
      <c r="C76" s="29"/>
      <c r="D76" s="26" t="str">
        <f aca="false">IF(C76="","",IFERROR(INDEX(Projects!$B$5:$B$54,MATCH(C76,Projects!$A$5:$A$54,0)),"Unknown ID"))</f>
        <v/>
      </c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19" t="str">
        <f aca="false">IF(A76="","",SUM(E76:P76))</f>
        <v/>
      </c>
      <c r="R76" s="42" t="str">
        <f aca="false">IF(A76="","",IFERROR(INDEX(Team!$K$5:$K$64,MATCH(A76,Team!$A$5:$A$64,0)),0))</f>
        <v/>
      </c>
      <c r="S76" s="42" t="str">
        <f aca="false">IF(A76="","",Q76*R76)</f>
        <v/>
      </c>
    </row>
    <row r="77" customFormat="false" ht="15" hidden="false" customHeight="false" outlineLevel="0" collapsed="false">
      <c r="A77" s="29"/>
      <c r="B77" s="26" t="str">
        <f aca="false">IF(A77="","",IFERROR(INDEX(Team!$B$5:$B$64,MATCH(A77,Team!$A$5:$A$64,0)),"Not in Team"))</f>
        <v/>
      </c>
      <c r="C77" s="29"/>
      <c r="D77" s="26" t="str">
        <f aca="false">IF(C77="","",IFERROR(INDEX(Projects!$B$5:$B$54,MATCH(C77,Projects!$A$5:$A$54,0)),"Unknown ID"))</f>
        <v/>
      </c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19" t="str">
        <f aca="false">IF(A77="","",SUM(E77:P77))</f>
        <v/>
      </c>
      <c r="R77" s="42" t="str">
        <f aca="false">IF(A77="","",IFERROR(INDEX(Team!$K$5:$K$64,MATCH(A77,Team!$A$5:$A$64,0)),0))</f>
        <v/>
      </c>
      <c r="S77" s="42" t="str">
        <f aca="false">IF(A77="","",Q77*R77)</f>
        <v/>
      </c>
    </row>
    <row r="78" customFormat="false" ht="15" hidden="false" customHeight="false" outlineLevel="0" collapsed="false">
      <c r="A78" s="29"/>
      <c r="B78" s="26" t="str">
        <f aca="false">IF(A78="","",IFERROR(INDEX(Team!$B$5:$B$64,MATCH(A78,Team!$A$5:$A$64,0)),"Not in Team"))</f>
        <v/>
      </c>
      <c r="C78" s="29"/>
      <c r="D78" s="26" t="str">
        <f aca="false">IF(C78="","",IFERROR(INDEX(Projects!$B$5:$B$54,MATCH(C78,Projects!$A$5:$A$54,0)),"Unknown ID"))</f>
        <v/>
      </c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19" t="str">
        <f aca="false">IF(A78="","",SUM(E78:P78))</f>
        <v/>
      </c>
      <c r="R78" s="42" t="str">
        <f aca="false">IF(A78="","",IFERROR(INDEX(Team!$K$5:$K$64,MATCH(A78,Team!$A$5:$A$64,0)),0))</f>
        <v/>
      </c>
      <c r="S78" s="42" t="str">
        <f aca="false">IF(A78="","",Q78*R78)</f>
        <v/>
      </c>
    </row>
    <row r="79" customFormat="false" ht="15" hidden="false" customHeight="false" outlineLevel="0" collapsed="false">
      <c r="A79" s="29"/>
      <c r="B79" s="26" t="str">
        <f aca="false">IF(A79="","",IFERROR(INDEX(Team!$B$5:$B$64,MATCH(A79,Team!$A$5:$A$64,0)),"Not in Team"))</f>
        <v/>
      </c>
      <c r="C79" s="29"/>
      <c r="D79" s="26" t="str">
        <f aca="false">IF(C79="","",IFERROR(INDEX(Projects!$B$5:$B$54,MATCH(C79,Projects!$A$5:$A$54,0)),"Unknown ID"))</f>
        <v/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19" t="str">
        <f aca="false">IF(A79="","",SUM(E79:P79))</f>
        <v/>
      </c>
      <c r="R79" s="42" t="str">
        <f aca="false">IF(A79="","",IFERROR(INDEX(Team!$K$5:$K$64,MATCH(A79,Team!$A$5:$A$64,0)),0))</f>
        <v/>
      </c>
      <c r="S79" s="42" t="str">
        <f aca="false">IF(A79="","",Q79*R79)</f>
        <v/>
      </c>
    </row>
    <row r="80" customFormat="false" ht="15" hidden="false" customHeight="false" outlineLevel="0" collapsed="false">
      <c r="A80" s="29"/>
      <c r="B80" s="26" t="str">
        <f aca="false">IF(A80="","",IFERROR(INDEX(Team!$B$5:$B$64,MATCH(A80,Team!$A$5:$A$64,0)),"Not in Team"))</f>
        <v/>
      </c>
      <c r="C80" s="29"/>
      <c r="D80" s="26" t="str">
        <f aca="false">IF(C80="","",IFERROR(INDEX(Projects!$B$5:$B$54,MATCH(C80,Projects!$A$5:$A$54,0)),"Unknown ID"))</f>
        <v/>
      </c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19" t="str">
        <f aca="false">IF(A80="","",SUM(E80:P80))</f>
        <v/>
      </c>
      <c r="R80" s="42" t="str">
        <f aca="false">IF(A80="","",IFERROR(INDEX(Team!$K$5:$K$64,MATCH(A80,Team!$A$5:$A$64,0)),0))</f>
        <v/>
      </c>
      <c r="S80" s="42" t="str">
        <f aca="false">IF(A80="","",Q80*R80)</f>
        <v/>
      </c>
    </row>
    <row r="81" customFormat="false" ht="15" hidden="false" customHeight="false" outlineLevel="0" collapsed="false">
      <c r="A81" s="29"/>
      <c r="B81" s="26" t="str">
        <f aca="false">IF(A81="","",IFERROR(INDEX(Team!$B$5:$B$64,MATCH(A81,Team!$A$5:$A$64,0)),"Not in Team"))</f>
        <v/>
      </c>
      <c r="C81" s="29"/>
      <c r="D81" s="26" t="str">
        <f aca="false">IF(C81="","",IFERROR(INDEX(Projects!$B$5:$B$54,MATCH(C81,Projects!$A$5:$A$54,0)),"Unknown ID"))</f>
        <v/>
      </c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19" t="str">
        <f aca="false">IF(A81="","",SUM(E81:P81))</f>
        <v/>
      </c>
      <c r="R81" s="42" t="str">
        <f aca="false">IF(A81="","",IFERROR(INDEX(Team!$K$5:$K$64,MATCH(A81,Team!$A$5:$A$64,0)),0))</f>
        <v/>
      </c>
      <c r="S81" s="42" t="str">
        <f aca="false">IF(A81="","",Q81*R81)</f>
        <v/>
      </c>
    </row>
    <row r="82" customFormat="false" ht="15" hidden="false" customHeight="false" outlineLevel="0" collapsed="false">
      <c r="A82" s="29"/>
      <c r="B82" s="26" t="str">
        <f aca="false">IF(A82="","",IFERROR(INDEX(Team!$B$5:$B$64,MATCH(A82,Team!$A$5:$A$64,0)),"Not in Team"))</f>
        <v/>
      </c>
      <c r="C82" s="29"/>
      <c r="D82" s="26" t="str">
        <f aca="false">IF(C82="","",IFERROR(INDEX(Projects!$B$5:$B$54,MATCH(C82,Projects!$A$5:$A$54,0)),"Unknown ID"))</f>
        <v/>
      </c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19" t="str">
        <f aca="false">IF(A82="","",SUM(E82:P82))</f>
        <v/>
      </c>
      <c r="R82" s="42" t="str">
        <f aca="false">IF(A82="","",IFERROR(INDEX(Team!$K$5:$K$64,MATCH(A82,Team!$A$5:$A$64,0)),0))</f>
        <v/>
      </c>
      <c r="S82" s="42" t="str">
        <f aca="false">IF(A82="","",Q82*R82)</f>
        <v/>
      </c>
    </row>
    <row r="83" customFormat="false" ht="15" hidden="false" customHeight="false" outlineLevel="0" collapsed="false">
      <c r="A83" s="29"/>
      <c r="B83" s="26" t="str">
        <f aca="false">IF(A83="","",IFERROR(INDEX(Team!$B$5:$B$64,MATCH(A83,Team!$A$5:$A$64,0)),"Not in Team"))</f>
        <v/>
      </c>
      <c r="C83" s="29"/>
      <c r="D83" s="26" t="str">
        <f aca="false">IF(C83="","",IFERROR(INDEX(Projects!$B$5:$B$54,MATCH(C83,Projects!$A$5:$A$54,0)),"Unknown ID"))</f>
        <v/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19" t="str">
        <f aca="false">IF(A83="","",SUM(E83:P83))</f>
        <v/>
      </c>
      <c r="R83" s="42" t="str">
        <f aca="false">IF(A83="","",IFERROR(INDEX(Team!$K$5:$K$64,MATCH(A83,Team!$A$5:$A$64,0)),0))</f>
        <v/>
      </c>
      <c r="S83" s="42" t="str">
        <f aca="false">IF(A83="","",Q83*R83)</f>
        <v/>
      </c>
    </row>
    <row r="84" customFormat="false" ht="15" hidden="false" customHeight="false" outlineLevel="0" collapsed="false">
      <c r="A84" s="29"/>
      <c r="B84" s="26" t="str">
        <f aca="false">IF(A84="","",IFERROR(INDEX(Team!$B$5:$B$64,MATCH(A84,Team!$A$5:$A$64,0)),"Not in Team"))</f>
        <v/>
      </c>
      <c r="C84" s="29"/>
      <c r="D84" s="26" t="str">
        <f aca="false">IF(C84="","",IFERROR(INDEX(Projects!$B$5:$B$54,MATCH(C84,Projects!$A$5:$A$54,0)),"Unknown ID"))</f>
        <v/>
      </c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19" t="str">
        <f aca="false">IF(A84="","",SUM(E84:P84))</f>
        <v/>
      </c>
      <c r="R84" s="42" t="str">
        <f aca="false">IF(A84="","",IFERROR(INDEX(Team!$K$5:$K$64,MATCH(A84,Team!$A$5:$A$64,0)),0))</f>
        <v/>
      </c>
      <c r="S84" s="42" t="str">
        <f aca="false">IF(A84="","",Q84*R84)</f>
        <v/>
      </c>
    </row>
    <row r="85" customFormat="false" ht="15" hidden="false" customHeight="false" outlineLevel="0" collapsed="false">
      <c r="A85" s="29"/>
      <c r="B85" s="26" t="str">
        <f aca="false">IF(A85="","",IFERROR(INDEX(Team!$B$5:$B$64,MATCH(A85,Team!$A$5:$A$64,0)),"Not in Team"))</f>
        <v/>
      </c>
      <c r="C85" s="29"/>
      <c r="D85" s="26" t="str">
        <f aca="false">IF(C85="","",IFERROR(INDEX(Projects!$B$5:$B$54,MATCH(C85,Projects!$A$5:$A$54,0)),"Unknown ID"))</f>
        <v/>
      </c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19" t="str">
        <f aca="false">IF(A85="","",SUM(E85:P85))</f>
        <v/>
      </c>
      <c r="R85" s="42" t="str">
        <f aca="false">IF(A85="","",IFERROR(INDEX(Team!$K$5:$K$64,MATCH(A85,Team!$A$5:$A$64,0)),0))</f>
        <v/>
      </c>
      <c r="S85" s="42" t="str">
        <f aca="false">IF(A85="","",Q85*R85)</f>
        <v/>
      </c>
    </row>
    <row r="86" customFormat="false" ht="15" hidden="false" customHeight="false" outlineLevel="0" collapsed="false">
      <c r="A86" s="29"/>
      <c r="B86" s="26" t="str">
        <f aca="false">IF(A86="","",IFERROR(INDEX(Team!$B$5:$B$64,MATCH(A86,Team!$A$5:$A$64,0)),"Not in Team"))</f>
        <v/>
      </c>
      <c r="C86" s="29"/>
      <c r="D86" s="26" t="str">
        <f aca="false">IF(C86="","",IFERROR(INDEX(Projects!$B$5:$B$54,MATCH(C86,Projects!$A$5:$A$54,0)),"Unknown ID"))</f>
        <v/>
      </c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19" t="str">
        <f aca="false">IF(A86="","",SUM(E86:P86))</f>
        <v/>
      </c>
      <c r="R86" s="42" t="str">
        <f aca="false">IF(A86="","",IFERROR(INDEX(Team!$K$5:$K$64,MATCH(A86,Team!$A$5:$A$64,0)),0))</f>
        <v/>
      </c>
      <c r="S86" s="42" t="str">
        <f aca="false">IF(A86="","",Q86*R86)</f>
        <v/>
      </c>
    </row>
    <row r="87" customFormat="false" ht="15" hidden="false" customHeight="false" outlineLevel="0" collapsed="false">
      <c r="A87" s="29"/>
      <c r="B87" s="26" t="str">
        <f aca="false">IF(A87="","",IFERROR(INDEX(Team!$B$5:$B$64,MATCH(A87,Team!$A$5:$A$64,0)),"Not in Team"))</f>
        <v/>
      </c>
      <c r="C87" s="29"/>
      <c r="D87" s="26" t="str">
        <f aca="false">IF(C87="","",IFERROR(INDEX(Projects!$B$5:$B$54,MATCH(C87,Projects!$A$5:$A$54,0)),"Unknown ID"))</f>
        <v/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19" t="str">
        <f aca="false">IF(A87="","",SUM(E87:P87))</f>
        <v/>
      </c>
      <c r="R87" s="42" t="str">
        <f aca="false">IF(A87="","",IFERROR(INDEX(Team!$K$5:$K$64,MATCH(A87,Team!$A$5:$A$64,0)),0))</f>
        <v/>
      </c>
      <c r="S87" s="42" t="str">
        <f aca="false">IF(A87="","",Q87*R87)</f>
        <v/>
      </c>
    </row>
    <row r="88" customFormat="false" ht="15" hidden="false" customHeight="false" outlineLevel="0" collapsed="false">
      <c r="A88" s="29"/>
      <c r="B88" s="26" t="str">
        <f aca="false">IF(A88="","",IFERROR(INDEX(Team!$B$5:$B$64,MATCH(A88,Team!$A$5:$A$64,0)),"Not in Team"))</f>
        <v/>
      </c>
      <c r="C88" s="29"/>
      <c r="D88" s="26" t="str">
        <f aca="false">IF(C88="","",IFERROR(INDEX(Projects!$B$5:$B$54,MATCH(C88,Projects!$A$5:$A$54,0)),"Unknown ID"))</f>
        <v/>
      </c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19" t="str">
        <f aca="false">IF(A88="","",SUM(E88:P88))</f>
        <v/>
      </c>
      <c r="R88" s="42" t="str">
        <f aca="false">IF(A88="","",IFERROR(INDEX(Team!$K$5:$K$64,MATCH(A88,Team!$A$5:$A$64,0)),0))</f>
        <v/>
      </c>
      <c r="S88" s="42" t="str">
        <f aca="false">IF(A88="","",Q88*R88)</f>
        <v/>
      </c>
    </row>
    <row r="89" customFormat="false" ht="15" hidden="false" customHeight="false" outlineLevel="0" collapsed="false">
      <c r="A89" s="29"/>
      <c r="B89" s="26" t="str">
        <f aca="false">IF(A89="","",IFERROR(INDEX(Team!$B$5:$B$64,MATCH(A89,Team!$A$5:$A$64,0)),"Not in Team"))</f>
        <v/>
      </c>
      <c r="C89" s="29"/>
      <c r="D89" s="26" t="str">
        <f aca="false">IF(C89="","",IFERROR(INDEX(Projects!$B$5:$B$54,MATCH(C89,Projects!$A$5:$A$54,0)),"Unknown ID"))</f>
        <v/>
      </c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19" t="str">
        <f aca="false">IF(A89="","",SUM(E89:P89))</f>
        <v/>
      </c>
      <c r="R89" s="42" t="str">
        <f aca="false">IF(A89="","",IFERROR(INDEX(Team!$K$5:$K$64,MATCH(A89,Team!$A$5:$A$64,0)),0))</f>
        <v/>
      </c>
      <c r="S89" s="42" t="str">
        <f aca="false">IF(A89="","",Q89*R89)</f>
        <v/>
      </c>
    </row>
    <row r="90" customFormat="false" ht="15" hidden="false" customHeight="false" outlineLevel="0" collapsed="false">
      <c r="A90" s="29"/>
      <c r="B90" s="26" t="str">
        <f aca="false">IF(A90="","",IFERROR(INDEX(Team!$B$5:$B$64,MATCH(A90,Team!$A$5:$A$64,0)),"Not in Team"))</f>
        <v/>
      </c>
      <c r="C90" s="29"/>
      <c r="D90" s="26" t="str">
        <f aca="false">IF(C90="","",IFERROR(INDEX(Projects!$B$5:$B$54,MATCH(C90,Projects!$A$5:$A$54,0)),"Unknown ID"))</f>
        <v/>
      </c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19" t="str">
        <f aca="false">IF(A90="","",SUM(E90:P90))</f>
        <v/>
      </c>
      <c r="R90" s="42" t="str">
        <f aca="false">IF(A90="","",IFERROR(INDEX(Team!$K$5:$K$64,MATCH(A90,Team!$A$5:$A$64,0)),0))</f>
        <v/>
      </c>
      <c r="S90" s="42" t="str">
        <f aca="false">IF(A90="","",Q90*R90)</f>
        <v/>
      </c>
    </row>
    <row r="91" customFormat="false" ht="15" hidden="false" customHeight="false" outlineLevel="0" collapsed="false">
      <c r="A91" s="29"/>
      <c r="B91" s="26" t="str">
        <f aca="false">IF(A91="","",IFERROR(INDEX(Team!$B$5:$B$64,MATCH(A91,Team!$A$5:$A$64,0)),"Not in Team"))</f>
        <v/>
      </c>
      <c r="C91" s="29"/>
      <c r="D91" s="26" t="str">
        <f aca="false">IF(C91="","",IFERROR(INDEX(Projects!$B$5:$B$54,MATCH(C91,Projects!$A$5:$A$54,0)),"Unknown ID"))</f>
        <v/>
      </c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19" t="str">
        <f aca="false">IF(A91="","",SUM(E91:P91))</f>
        <v/>
      </c>
      <c r="R91" s="42" t="str">
        <f aca="false">IF(A91="","",IFERROR(INDEX(Team!$K$5:$K$64,MATCH(A91,Team!$A$5:$A$64,0)),0))</f>
        <v/>
      </c>
      <c r="S91" s="42" t="str">
        <f aca="false">IF(A91="","",Q91*R91)</f>
        <v/>
      </c>
    </row>
    <row r="92" customFormat="false" ht="15" hidden="false" customHeight="false" outlineLevel="0" collapsed="false">
      <c r="A92" s="29"/>
      <c r="B92" s="26" t="str">
        <f aca="false">IF(A92="","",IFERROR(INDEX(Team!$B$5:$B$64,MATCH(A92,Team!$A$5:$A$64,0)),"Not in Team"))</f>
        <v/>
      </c>
      <c r="C92" s="29"/>
      <c r="D92" s="26" t="str">
        <f aca="false">IF(C92="","",IFERROR(INDEX(Projects!$B$5:$B$54,MATCH(C92,Projects!$A$5:$A$54,0)),"Unknown ID"))</f>
        <v/>
      </c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19" t="str">
        <f aca="false">IF(A92="","",SUM(E92:P92))</f>
        <v/>
      </c>
      <c r="R92" s="42" t="str">
        <f aca="false">IF(A92="","",IFERROR(INDEX(Team!$K$5:$K$64,MATCH(A92,Team!$A$5:$A$64,0)),0))</f>
        <v/>
      </c>
      <c r="S92" s="42" t="str">
        <f aca="false">IF(A92="","",Q92*R92)</f>
        <v/>
      </c>
    </row>
    <row r="93" customFormat="false" ht="15" hidden="false" customHeight="false" outlineLevel="0" collapsed="false">
      <c r="A93" s="29"/>
      <c r="B93" s="26" t="str">
        <f aca="false">IF(A93="","",IFERROR(INDEX(Team!$B$5:$B$64,MATCH(A93,Team!$A$5:$A$64,0)),"Not in Team"))</f>
        <v/>
      </c>
      <c r="C93" s="29"/>
      <c r="D93" s="26" t="str">
        <f aca="false">IF(C93="","",IFERROR(INDEX(Projects!$B$5:$B$54,MATCH(C93,Projects!$A$5:$A$54,0)),"Unknown ID"))</f>
        <v/>
      </c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19" t="str">
        <f aca="false">IF(A93="","",SUM(E93:P93))</f>
        <v/>
      </c>
      <c r="R93" s="42" t="str">
        <f aca="false">IF(A93="","",IFERROR(INDEX(Team!$K$5:$K$64,MATCH(A93,Team!$A$5:$A$64,0)),0))</f>
        <v/>
      </c>
      <c r="S93" s="42" t="str">
        <f aca="false">IF(A93="","",Q93*R93)</f>
        <v/>
      </c>
    </row>
    <row r="94" customFormat="false" ht="15" hidden="false" customHeight="false" outlineLevel="0" collapsed="false">
      <c r="A94" s="29"/>
      <c r="B94" s="26" t="str">
        <f aca="false">IF(A94="","",IFERROR(INDEX(Team!$B$5:$B$64,MATCH(A94,Team!$A$5:$A$64,0)),"Not in Team"))</f>
        <v/>
      </c>
      <c r="C94" s="29"/>
      <c r="D94" s="26" t="str">
        <f aca="false">IF(C94="","",IFERROR(INDEX(Projects!$B$5:$B$54,MATCH(C94,Projects!$A$5:$A$54,0)),"Unknown ID"))</f>
        <v/>
      </c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19" t="str">
        <f aca="false">IF(A94="","",SUM(E94:P94))</f>
        <v/>
      </c>
      <c r="R94" s="42" t="str">
        <f aca="false">IF(A94="","",IFERROR(INDEX(Team!$K$5:$K$64,MATCH(A94,Team!$A$5:$A$64,0)),0))</f>
        <v/>
      </c>
      <c r="S94" s="42" t="str">
        <f aca="false">IF(A94="","",Q94*R94)</f>
        <v/>
      </c>
    </row>
    <row r="95" customFormat="false" ht="15" hidden="false" customHeight="false" outlineLevel="0" collapsed="false">
      <c r="A95" s="29"/>
      <c r="B95" s="26" t="str">
        <f aca="false">IF(A95="","",IFERROR(INDEX(Team!$B$5:$B$64,MATCH(A95,Team!$A$5:$A$64,0)),"Not in Team"))</f>
        <v/>
      </c>
      <c r="C95" s="29"/>
      <c r="D95" s="26" t="str">
        <f aca="false">IF(C95="","",IFERROR(INDEX(Projects!$B$5:$B$54,MATCH(C95,Projects!$A$5:$A$54,0)),"Unknown ID"))</f>
        <v/>
      </c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19" t="str">
        <f aca="false">IF(A95="","",SUM(E95:P95))</f>
        <v/>
      </c>
      <c r="R95" s="42" t="str">
        <f aca="false">IF(A95="","",IFERROR(INDEX(Team!$K$5:$K$64,MATCH(A95,Team!$A$5:$A$64,0)),0))</f>
        <v/>
      </c>
      <c r="S95" s="42" t="str">
        <f aca="false">IF(A95="","",Q95*R95)</f>
        <v/>
      </c>
    </row>
    <row r="96" customFormat="false" ht="15" hidden="false" customHeight="false" outlineLevel="0" collapsed="false">
      <c r="A96" s="29"/>
      <c r="B96" s="26" t="str">
        <f aca="false">IF(A96="","",IFERROR(INDEX(Team!$B$5:$B$64,MATCH(A96,Team!$A$5:$A$64,0)),"Not in Team"))</f>
        <v/>
      </c>
      <c r="C96" s="29"/>
      <c r="D96" s="26" t="str">
        <f aca="false">IF(C96="","",IFERROR(INDEX(Projects!$B$5:$B$54,MATCH(C96,Projects!$A$5:$A$54,0)),"Unknown ID"))</f>
        <v/>
      </c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19" t="str">
        <f aca="false">IF(A96="","",SUM(E96:P96))</f>
        <v/>
      </c>
      <c r="R96" s="42" t="str">
        <f aca="false">IF(A96="","",IFERROR(INDEX(Team!$K$5:$K$64,MATCH(A96,Team!$A$5:$A$64,0)),0))</f>
        <v/>
      </c>
      <c r="S96" s="42" t="str">
        <f aca="false">IF(A96="","",Q96*R96)</f>
        <v/>
      </c>
    </row>
    <row r="97" customFormat="false" ht="15" hidden="false" customHeight="false" outlineLevel="0" collapsed="false">
      <c r="A97" s="29"/>
      <c r="B97" s="26" t="str">
        <f aca="false">IF(A97="","",IFERROR(INDEX(Team!$B$5:$B$64,MATCH(A97,Team!$A$5:$A$64,0)),"Not in Team"))</f>
        <v/>
      </c>
      <c r="C97" s="29"/>
      <c r="D97" s="26" t="str">
        <f aca="false">IF(C97="","",IFERROR(INDEX(Projects!$B$5:$B$54,MATCH(C97,Projects!$A$5:$A$54,0)),"Unknown ID"))</f>
        <v/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19" t="str">
        <f aca="false">IF(A97="","",SUM(E97:P97))</f>
        <v/>
      </c>
      <c r="R97" s="42" t="str">
        <f aca="false">IF(A97="","",IFERROR(INDEX(Team!$K$5:$K$64,MATCH(A97,Team!$A$5:$A$64,0)),0))</f>
        <v/>
      </c>
      <c r="S97" s="42" t="str">
        <f aca="false">IF(A97="","",Q97*R97)</f>
        <v/>
      </c>
    </row>
    <row r="98" customFormat="false" ht="15" hidden="false" customHeight="false" outlineLevel="0" collapsed="false">
      <c r="A98" s="29"/>
      <c r="B98" s="26" t="str">
        <f aca="false">IF(A98="","",IFERROR(INDEX(Team!$B$5:$B$64,MATCH(A98,Team!$A$5:$A$64,0)),"Not in Team"))</f>
        <v/>
      </c>
      <c r="C98" s="29"/>
      <c r="D98" s="26" t="str">
        <f aca="false">IF(C98="","",IFERROR(INDEX(Projects!$B$5:$B$54,MATCH(C98,Projects!$A$5:$A$54,0)),"Unknown ID"))</f>
        <v/>
      </c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19" t="str">
        <f aca="false">IF(A98="","",SUM(E98:P98))</f>
        <v/>
      </c>
      <c r="R98" s="42" t="str">
        <f aca="false">IF(A98="","",IFERROR(INDEX(Team!$K$5:$K$64,MATCH(A98,Team!$A$5:$A$64,0)),0))</f>
        <v/>
      </c>
      <c r="S98" s="42" t="str">
        <f aca="false">IF(A98="","",Q98*R98)</f>
        <v/>
      </c>
    </row>
    <row r="99" customFormat="false" ht="15" hidden="false" customHeight="false" outlineLevel="0" collapsed="false">
      <c r="A99" s="29"/>
      <c r="B99" s="26" t="str">
        <f aca="false">IF(A99="","",IFERROR(INDEX(Team!$B$5:$B$64,MATCH(A99,Team!$A$5:$A$64,0)),"Not in Team"))</f>
        <v/>
      </c>
      <c r="C99" s="29"/>
      <c r="D99" s="26" t="str">
        <f aca="false">IF(C99="","",IFERROR(INDEX(Projects!$B$5:$B$54,MATCH(C99,Projects!$A$5:$A$54,0)),"Unknown ID"))</f>
        <v/>
      </c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19" t="str">
        <f aca="false">IF(A99="","",SUM(E99:P99))</f>
        <v/>
      </c>
      <c r="R99" s="42" t="str">
        <f aca="false">IF(A99="","",IFERROR(INDEX(Team!$K$5:$K$64,MATCH(A99,Team!$A$5:$A$64,0)),0))</f>
        <v/>
      </c>
      <c r="S99" s="42" t="str">
        <f aca="false">IF(A99="","",Q99*R99)</f>
        <v/>
      </c>
    </row>
    <row r="100" customFormat="false" ht="15" hidden="false" customHeight="false" outlineLevel="0" collapsed="false">
      <c r="A100" s="29"/>
      <c r="B100" s="26" t="str">
        <f aca="false">IF(A100="","",IFERROR(INDEX(Team!$B$5:$B$64,MATCH(A100,Team!$A$5:$A$64,0)),"Not in Team"))</f>
        <v/>
      </c>
      <c r="C100" s="29"/>
      <c r="D100" s="26" t="str">
        <f aca="false">IF(C100="","",IFERROR(INDEX(Projects!$B$5:$B$54,MATCH(C100,Projects!$A$5:$A$54,0)),"Unknown ID"))</f>
        <v/>
      </c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19" t="str">
        <f aca="false">IF(A100="","",SUM(E100:P100))</f>
        <v/>
      </c>
      <c r="R100" s="42" t="str">
        <f aca="false">IF(A100="","",IFERROR(INDEX(Team!$K$5:$K$64,MATCH(A100,Team!$A$5:$A$64,0)),0))</f>
        <v/>
      </c>
      <c r="S100" s="42" t="str">
        <f aca="false">IF(A100="","",Q100*R100)</f>
        <v/>
      </c>
    </row>
    <row r="101" customFormat="false" ht="15" hidden="false" customHeight="false" outlineLevel="0" collapsed="false">
      <c r="A101" s="29"/>
      <c r="B101" s="26" t="str">
        <f aca="false">IF(A101="","",IFERROR(INDEX(Team!$B$5:$B$64,MATCH(A101,Team!$A$5:$A$64,0)),"Not in Team"))</f>
        <v/>
      </c>
      <c r="C101" s="29"/>
      <c r="D101" s="26" t="str">
        <f aca="false">IF(C101="","",IFERROR(INDEX(Projects!$B$5:$B$54,MATCH(C101,Projects!$A$5:$A$54,0)),"Unknown ID"))</f>
        <v/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19" t="str">
        <f aca="false">IF(A101="","",SUM(E101:P101))</f>
        <v/>
      </c>
      <c r="R101" s="42" t="str">
        <f aca="false">IF(A101="","",IFERROR(INDEX(Team!$K$5:$K$64,MATCH(A101,Team!$A$5:$A$64,0)),0))</f>
        <v/>
      </c>
      <c r="S101" s="42" t="str">
        <f aca="false">IF(A101="","",Q101*R101)</f>
        <v/>
      </c>
    </row>
    <row r="102" customFormat="false" ht="15" hidden="false" customHeight="false" outlineLevel="0" collapsed="false">
      <c r="A102" s="29"/>
      <c r="B102" s="26" t="str">
        <f aca="false">IF(A102="","",IFERROR(INDEX(Team!$B$5:$B$64,MATCH(A102,Team!$A$5:$A$64,0)),"Not in Team"))</f>
        <v/>
      </c>
      <c r="C102" s="29"/>
      <c r="D102" s="26" t="str">
        <f aca="false">IF(C102="","",IFERROR(INDEX(Projects!$B$5:$B$54,MATCH(C102,Projects!$A$5:$A$54,0)),"Unknown ID"))</f>
        <v/>
      </c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19" t="str">
        <f aca="false">IF(A102="","",SUM(E102:P102))</f>
        <v/>
      </c>
      <c r="R102" s="42" t="str">
        <f aca="false">IF(A102="","",IFERROR(INDEX(Team!$K$5:$K$64,MATCH(A102,Team!$A$5:$A$64,0)),0))</f>
        <v/>
      </c>
      <c r="S102" s="42" t="str">
        <f aca="false">IF(A102="","",Q102*R102)</f>
        <v/>
      </c>
    </row>
    <row r="103" customFormat="false" ht="15" hidden="false" customHeight="false" outlineLevel="0" collapsed="false">
      <c r="A103" s="29"/>
      <c r="B103" s="26" t="str">
        <f aca="false">IF(A103="","",IFERROR(INDEX(Team!$B$5:$B$64,MATCH(A103,Team!$A$5:$A$64,0)),"Not in Team"))</f>
        <v/>
      </c>
      <c r="C103" s="29"/>
      <c r="D103" s="26" t="str">
        <f aca="false">IF(C103="","",IFERROR(INDEX(Projects!$B$5:$B$54,MATCH(C103,Projects!$A$5:$A$54,0)),"Unknown ID"))</f>
        <v/>
      </c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19" t="str">
        <f aca="false">IF(A103="","",SUM(E103:P103))</f>
        <v/>
      </c>
      <c r="R103" s="42" t="str">
        <f aca="false">IF(A103="","",IFERROR(INDEX(Team!$K$5:$K$64,MATCH(A103,Team!$A$5:$A$64,0)),0))</f>
        <v/>
      </c>
      <c r="S103" s="42" t="str">
        <f aca="false">IF(A103="","",Q103*R103)</f>
        <v/>
      </c>
    </row>
    <row r="104" customFormat="false" ht="15" hidden="false" customHeight="false" outlineLevel="0" collapsed="false">
      <c r="A104" s="29"/>
      <c r="B104" s="26" t="str">
        <f aca="false">IF(A104="","",IFERROR(INDEX(Team!$B$5:$B$64,MATCH(A104,Team!$A$5:$A$64,0)),"Not in Team"))</f>
        <v/>
      </c>
      <c r="C104" s="29"/>
      <c r="D104" s="26" t="str">
        <f aca="false">IF(C104="","",IFERROR(INDEX(Projects!$B$5:$B$54,MATCH(C104,Projects!$A$5:$A$54,0)),"Unknown ID"))</f>
        <v/>
      </c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19" t="str">
        <f aca="false">IF(A104="","",SUM(E104:P104))</f>
        <v/>
      </c>
      <c r="R104" s="42" t="str">
        <f aca="false">IF(A104="","",IFERROR(INDEX(Team!$K$5:$K$64,MATCH(A104,Team!$A$5:$A$64,0)),0))</f>
        <v/>
      </c>
      <c r="S104" s="42" t="str">
        <f aca="false">IF(A104="","",Q104*R104)</f>
        <v/>
      </c>
    </row>
    <row r="105" customFormat="false" ht="15" hidden="false" customHeight="false" outlineLevel="0" collapsed="false">
      <c r="A105" s="29"/>
      <c r="B105" s="26" t="str">
        <f aca="false">IF(A105="","",IFERROR(INDEX(Team!$B$5:$B$64,MATCH(A105,Team!$A$5:$A$64,0)),"Not in Team"))</f>
        <v/>
      </c>
      <c r="C105" s="29"/>
      <c r="D105" s="26" t="str">
        <f aca="false">IF(C105="","",IFERROR(INDEX(Projects!$B$5:$B$54,MATCH(C105,Projects!$A$5:$A$54,0)),"Unknown ID"))</f>
        <v/>
      </c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19" t="str">
        <f aca="false">IF(A105="","",SUM(E105:P105))</f>
        <v/>
      </c>
      <c r="R105" s="42" t="str">
        <f aca="false">IF(A105="","",IFERROR(INDEX(Team!$K$5:$K$64,MATCH(A105,Team!$A$5:$A$64,0)),0))</f>
        <v/>
      </c>
      <c r="S105" s="42" t="str">
        <f aca="false">IF(A105="","",Q105*R105)</f>
        <v/>
      </c>
    </row>
    <row r="106" customFormat="false" ht="15" hidden="false" customHeight="false" outlineLevel="0" collapsed="false">
      <c r="A106" s="29"/>
      <c r="B106" s="26" t="str">
        <f aca="false">IF(A106="","",IFERROR(INDEX(Team!$B$5:$B$64,MATCH(A106,Team!$A$5:$A$64,0)),"Not in Team"))</f>
        <v/>
      </c>
      <c r="C106" s="29"/>
      <c r="D106" s="26" t="str">
        <f aca="false">IF(C106="","",IFERROR(INDEX(Projects!$B$5:$B$54,MATCH(C106,Projects!$A$5:$A$54,0)),"Unknown ID"))</f>
        <v/>
      </c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19" t="str">
        <f aca="false">IF(A106="","",SUM(E106:P106))</f>
        <v/>
      </c>
      <c r="R106" s="42" t="str">
        <f aca="false">IF(A106="","",IFERROR(INDEX(Team!$K$5:$K$64,MATCH(A106,Team!$A$5:$A$64,0)),0))</f>
        <v/>
      </c>
      <c r="S106" s="42" t="str">
        <f aca="false">IF(A106="","",Q106*R106)</f>
        <v/>
      </c>
    </row>
    <row r="107" customFormat="false" ht="15" hidden="false" customHeight="false" outlineLevel="0" collapsed="false">
      <c r="A107" s="29"/>
      <c r="B107" s="26" t="str">
        <f aca="false">IF(A107="","",IFERROR(INDEX(Team!$B$5:$B$64,MATCH(A107,Team!$A$5:$A$64,0)),"Not in Team"))</f>
        <v/>
      </c>
      <c r="C107" s="29"/>
      <c r="D107" s="26" t="str">
        <f aca="false">IF(C107="","",IFERROR(INDEX(Projects!$B$5:$B$54,MATCH(C107,Projects!$A$5:$A$54,0)),"Unknown ID"))</f>
        <v/>
      </c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19" t="str">
        <f aca="false">IF(A107="","",SUM(E107:P107))</f>
        <v/>
      </c>
      <c r="R107" s="42" t="str">
        <f aca="false">IF(A107="","",IFERROR(INDEX(Team!$K$5:$K$64,MATCH(A107,Team!$A$5:$A$64,0)),0))</f>
        <v/>
      </c>
      <c r="S107" s="42" t="str">
        <f aca="false">IF(A107="","",Q107*R107)</f>
        <v/>
      </c>
    </row>
    <row r="108" customFormat="false" ht="15" hidden="false" customHeight="false" outlineLevel="0" collapsed="false">
      <c r="A108" s="29"/>
      <c r="B108" s="26" t="str">
        <f aca="false">IF(A108="","",IFERROR(INDEX(Team!$B$5:$B$64,MATCH(A108,Team!$A$5:$A$64,0)),"Not in Team"))</f>
        <v/>
      </c>
      <c r="C108" s="29"/>
      <c r="D108" s="26" t="str">
        <f aca="false">IF(C108="","",IFERROR(INDEX(Projects!$B$5:$B$54,MATCH(C108,Projects!$A$5:$A$54,0)),"Unknown ID"))</f>
        <v/>
      </c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19" t="str">
        <f aca="false">IF(A108="","",SUM(E108:P108))</f>
        <v/>
      </c>
      <c r="R108" s="42" t="str">
        <f aca="false">IF(A108="","",IFERROR(INDEX(Team!$K$5:$K$64,MATCH(A108,Team!$A$5:$A$64,0)),0))</f>
        <v/>
      </c>
      <c r="S108" s="42" t="str">
        <f aca="false">IF(A108="","",Q108*R108)</f>
        <v/>
      </c>
    </row>
    <row r="109" customFormat="false" ht="15" hidden="false" customHeight="false" outlineLevel="0" collapsed="false">
      <c r="A109" s="29"/>
      <c r="B109" s="26" t="str">
        <f aca="false">IF(A109="","",IFERROR(INDEX(Team!$B$5:$B$64,MATCH(A109,Team!$A$5:$A$64,0)),"Not in Team"))</f>
        <v/>
      </c>
      <c r="C109" s="29"/>
      <c r="D109" s="26" t="str">
        <f aca="false">IF(C109="","",IFERROR(INDEX(Projects!$B$5:$B$54,MATCH(C109,Projects!$A$5:$A$54,0)),"Unknown ID"))</f>
        <v/>
      </c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19" t="str">
        <f aca="false">IF(A109="","",SUM(E109:P109))</f>
        <v/>
      </c>
      <c r="R109" s="42" t="str">
        <f aca="false">IF(A109="","",IFERROR(INDEX(Team!$K$5:$K$64,MATCH(A109,Team!$A$5:$A$64,0)),0))</f>
        <v/>
      </c>
      <c r="S109" s="42" t="str">
        <f aca="false">IF(A109="","",Q109*R109)</f>
        <v/>
      </c>
    </row>
    <row r="110" customFormat="false" ht="15" hidden="false" customHeight="false" outlineLevel="0" collapsed="false">
      <c r="A110" s="29"/>
      <c r="B110" s="26" t="str">
        <f aca="false">IF(A110="","",IFERROR(INDEX(Team!$B$5:$B$64,MATCH(A110,Team!$A$5:$A$64,0)),"Not in Team"))</f>
        <v/>
      </c>
      <c r="C110" s="29"/>
      <c r="D110" s="26" t="str">
        <f aca="false">IF(C110="","",IFERROR(INDEX(Projects!$B$5:$B$54,MATCH(C110,Projects!$A$5:$A$54,0)),"Unknown ID"))</f>
        <v/>
      </c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19" t="str">
        <f aca="false">IF(A110="","",SUM(E110:P110))</f>
        <v/>
      </c>
      <c r="R110" s="42" t="str">
        <f aca="false">IF(A110="","",IFERROR(INDEX(Team!$K$5:$K$64,MATCH(A110,Team!$A$5:$A$64,0)),0))</f>
        <v/>
      </c>
      <c r="S110" s="42" t="str">
        <f aca="false">IF(A110="","",Q110*R110)</f>
        <v/>
      </c>
    </row>
    <row r="111" customFormat="false" ht="15" hidden="false" customHeight="false" outlineLevel="0" collapsed="false">
      <c r="A111" s="29"/>
      <c r="B111" s="26" t="str">
        <f aca="false">IF(A111="","",IFERROR(INDEX(Team!$B$5:$B$64,MATCH(A111,Team!$A$5:$A$64,0)),"Not in Team"))</f>
        <v/>
      </c>
      <c r="C111" s="29"/>
      <c r="D111" s="26" t="str">
        <f aca="false">IF(C111="","",IFERROR(INDEX(Projects!$B$5:$B$54,MATCH(C111,Projects!$A$5:$A$54,0)),"Unknown ID"))</f>
        <v/>
      </c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19" t="str">
        <f aca="false">IF(A111="","",SUM(E111:P111))</f>
        <v/>
      </c>
      <c r="R111" s="42" t="str">
        <f aca="false">IF(A111="","",IFERROR(INDEX(Team!$K$5:$K$64,MATCH(A111,Team!$A$5:$A$64,0)),0))</f>
        <v/>
      </c>
      <c r="S111" s="42" t="str">
        <f aca="false">IF(A111="","",Q111*R111)</f>
        <v/>
      </c>
    </row>
    <row r="112" customFormat="false" ht="15" hidden="false" customHeight="false" outlineLevel="0" collapsed="false">
      <c r="A112" s="29"/>
      <c r="B112" s="26" t="str">
        <f aca="false">IF(A112="","",IFERROR(INDEX(Team!$B$5:$B$64,MATCH(A112,Team!$A$5:$A$64,0)),"Not in Team"))</f>
        <v/>
      </c>
      <c r="C112" s="29"/>
      <c r="D112" s="26" t="str">
        <f aca="false">IF(C112="","",IFERROR(INDEX(Projects!$B$5:$B$54,MATCH(C112,Projects!$A$5:$A$54,0)),"Unknown ID"))</f>
        <v/>
      </c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19" t="str">
        <f aca="false">IF(A112="","",SUM(E112:P112))</f>
        <v/>
      </c>
      <c r="R112" s="42" t="str">
        <f aca="false">IF(A112="","",IFERROR(INDEX(Team!$K$5:$K$64,MATCH(A112,Team!$A$5:$A$64,0)),0))</f>
        <v/>
      </c>
      <c r="S112" s="42" t="str">
        <f aca="false">IF(A112="","",Q112*R112)</f>
        <v/>
      </c>
    </row>
    <row r="113" customFormat="false" ht="15" hidden="false" customHeight="false" outlineLevel="0" collapsed="false">
      <c r="A113" s="29"/>
      <c r="B113" s="26" t="str">
        <f aca="false">IF(A113="","",IFERROR(INDEX(Team!$B$5:$B$64,MATCH(A113,Team!$A$5:$A$64,0)),"Not in Team"))</f>
        <v/>
      </c>
      <c r="C113" s="29"/>
      <c r="D113" s="26" t="str">
        <f aca="false">IF(C113="","",IFERROR(INDEX(Projects!$B$5:$B$54,MATCH(C113,Projects!$A$5:$A$54,0)),"Unknown ID"))</f>
        <v/>
      </c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19" t="str">
        <f aca="false">IF(A113="","",SUM(E113:P113))</f>
        <v/>
      </c>
      <c r="R113" s="42" t="str">
        <f aca="false">IF(A113="","",IFERROR(INDEX(Team!$K$5:$K$64,MATCH(A113,Team!$A$5:$A$64,0)),0))</f>
        <v/>
      </c>
      <c r="S113" s="42" t="str">
        <f aca="false">IF(A113="","",Q113*R113)</f>
        <v/>
      </c>
    </row>
    <row r="114" customFormat="false" ht="15" hidden="false" customHeight="false" outlineLevel="0" collapsed="false">
      <c r="A114" s="29"/>
      <c r="B114" s="26" t="str">
        <f aca="false">IF(A114="","",IFERROR(INDEX(Team!$B$5:$B$64,MATCH(A114,Team!$A$5:$A$64,0)),"Not in Team"))</f>
        <v/>
      </c>
      <c r="C114" s="29"/>
      <c r="D114" s="26" t="str">
        <f aca="false">IF(C114="","",IFERROR(INDEX(Projects!$B$5:$B$54,MATCH(C114,Projects!$A$5:$A$54,0)),"Unknown ID"))</f>
        <v/>
      </c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19" t="str">
        <f aca="false">IF(A114="","",SUM(E114:P114))</f>
        <v/>
      </c>
      <c r="R114" s="42" t="str">
        <f aca="false">IF(A114="","",IFERROR(INDEX(Team!$K$5:$K$64,MATCH(A114,Team!$A$5:$A$64,0)),0))</f>
        <v/>
      </c>
      <c r="S114" s="42" t="str">
        <f aca="false">IF(A114="","",Q114*R114)</f>
        <v/>
      </c>
    </row>
    <row r="115" customFormat="false" ht="15" hidden="false" customHeight="false" outlineLevel="0" collapsed="false">
      <c r="A115" s="29"/>
      <c r="B115" s="26" t="str">
        <f aca="false">IF(A115="","",IFERROR(INDEX(Team!$B$5:$B$64,MATCH(A115,Team!$A$5:$A$64,0)),"Not in Team"))</f>
        <v/>
      </c>
      <c r="C115" s="29"/>
      <c r="D115" s="26" t="str">
        <f aca="false">IF(C115="","",IFERROR(INDEX(Projects!$B$5:$B$54,MATCH(C115,Projects!$A$5:$A$54,0)),"Unknown ID"))</f>
        <v/>
      </c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19" t="str">
        <f aca="false">IF(A115="","",SUM(E115:P115))</f>
        <v/>
      </c>
      <c r="R115" s="42" t="str">
        <f aca="false">IF(A115="","",IFERROR(INDEX(Team!$K$5:$K$64,MATCH(A115,Team!$A$5:$A$64,0)),0))</f>
        <v/>
      </c>
      <c r="S115" s="42" t="str">
        <f aca="false">IF(A115="","",Q115*R115)</f>
        <v/>
      </c>
    </row>
    <row r="116" customFormat="false" ht="15" hidden="false" customHeight="false" outlineLevel="0" collapsed="false">
      <c r="A116" s="29"/>
      <c r="B116" s="26" t="str">
        <f aca="false">IF(A116="","",IFERROR(INDEX(Team!$B$5:$B$64,MATCH(A116,Team!$A$5:$A$64,0)),"Not in Team"))</f>
        <v/>
      </c>
      <c r="C116" s="29"/>
      <c r="D116" s="26" t="str">
        <f aca="false">IF(C116="","",IFERROR(INDEX(Projects!$B$5:$B$54,MATCH(C116,Projects!$A$5:$A$54,0)),"Unknown ID"))</f>
        <v/>
      </c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19" t="str">
        <f aca="false">IF(A116="","",SUM(E116:P116))</f>
        <v/>
      </c>
      <c r="R116" s="42" t="str">
        <f aca="false">IF(A116="","",IFERROR(INDEX(Team!$K$5:$K$64,MATCH(A116,Team!$A$5:$A$64,0)),0))</f>
        <v/>
      </c>
      <c r="S116" s="42" t="str">
        <f aca="false">IF(A116="","",Q116*R116)</f>
        <v/>
      </c>
    </row>
    <row r="117" customFormat="false" ht="15" hidden="false" customHeight="false" outlineLevel="0" collapsed="false">
      <c r="A117" s="29"/>
      <c r="B117" s="26" t="str">
        <f aca="false">IF(A117="","",IFERROR(INDEX(Team!$B$5:$B$64,MATCH(A117,Team!$A$5:$A$64,0)),"Not in Team"))</f>
        <v/>
      </c>
      <c r="C117" s="29"/>
      <c r="D117" s="26" t="str">
        <f aca="false">IF(C117="","",IFERROR(INDEX(Projects!$B$5:$B$54,MATCH(C117,Projects!$A$5:$A$54,0)),"Unknown ID"))</f>
        <v/>
      </c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19" t="str">
        <f aca="false">IF(A117="","",SUM(E117:P117))</f>
        <v/>
      </c>
      <c r="R117" s="42" t="str">
        <f aca="false">IF(A117="","",IFERROR(INDEX(Team!$K$5:$K$64,MATCH(A117,Team!$A$5:$A$64,0)),0))</f>
        <v/>
      </c>
      <c r="S117" s="42" t="str">
        <f aca="false">IF(A117="","",Q117*R117)</f>
        <v/>
      </c>
    </row>
    <row r="118" customFormat="false" ht="15" hidden="false" customHeight="false" outlineLevel="0" collapsed="false">
      <c r="A118" s="29"/>
      <c r="B118" s="26" t="str">
        <f aca="false">IF(A118="","",IFERROR(INDEX(Team!$B$5:$B$64,MATCH(A118,Team!$A$5:$A$64,0)),"Not in Team"))</f>
        <v/>
      </c>
      <c r="C118" s="29"/>
      <c r="D118" s="26" t="str">
        <f aca="false">IF(C118="","",IFERROR(INDEX(Projects!$B$5:$B$54,MATCH(C118,Projects!$A$5:$A$54,0)),"Unknown ID"))</f>
        <v/>
      </c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19" t="str">
        <f aca="false">IF(A118="","",SUM(E118:P118))</f>
        <v/>
      </c>
      <c r="R118" s="42" t="str">
        <f aca="false">IF(A118="","",IFERROR(INDEX(Team!$K$5:$K$64,MATCH(A118,Team!$A$5:$A$64,0)),0))</f>
        <v/>
      </c>
      <c r="S118" s="42" t="str">
        <f aca="false">IF(A118="","",Q118*R118)</f>
        <v/>
      </c>
    </row>
    <row r="119" customFormat="false" ht="15" hidden="false" customHeight="false" outlineLevel="0" collapsed="false">
      <c r="A119" s="29"/>
      <c r="B119" s="26" t="str">
        <f aca="false">IF(A119="","",IFERROR(INDEX(Team!$B$5:$B$64,MATCH(A119,Team!$A$5:$A$64,0)),"Not in Team"))</f>
        <v/>
      </c>
      <c r="C119" s="29"/>
      <c r="D119" s="26" t="str">
        <f aca="false">IF(C119="","",IFERROR(INDEX(Projects!$B$5:$B$54,MATCH(C119,Projects!$A$5:$A$54,0)),"Unknown ID"))</f>
        <v/>
      </c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19" t="str">
        <f aca="false">IF(A119="","",SUM(E119:P119))</f>
        <v/>
      </c>
      <c r="R119" s="42" t="str">
        <f aca="false">IF(A119="","",IFERROR(INDEX(Team!$K$5:$K$64,MATCH(A119,Team!$A$5:$A$64,0)),0))</f>
        <v/>
      </c>
      <c r="S119" s="42" t="str">
        <f aca="false">IF(A119="","",Q119*R119)</f>
        <v/>
      </c>
    </row>
    <row r="120" customFormat="false" ht="15" hidden="false" customHeight="false" outlineLevel="0" collapsed="false">
      <c r="A120" s="29"/>
      <c r="B120" s="26" t="str">
        <f aca="false">IF(A120="","",IFERROR(INDEX(Team!$B$5:$B$64,MATCH(A120,Team!$A$5:$A$64,0)),"Not in Team"))</f>
        <v/>
      </c>
      <c r="C120" s="29"/>
      <c r="D120" s="26" t="str">
        <f aca="false">IF(C120="","",IFERROR(INDEX(Projects!$B$5:$B$54,MATCH(C120,Projects!$A$5:$A$54,0)),"Unknown ID"))</f>
        <v/>
      </c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19" t="str">
        <f aca="false">IF(A120="","",SUM(E120:P120))</f>
        <v/>
      </c>
      <c r="R120" s="42" t="str">
        <f aca="false">IF(A120="","",IFERROR(INDEX(Team!$K$5:$K$64,MATCH(A120,Team!$A$5:$A$64,0)),0))</f>
        <v/>
      </c>
      <c r="S120" s="42" t="str">
        <f aca="false">IF(A120="","",Q120*R120)</f>
        <v/>
      </c>
    </row>
    <row r="121" customFormat="false" ht="15" hidden="false" customHeight="false" outlineLevel="0" collapsed="false">
      <c r="A121" s="29"/>
      <c r="B121" s="26" t="str">
        <f aca="false">IF(A121="","",IFERROR(INDEX(Team!$B$5:$B$64,MATCH(A121,Team!$A$5:$A$64,0)),"Not in Team"))</f>
        <v/>
      </c>
      <c r="C121" s="29"/>
      <c r="D121" s="26" t="str">
        <f aca="false">IF(C121="","",IFERROR(INDEX(Projects!$B$5:$B$54,MATCH(C121,Projects!$A$5:$A$54,0)),"Unknown ID"))</f>
        <v/>
      </c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19" t="str">
        <f aca="false">IF(A121="","",SUM(E121:P121))</f>
        <v/>
      </c>
      <c r="R121" s="42" t="str">
        <f aca="false">IF(A121="","",IFERROR(INDEX(Team!$K$5:$K$64,MATCH(A121,Team!$A$5:$A$64,0)),0))</f>
        <v/>
      </c>
      <c r="S121" s="42" t="str">
        <f aca="false">IF(A121="","",Q121*R121)</f>
        <v/>
      </c>
    </row>
    <row r="122" customFormat="false" ht="15" hidden="false" customHeight="false" outlineLevel="0" collapsed="false">
      <c r="A122" s="29"/>
      <c r="B122" s="26" t="str">
        <f aca="false">IF(A122="","",IFERROR(INDEX(Team!$B$5:$B$64,MATCH(A122,Team!$A$5:$A$64,0)),"Not in Team"))</f>
        <v/>
      </c>
      <c r="C122" s="29"/>
      <c r="D122" s="26" t="str">
        <f aca="false">IF(C122="","",IFERROR(INDEX(Projects!$B$5:$B$54,MATCH(C122,Projects!$A$5:$A$54,0)),"Unknown ID"))</f>
        <v/>
      </c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19" t="str">
        <f aca="false">IF(A122="","",SUM(E122:P122))</f>
        <v/>
      </c>
      <c r="R122" s="42" t="str">
        <f aca="false">IF(A122="","",IFERROR(INDEX(Team!$K$5:$K$64,MATCH(A122,Team!$A$5:$A$64,0)),0))</f>
        <v/>
      </c>
      <c r="S122" s="42" t="str">
        <f aca="false">IF(A122="","",Q122*R122)</f>
        <v/>
      </c>
    </row>
    <row r="123" customFormat="false" ht="15" hidden="false" customHeight="false" outlineLevel="0" collapsed="false">
      <c r="A123" s="29"/>
      <c r="B123" s="26" t="str">
        <f aca="false">IF(A123="","",IFERROR(INDEX(Team!$B$5:$B$64,MATCH(A123,Team!$A$5:$A$64,0)),"Not in Team"))</f>
        <v/>
      </c>
      <c r="C123" s="29"/>
      <c r="D123" s="26" t="str">
        <f aca="false">IF(C123="","",IFERROR(INDEX(Projects!$B$5:$B$54,MATCH(C123,Projects!$A$5:$A$54,0)),"Unknown ID"))</f>
        <v/>
      </c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19" t="str">
        <f aca="false">IF(A123="","",SUM(E123:P123))</f>
        <v/>
      </c>
      <c r="R123" s="42" t="str">
        <f aca="false">IF(A123="","",IFERROR(INDEX(Team!$K$5:$K$64,MATCH(A123,Team!$A$5:$A$64,0)),0))</f>
        <v/>
      </c>
      <c r="S123" s="42" t="str">
        <f aca="false">IF(A123="","",Q123*R123)</f>
        <v/>
      </c>
    </row>
    <row r="124" customFormat="false" ht="15" hidden="false" customHeight="false" outlineLevel="0" collapsed="false">
      <c r="A124" s="29"/>
      <c r="B124" s="26" t="str">
        <f aca="false">IF(A124="","",IFERROR(INDEX(Team!$B$5:$B$64,MATCH(A124,Team!$A$5:$A$64,0)),"Not in Team"))</f>
        <v/>
      </c>
      <c r="C124" s="29"/>
      <c r="D124" s="26" t="str">
        <f aca="false">IF(C124="","",IFERROR(INDEX(Projects!$B$5:$B$54,MATCH(C124,Projects!$A$5:$A$54,0)),"Unknown ID"))</f>
        <v/>
      </c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19" t="str">
        <f aca="false">IF(A124="","",SUM(E124:P124))</f>
        <v/>
      </c>
      <c r="R124" s="42" t="str">
        <f aca="false">IF(A124="","",IFERROR(INDEX(Team!$K$5:$K$64,MATCH(A124,Team!$A$5:$A$64,0)),0))</f>
        <v/>
      </c>
      <c r="S124" s="42" t="str">
        <f aca="false">IF(A124="","",Q124*R124)</f>
        <v/>
      </c>
    </row>
    <row r="125" customFormat="false" ht="15" hidden="false" customHeight="false" outlineLevel="0" collapsed="false">
      <c r="A125" s="29"/>
      <c r="B125" s="26" t="str">
        <f aca="false">IF(A125="","",IFERROR(INDEX(Team!$B$5:$B$64,MATCH(A125,Team!$A$5:$A$64,0)),"Not in Team"))</f>
        <v/>
      </c>
      <c r="C125" s="29"/>
      <c r="D125" s="26" t="str">
        <f aca="false">IF(C125="","",IFERROR(INDEX(Projects!$B$5:$B$54,MATCH(C125,Projects!$A$5:$A$54,0)),"Unknown ID"))</f>
        <v/>
      </c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19" t="str">
        <f aca="false">IF(A125="","",SUM(E125:P125))</f>
        <v/>
      </c>
      <c r="R125" s="42" t="str">
        <f aca="false">IF(A125="","",IFERROR(INDEX(Team!$K$5:$K$64,MATCH(A125,Team!$A$5:$A$64,0)),0))</f>
        <v/>
      </c>
      <c r="S125" s="42" t="str">
        <f aca="false">IF(A125="","",Q125*R125)</f>
        <v/>
      </c>
    </row>
    <row r="126" customFormat="false" ht="15" hidden="false" customHeight="false" outlineLevel="0" collapsed="false">
      <c r="A126" s="29"/>
      <c r="B126" s="26" t="str">
        <f aca="false">IF(A126="","",IFERROR(INDEX(Team!$B$5:$B$64,MATCH(A126,Team!$A$5:$A$64,0)),"Not in Team"))</f>
        <v/>
      </c>
      <c r="C126" s="29"/>
      <c r="D126" s="26" t="str">
        <f aca="false">IF(C126="","",IFERROR(INDEX(Projects!$B$5:$B$54,MATCH(C126,Projects!$A$5:$A$54,0)),"Unknown ID"))</f>
        <v/>
      </c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19" t="str">
        <f aca="false">IF(A126="","",SUM(E126:P126))</f>
        <v/>
      </c>
      <c r="R126" s="42" t="str">
        <f aca="false">IF(A126="","",IFERROR(INDEX(Team!$K$5:$K$64,MATCH(A126,Team!$A$5:$A$64,0)),0))</f>
        <v/>
      </c>
      <c r="S126" s="42" t="str">
        <f aca="false">IF(A126="","",Q126*R126)</f>
        <v/>
      </c>
    </row>
    <row r="127" customFormat="false" ht="15" hidden="false" customHeight="false" outlineLevel="0" collapsed="false">
      <c r="A127" s="29"/>
      <c r="B127" s="26" t="str">
        <f aca="false">IF(A127="","",IFERROR(INDEX(Team!$B$5:$B$64,MATCH(A127,Team!$A$5:$A$64,0)),"Not in Team"))</f>
        <v/>
      </c>
      <c r="C127" s="29"/>
      <c r="D127" s="26" t="str">
        <f aca="false">IF(C127="","",IFERROR(INDEX(Projects!$B$5:$B$54,MATCH(C127,Projects!$A$5:$A$54,0)),"Unknown ID"))</f>
        <v/>
      </c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19" t="str">
        <f aca="false">IF(A127="","",SUM(E127:P127))</f>
        <v/>
      </c>
      <c r="R127" s="42" t="str">
        <f aca="false">IF(A127="","",IFERROR(INDEX(Team!$K$5:$K$64,MATCH(A127,Team!$A$5:$A$64,0)),0))</f>
        <v/>
      </c>
      <c r="S127" s="42" t="str">
        <f aca="false">IF(A127="","",Q127*R127)</f>
        <v/>
      </c>
    </row>
    <row r="128" customFormat="false" ht="15" hidden="false" customHeight="false" outlineLevel="0" collapsed="false">
      <c r="A128" s="29"/>
      <c r="B128" s="26" t="str">
        <f aca="false">IF(A128="","",IFERROR(INDEX(Team!$B$5:$B$64,MATCH(A128,Team!$A$5:$A$64,0)),"Not in Team"))</f>
        <v/>
      </c>
      <c r="C128" s="29"/>
      <c r="D128" s="26" t="str">
        <f aca="false">IF(C128="","",IFERROR(INDEX(Projects!$B$5:$B$54,MATCH(C128,Projects!$A$5:$A$54,0)),"Unknown ID"))</f>
        <v/>
      </c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19" t="str">
        <f aca="false">IF(A128="","",SUM(E128:P128))</f>
        <v/>
      </c>
      <c r="R128" s="42" t="str">
        <f aca="false">IF(A128="","",IFERROR(INDEX(Team!$K$5:$K$64,MATCH(A128,Team!$A$5:$A$64,0)),0))</f>
        <v/>
      </c>
      <c r="S128" s="42" t="str">
        <f aca="false">IF(A128="","",Q128*R128)</f>
        <v/>
      </c>
    </row>
    <row r="129" customFormat="false" ht="15" hidden="false" customHeight="false" outlineLevel="0" collapsed="false">
      <c r="A129" s="29"/>
      <c r="B129" s="26" t="str">
        <f aca="false">IF(A129="","",IFERROR(INDEX(Team!$B$5:$B$64,MATCH(A129,Team!$A$5:$A$64,0)),"Not in Team"))</f>
        <v/>
      </c>
      <c r="C129" s="29"/>
      <c r="D129" s="26" t="str">
        <f aca="false">IF(C129="","",IFERROR(INDEX(Projects!$B$5:$B$54,MATCH(C129,Projects!$A$5:$A$54,0)),"Unknown ID"))</f>
        <v/>
      </c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19" t="str">
        <f aca="false">IF(A129="","",SUM(E129:P129))</f>
        <v/>
      </c>
      <c r="R129" s="42" t="str">
        <f aca="false">IF(A129="","",IFERROR(INDEX(Team!$K$5:$K$64,MATCH(A129,Team!$A$5:$A$64,0)),0))</f>
        <v/>
      </c>
      <c r="S129" s="42" t="str">
        <f aca="false">IF(A129="","",Q129*R129)</f>
        <v/>
      </c>
    </row>
    <row r="130" customFormat="false" ht="15" hidden="false" customHeight="false" outlineLevel="0" collapsed="false">
      <c r="A130" s="29"/>
      <c r="B130" s="26" t="str">
        <f aca="false">IF(A130="","",IFERROR(INDEX(Team!$B$5:$B$64,MATCH(A130,Team!$A$5:$A$64,0)),"Not in Team"))</f>
        <v/>
      </c>
      <c r="C130" s="29"/>
      <c r="D130" s="26" t="str">
        <f aca="false">IF(C130="","",IFERROR(INDEX(Projects!$B$5:$B$54,MATCH(C130,Projects!$A$5:$A$54,0)),"Unknown ID"))</f>
        <v/>
      </c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19" t="str">
        <f aca="false">IF(A130="","",SUM(E130:P130))</f>
        <v/>
      </c>
      <c r="R130" s="42" t="str">
        <f aca="false">IF(A130="","",IFERROR(INDEX(Team!$K$5:$K$64,MATCH(A130,Team!$A$5:$A$64,0)),0))</f>
        <v/>
      </c>
      <c r="S130" s="42" t="str">
        <f aca="false">IF(A130="","",Q130*R130)</f>
        <v/>
      </c>
    </row>
    <row r="131" customFormat="false" ht="15" hidden="false" customHeight="false" outlineLevel="0" collapsed="false">
      <c r="A131" s="29"/>
      <c r="B131" s="26" t="str">
        <f aca="false">IF(A131="","",IFERROR(INDEX(Team!$B$5:$B$64,MATCH(A131,Team!$A$5:$A$64,0)),"Not in Team"))</f>
        <v/>
      </c>
      <c r="C131" s="29"/>
      <c r="D131" s="26" t="str">
        <f aca="false">IF(C131="","",IFERROR(INDEX(Projects!$B$5:$B$54,MATCH(C131,Projects!$A$5:$A$54,0)),"Unknown ID"))</f>
        <v/>
      </c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19" t="str">
        <f aca="false">IF(A131="","",SUM(E131:P131))</f>
        <v/>
      </c>
      <c r="R131" s="42" t="str">
        <f aca="false">IF(A131="","",IFERROR(INDEX(Team!$K$5:$K$64,MATCH(A131,Team!$A$5:$A$64,0)),0))</f>
        <v/>
      </c>
      <c r="S131" s="42" t="str">
        <f aca="false">IF(A131="","",Q131*R131)</f>
        <v/>
      </c>
    </row>
    <row r="132" customFormat="false" ht="15" hidden="false" customHeight="false" outlineLevel="0" collapsed="false">
      <c r="A132" s="29"/>
      <c r="B132" s="26" t="str">
        <f aca="false">IF(A132="","",IFERROR(INDEX(Team!$B$5:$B$64,MATCH(A132,Team!$A$5:$A$64,0)),"Not in Team"))</f>
        <v/>
      </c>
      <c r="C132" s="29"/>
      <c r="D132" s="26" t="str">
        <f aca="false">IF(C132="","",IFERROR(INDEX(Projects!$B$5:$B$54,MATCH(C132,Projects!$A$5:$A$54,0)),"Unknown ID"))</f>
        <v/>
      </c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19" t="str">
        <f aca="false">IF(A132="","",SUM(E132:P132))</f>
        <v/>
      </c>
      <c r="R132" s="42" t="str">
        <f aca="false">IF(A132="","",IFERROR(INDEX(Team!$K$5:$K$64,MATCH(A132,Team!$A$5:$A$64,0)),0))</f>
        <v/>
      </c>
      <c r="S132" s="42" t="str">
        <f aca="false">IF(A132="","",Q132*R132)</f>
        <v/>
      </c>
    </row>
    <row r="133" customFormat="false" ht="15" hidden="false" customHeight="false" outlineLevel="0" collapsed="false">
      <c r="A133" s="29"/>
      <c r="B133" s="26" t="str">
        <f aca="false">IF(A133="","",IFERROR(INDEX(Team!$B$5:$B$64,MATCH(A133,Team!$A$5:$A$64,0)),"Not in Team"))</f>
        <v/>
      </c>
      <c r="C133" s="29"/>
      <c r="D133" s="26" t="str">
        <f aca="false">IF(C133="","",IFERROR(INDEX(Projects!$B$5:$B$54,MATCH(C133,Projects!$A$5:$A$54,0)),"Unknown ID"))</f>
        <v/>
      </c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19" t="str">
        <f aca="false">IF(A133="","",SUM(E133:P133))</f>
        <v/>
      </c>
      <c r="R133" s="42" t="str">
        <f aca="false">IF(A133="","",IFERROR(INDEX(Team!$K$5:$K$64,MATCH(A133,Team!$A$5:$A$64,0)),0))</f>
        <v/>
      </c>
      <c r="S133" s="42" t="str">
        <f aca="false">IF(A133="","",Q133*R133)</f>
        <v/>
      </c>
    </row>
    <row r="134" customFormat="false" ht="15" hidden="false" customHeight="false" outlineLevel="0" collapsed="false">
      <c r="A134" s="29"/>
      <c r="B134" s="26" t="str">
        <f aca="false">IF(A134="","",IFERROR(INDEX(Team!$B$5:$B$64,MATCH(A134,Team!$A$5:$A$64,0)),"Not in Team"))</f>
        <v/>
      </c>
      <c r="C134" s="29"/>
      <c r="D134" s="26" t="str">
        <f aca="false">IF(C134="","",IFERROR(INDEX(Projects!$B$5:$B$54,MATCH(C134,Projects!$A$5:$A$54,0)),"Unknown ID"))</f>
        <v/>
      </c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19" t="str">
        <f aca="false">IF(A134="","",SUM(E134:P134))</f>
        <v/>
      </c>
      <c r="R134" s="42" t="str">
        <f aca="false">IF(A134="","",IFERROR(INDEX(Team!$K$5:$K$64,MATCH(A134,Team!$A$5:$A$64,0)),0))</f>
        <v/>
      </c>
      <c r="S134" s="42" t="str">
        <f aca="false">IF(A134="","",Q134*R134)</f>
        <v/>
      </c>
    </row>
    <row r="135" customFormat="false" ht="15" hidden="false" customHeight="false" outlineLevel="0" collapsed="false">
      <c r="A135" s="29"/>
      <c r="B135" s="26" t="str">
        <f aca="false">IF(A135="","",IFERROR(INDEX(Team!$B$5:$B$64,MATCH(A135,Team!$A$5:$A$64,0)),"Not in Team"))</f>
        <v/>
      </c>
      <c r="C135" s="29"/>
      <c r="D135" s="26" t="str">
        <f aca="false">IF(C135="","",IFERROR(INDEX(Projects!$B$5:$B$54,MATCH(C135,Projects!$A$5:$A$54,0)),"Unknown ID"))</f>
        <v/>
      </c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19" t="str">
        <f aca="false">IF(A135="","",SUM(E135:P135))</f>
        <v/>
      </c>
      <c r="R135" s="42" t="str">
        <f aca="false">IF(A135="","",IFERROR(INDEX(Team!$K$5:$K$64,MATCH(A135,Team!$A$5:$A$64,0)),0))</f>
        <v/>
      </c>
      <c r="S135" s="42" t="str">
        <f aca="false">IF(A135="","",Q135*R135)</f>
        <v/>
      </c>
    </row>
    <row r="136" customFormat="false" ht="15" hidden="false" customHeight="false" outlineLevel="0" collapsed="false">
      <c r="A136" s="29"/>
      <c r="B136" s="26" t="str">
        <f aca="false">IF(A136="","",IFERROR(INDEX(Team!$B$5:$B$64,MATCH(A136,Team!$A$5:$A$64,0)),"Not in Team"))</f>
        <v/>
      </c>
      <c r="C136" s="29"/>
      <c r="D136" s="26" t="str">
        <f aca="false">IF(C136="","",IFERROR(INDEX(Projects!$B$5:$B$54,MATCH(C136,Projects!$A$5:$A$54,0)),"Unknown ID"))</f>
        <v/>
      </c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19" t="str">
        <f aca="false">IF(A136="","",SUM(E136:P136))</f>
        <v/>
      </c>
      <c r="R136" s="42" t="str">
        <f aca="false">IF(A136="","",IFERROR(INDEX(Team!$K$5:$K$64,MATCH(A136,Team!$A$5:$A$64,0)),0))</f>
        <v/>
      </c>
      <c r="S136" s="42" t="str">
        <f aca="false">IF(A136="","",Q136*R136)</f>
        <v/>
      </c>
    </row>
    <row r="137" customFormat="false" ht="15" hidden="false" customHeight="false" outlineLevel="0" collapsed="false">
      <c r="A137" s="29"/>
      <c r="B137" s="26" t="str">
        <f aca="false">IF(A137="","",IFERROR(INDEX(Team!$B$5:$B$64,MATCH(A137,Team!$A$5:$A$64,0)),"Not in Team"))</f>
        <v/>
      </c>
      <c r="C137" s="29"/>
      <c r="D137" s="26" t="str">
        <f aca="false">IF(C137="","",IFERROR(INDEX(Projects!$B$5:$B$54,MATCH(C137,Projects!$A$5:$A$54,0)),"Unknown ID"))</f>
        <v/>
      </c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19" t="str">
        <f aca="false">IF(A137="","",SUM(E137:P137))</f>
        <v/>
      </c>
      <c r="R137" s="42" t="str">
        <f aca="false">IF(A137="","",IFERROR(INDEX(Team!$K$5:$K$64,MATCH(A137,Team!$A$5:$A$64,0)),0))</f>
        <v/>
      </c>
      <c r="S137" s="42" t="str">
        <f aca="false">IF(A137="","",Q137*R137)</f>
        <v/>
      </c>
    </row>
    <row r="138" customFormat="false" ht="15" hidden="false" customHeight="false" outlineLevel="0" collapsed="false">
      <c r="A138" s="29"/>
      <c r="B138" s="26" t="str">
        <f aca="false">IF(A138="","",IFERROR(INDEX(Team!$B$5:$B$64,MATCH(A138,Team!$A$5:$A$64,0)),"Not in Team"))</f>
        <v/>
      </c>
      <c r="C138" s="29"/>
      <c r="D138" s="26" t="str">
        <f aca="false">IF(C138="","",IFERROR(INDEX(Projects!$B$5:$B$54,MATCH(C138,Projects!$A$5:$A$54,0)),"Unknown ID"))</f>
        <v/>
      </c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19" t="str">
        <f aca="false">IF(A138="","",SUM(E138:P138))</f>
        <v/>
      </c>
      <c r="R138" s="42" t="str">
        <f aca="false">IF(A138="","",IFERROR(INDEX(Team!$K$5:$K$64,MATCH(A138,Team!$A$5:$A$64,0)),0))</f>
        <v/>
      </c>
      <c r="S138" s="42" t="str">
        <f aca="false">IF(A138="","",Q138*R138)</f>
        <v/>
      </c>
    </row>
    <row r="139" customFormat="false" ht="15" hidden="false" customHeight="false" outlineLevel="0" collapsed="false">
      <c r="A139" s="29"/>
      <c r="B139" s="26" t="str">
        <f aca="false">IF(A139="","",IFERROR(INDEX(Team!$B$5:$B$64,MATCH(A139,Team!$A$5:$A$64,0)),"Not in Team"))</f>
        <v/>
      </c>
      <c r="C139" s="29"/>
      <c r="D139" s="26" t="str">
        <f aca="false">IF(C139="","",IFERROR(INDEX(Projects!$B$5:$B$54,MATCH(C139,Projects!$A$5:$A$54,0)),"Unknown ID"))</f>
        <v/>
      </c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19" t="str">
        <f aca="false">IF(A139="","",SUM(E139:P139))</f>
        <v/>
      </c>
      <c r="R139" s="42" t="str">
        <f aca="false">IF(A139="","",IFERROR(INDEX(Team!$K$5:$K$64,MATCH(A139,Team!$A$5:$A$64,0)),0))</f>
        <v/>
      </c>
      <c r="S139" s="42" t="str">
        <f aca="false">IF(A139="","",Q139*R139)</f>
        <v/>
      </c>
    </row>
    <row r="140" customFormat="false" ht="15" hidden="false" customHeight="false" outlineLevel="0" collapsed="false">
      <c r="A140" s="29"/>
      <c r="B140" s="26" t="str">
        <f aca="false">IF(A140="","",IFERROR(INDEX(Team!$B$5:$B$64,MATCH(A140,Team!$A$5:$A$64,0)),"Not in Team"))</f>
        <v/>
      </c>
      <c r="C140" s="29"/>
      <c r="D140" s="26" t="str">
        <f aca="false">IF(C140="","",IFERROR(INDEX(Projects!$B$5:$B$54,MATCH(C140,Projects!$A$5:$A$54,0)),"Unknown ID"))</f>
        <v/>
      </c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19" t="str">
        <f aca="false">IF(A140="","",SUM(E140:P140))</f>
        <v/>
      </c>
      <c r="R140" s="42" t="str">
        <f aca="false">IF(A140="","",IFERROR(INDEX(Team!$K$5:$K$64,MATCH(A140,Team!$A$5:$A$64,0)),0))</f>
        <v/>
      </c>
      <c r="S140" s="42" t="str">
        <f aca="false">IF(A140="","",Q140*R140)</f>
        <v/>
      </c>
    </row>
    <row r="141" customFormat="false" ht="15" hidden="false" customHeight="false" outlineLevel="0" collapsed="false">
      <c r="A141" s="29"/>
      <c r="B141" s="26" t="str">
        <f aca="false">IF(A141="","",IFERROR(INDEX(Team!$B$5:$B$64,MATCH(A141,Team!$A$5:$A$64,0)),"Not in Team"))</f>
        <v/>
      </c>
      <c r="C141" s="29"/>
      <c r="D141" s="26" t="str">
        <f aca="false">IF(C141="","",IFERROR(INDEX(Projects!$B$5:$B$54,MATCH(C141,Projects!$A$5:$A$54,0)),"Unknown ID"))</f>
        <v/>
      </c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19" t="str">
        <f aca="false">IF(A141="","",SUM(E141:P141))</f>
        <v/>
      </c>
      <c r="R141" s="42" t="str">
        <f aca="false">IF(A141="","",IFERROR(INDEX(Team!$K$5:$K$64,MATCH(A141,Team!$A$5:$A$64,0)),0))</f>
        <v/>
      </c>
      <c r="S141" s="42" t="str">
        <f aca="false">IF(A141="","",Q141*R141)</f>
        <v/>
      </c>
    </row>
    <row r="142" customFormat="false" ht="15" hidden="false" customHeight="false" outlineLevel="0" collapsed="false">
      <c r="A142" s="29"/>
      <c r="B142" s="26" t="str">
        <f aca="false">IF(A142="","",IFERROR(INDEX(Team!$B$5:$B$64,MATCH(A142,Team!$A$5:$A$64,0)),"Not in Team"))</f>
        <v/>
      </c>
      <c r="C142" s="29"/>
      <c r="D142" s="26" t="str">
        <f aca="false">IF(C142="","",IFERROR(INDEX(Projects!$B$5:$B$54,MATCH(C142,Projects!$A$5:$A$54,0)),"Unknown ID"))</f>
        <v/>
      </c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19" t="str">
        <f aca="false">IF(A142="","",SUM(E142:P142))</f>
        <v/>
      </c>
      <c r="R142" s="42" t="str">
        <f aca="false">IF(A142="","",IFERROR(INDEX(Team!$K$5:$K$64,MATCH(A142,Team!$A$5:$A$64,0)),0))</f>
        <v/>
      </c>
      <c r="S142" s="42" t="str">
        <f aca="false">IF(A142="","",Q142*R142)</f>
        <v/>
      </c>
    </row>
    <row r="143" customFormat="false" ht="15" hidden="false" customHeight="false" outlineLevel="0" collapsed="false">
      <c r="A143" s="29"/>
      <c r="B143" s="26" t="str">
        <f aca="false">IF(A143="","",IFERROR(INDEX(Team!$B$5:$B$64,MATCH(A143,Team!$A$5:$A$64,0)),"Not in Team"))</f>
        <v/>
      </c>
      <c r="C143" s="29"/>
      <c r="D143" s="26" t="str">
        <f aca="false">IF(C143="","",IFERROR(INDEX(Projects!$B$5:$B$54,MATCH(C143,Projects!$A$5:$A$54,0)),"Unknown ID"))</f>
        <v/>
      </c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19" t="str">
        <f aca="false">IF(A143="","",SUM(E143:P143))</f>
        <v/>
      </c>
      <c r="R143" s="42" t="str">
        <f aca="false">IF(A143="","",IFERROR(INDEX(Team!$K$5:$K$64,MATCH(A143,Team!$A$5:$A$64,0)),0))</f>
        <v/>
      </c>
      <c r="S143" s="42" t="str">
        <f aca="false">IF(A143="","",Q143*R143)</f>
        <v/>
      </c>
    </row>
    <row r="144" customFormat="false" ht="15" hidden="false" customHeight="false" outlineLevel="0" collapsed="false">
      <c r="A144" s="29"/>
      <c r="B144" s="26" t="str">
        <f aca="false">IF(A144="","",IFERROR(INDEX(Team!$B$5:$B$64,MATCH(A144,Team!$A$5:$A$64,0)),"Not in Team"))</f>
        <v/>
      </c>
      <c r="C144" s="29"/>
      <c r="D144" s="26" t="str">
        <f aca="false">IF(C144="","",IFERROR(INDEX(Projects!$B$5:$B$54,MATCH(C144,Projects!$A$5:$A$54,0)),"Unknown ID"))</f>
        <v/>
      </c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19" t="str">
        <f aca="false">IF(A144="","",SUM(E144:P144))</f>
        <v/>
      </c>
      <c r="R144" s="42" t="str">
        <f aca="false">IF(A144="","",IFERROR(INDEX(Team!$K$5:$K$64,MATCH(A144,Team!$A$5:$A$64,0)),0))</f>
        <v/>
      </c>
      <c r="S144" s="42" t="str">
        <f aca="false">IF(A144="","",Q144*R144)</f>
        <v/>
      </c>
    </row>
    <row r="145" customFormat="false" ht="15" hidden="false" customHeight="false" outlineLevel="0" collapsed="false">
      <c r="A145" s="29"/>
      <c r="B145" s="26" t="str">
        <f aca="false">IF(A145="","",IFERROR(INDEX(Team!$B$5:$B$64,MATCH(A145,Team!$A$5:$A$64,0)),"Not in Team"))</f>
        <v/>
      </c>
      <c r="C145" s="29"/>
      <c r="D145" s="26" t="str">
        <f aca="false">IF(C145="","",IFERROR(INDEX(Projects!$B$5:$B$54,MATCH(C145,Projects!$A$5:$A$54,0)),"Unknown ID"))</f>
        <v/>
      </c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19" t="str">
        <f aca="false">IF(A145="","",SUM(E145:P145))</f>
        <v/>
      </c>
      <c r="R145" s="42" t="str">
        <f aca="false">IF(A145="","",IFERROR(INDEX(Team!$K$5:$K$64,MATCH(A145,Team!$A$5:$A$64,0)),0))</f>
        <v/>
      </c>
      <c r="S145" s="42" t="str">
        <f aca="false">IF(A145="","",Q145*R145)</f>
        <v/>
      </c>
    </row>
    <row r="146" customFormat="false" ht="15" hidden="false" customHeight="false" outlineLevel="0" collapsed="false">
      <c r="A146" s="29"/>
      <c r="B146" s="26" t="str">
        <f aca="false">IF(A146="","",IFERROR(INDEX(Team!$B$5:$B$64,MATCH(A146,Team!$A$5:$A$64,0)),"Not in Team"))</f>
        <v/>
      </c>
      <c r="C146" s="29"/>
      <c r="D146" s="26" t="str">
        <f aca="false">IF(C146="","",IFERROR(INDEX(Projects!$B$5:$B$54,MATCH(C146,Projects!$A$5:$A$54,0)),"Unknown ID"))</f>
        <v/>
      </c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19" t="str">
        <f aca="false">IF(A146="","",SUM(E146:P146))</f>
        <v/>
      </c>
      <c r="R146" s="42" t="str">
        <f aca="false">IF(A146="","",IFERROR(INDEX(Team!$K$5:$K$64,MATCH(A146,Team!$A$5:$A$64,0)),0))</f>
        <v/>
      </c>
      <c r="S146" s="42" t="str">
        <f aca="false">IF(A146="","",Q146*R146)</f>
        <v/>
      </c>
    </row>
    <row r="147" customFormat="false" ht="15" hidden="false" customHeight="false" outlineLevel="0" collapsed="false">
      <c r="A147" s="29"/>
      <c r="B147" s="26" t="str">
        <f aca="false">IF(A147="","",IFERROR(INDEX(Team!$B$5:$B$64,MATCH(A147,Team!$A$5:$A$64,0)),"Not in Team"))</f>
        <v/>
      </c>
      <c r="C147" s="29"/>
      <c r="D147" s="26" t="str">
        <f aca="false">IF(C147="","",IFERROR(INDEX(Projects!$B$5:$B$54,MATCH(C147,Projects!$A$5:$A$54,0)),"Unknown ID"))</f>
        <v/>
      </c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19" t="str">
        <f aca="false">IF(A147="","",SUM(E147:P147))</f>
        <v/>
      </c>
      <c r="R147" s="42" t="str">
        <f aca="false">IF(A147="","",IFERROR(INDEX(Team!$K$5:$K$64,MATCH(A147,Team!$A$5:$A$64,0)),0))</f>
        <v/>
      </c>
      <c r="S147" s="42" t="str">
        <f aca="false">IF(A147="","",Q147*R147)</f>
        <v/>
      </c>
    </row>
    <row r="148" customFormat="false" ht="15" hidden="false" customHeight="false" outlineLevel="0" collapsed="false">
      <c r="A148" s="29"/>
      <c r="B148" s="26" t="str">
        <f aca="false">IF(A148="","",IFERROR(INDEX(Team!$B$5:$B$64,MATCH(A148,Team!$A$5:$A$64,0)),"Not in Team"))</f>
        <v/>
      </c>
      <c r="C148" s="29"/>
      <c r="D148" s="26" t="str">
        <f aca="false">IF(C148="","",IFERROR(INDEX(Projects!$B$5:$B$54,MATCH(C148,Projects!$A$5:$A$54,0)),"Unknown ID"))</f>
        <v/>
      </c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19" t="str">
        <f aca="false">IF(A148="","",SUM(E148:P148))</f>
        <v/>
      </c>
      <c r="R148" s="42" t="str">
        <f aca="false">IF(A148="","",IFERROR(INDEX(Team!$K$5:$K$64,MATCH(A148,Team!$A$5:$A$64,0)),0))</f>
        <v/>
      </c>
      <c r="S148" s="42" t="str">
        <f aca="false">IF(A148="","",Q148*R148)</f>
        <v/>
      </c>
    </row>
    <row r="149" customFormat="false" ht="15" hidden="false" customHeight="false" outlineLevel="0" collapsed="false">
      <c r="A149" s="29"/>
      <c r="B149" s="26" t="str">
        <f aca="false">IF(A149="","",IFERROR(INDEX(Team!$B$5:$B$64,MATCH(A149,Team!$A$5:$A$64,0)),"Not in Team"))</f>
        <v/>
      </c>
      <c r="C149" s="29"/>
      <c r="D149" s="26" t="str">
        <f aca="false">IF(C149="","",IFERROR(INDEX(Projects!$B$5:$B$54,MATCH(C149,Projects!$A$5:$A$54,0)),"Unknown ID"))</f>
        <v/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19" t="str">
        <f aca="false">IF(A149="","",SUM(E149:P149))</f>
        <v/>
      </c>
      <c r="R149" s="42" t="str">
        <f aca="false">IF(A149="","",IFERROR(INDEX(Team!$K$5:$K$64,MATCH(A149,Team!$A$5:$A$64,0)),0))</f>
        <v/>
      </c>
      <c r="S149" s="42" t="str">
        <f aca="false">IF(A149="","",Q149*R149)</f>
        <v/>
      </c>
    </row>
    <row r="150" customFormat="false" ht="15" hidden="false" customHeight="false" outlineLevel="0" collapsed="false">
      <c r="A150" s="29"/>
      <c r="B150" s="26" t="str">
        <f aca="false">IF(A150="","",IFERROR(INDEX(Team!$B$5:$B$64,MATCH(A150,Team!$A$5:$A$64,0)),"Not in Team"))</f>
        <v/>
      </c>
      <c r="C150" s="29"/>
      <c r="D150" s="26" t="str">
        <f aca="false">IF(C150="","",IFERROR(INDEX(Projects!$B$5:$B$54,MATCH(C150,Projects!$A$5:$A$54,0)),"Unknown ID"))</f>
        <v/>
      </c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19" t="str">
        <f aca="false">IF(A150="","",SUM(E150:P150))</f>
        <v/>
      </c>
      <c r="R150" s="42" t="str">
        <f aca="false">IF(A150="","",IFERROR(INDEX(Team!$K$5:$K$64,MATCH(A150,Team!$A$5:$A$64,0)),0))</f>
        <v/>
      </c>
      <c r="S150" s="42" t="str">
        <f aca="false">IF(A150="","",Q150*R150)</f>
        <v/>
      </c>
    </row>
    <row r="151" customFormat="false" ht="15" hidden="false" customHeight="false" outlineLevel="0" collapsed="false">
      <c r="A151" s="29"/>
      <c r="B151" s="26" t="str">
        <f aca="false">IF(A151="","",IFERROR(INDEX(Team!$B$5:$B$64,MATCH(A151,Team!$A$5:$A$64,0)),"Not in Team"))</f>
        <v/>
      </c>
      <c r="C151" s="29"/>
      <c r="D151" s="26" t="str">
        <f aca="false">IF(C151="","",IFERROR(INDEX(Projects!$B$5:$B$54,MATCH(C151,Projects!$A$5:$A$54,0)),"Unknown ID"))</f>
        <v/>
      </c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19" t="str">
        <f aca="false">IF(A151="","",SUM(E151:P151))</f>
        <v/>
      </c>
      <c r="R151" s="42" t="str">
        <f aca="false">IF(A151="","",IFERROR(INDEX(Team!$K$5:$K$64,MATCH(A151,Team!$A$5:$A$64,0)),0))</f>
        <v/>
      </c>
      <c r="S151" s="42" t="str">
        <f aca="false">IF(A151="","",Q151*R151)</f>
        <v/>
      </c>
    </row>
    <row r="152" customFormat="false" ht="15" hidden="false" customHeight="false" outlineLevel="0" collapsed="false">
      <c r="A152" s="29"/>
      <c r="B152" s="26" t="str">
        <f aca="false">IF(A152="","",IFERROR(INDEX(Team!$B$5:$B$64,MATCH(A152,Team!$A$5:$A$64,0)),"Not in Team"))</f>
        <v/>
      </c>
      <c r="C152" s="29"/>
      <c r="D152" s="26" t="str">
        <f aca="false">IF(C152="","",IFERROR(INDEX(Projects!$B$5:$B$54,MATCH(C152,Projects!$A$5:$A$54,0)),"Unknown ID"))</f>
        <v/>
      </c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19" t="str">
        <f aca="false">IF(A152="","",SUM(E152:P152))</f>
        <v/>
      </c>
      <c r="R152" s="42" t="str">
        <f aca="false">IF(A152="","",IFERROR(INDEX(Team!$K$5:$K$64,MATCH(A152,Team!$A$5:$A$64,0)),0))</f>
        <v/>
      </c>
      <c r="S152" s="42" t="str">
        <f aca="false">IF(A152="","",Q152*R152)</f>
        <v/>
      </c>
    </row>
    <row r="153" customFormat="false" ht="15" hidden="false" customHeight="false" outlineLevel="0" collapsed="false">
      <c r="A153" s="29"/>
      <c r="B153" s="26" t="str">
        <f aca="false">IF(A153="","",IFERROR(INDEX(Team!$B$5:$B$64,MATCH(A153,Team!$A$5:$A$64,0)),"Not in Team"))</f>
        <v/>
      </c>
      <c r="C153" s="29"/>
      <c r="D153" s="26" t="str">
        <f aca="false">IF(C153="","",IFERROR(INDEX(Projects!$B$5:$B$54,MATCH(C153,Projects!$A$5:$A$54,0)),"Unknown ID"))</f>
        <v/>
      </c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19" t="str">
        <f aca="false">IF(A153="","",SUM(E153:P153))</f>
        <v/>
      </c>
      <c r="R153" s="42" t="str">
        <f aca="false">IF(A153="","",IFERROR(INDEX(Team!$K$5:$K$64,MATCH(A153,Team!$A$5:$A$64,0)),0))</f>
        <v/>
      </c>
      <c r="S153" s="42" t="str">
        <f aca="false">IF(A153="","",Q153*R153)</f>
        <v/>
      </c>
    </row>
    <row r="154" customFormat="false" ht="15" hidden="false" customHeight="false" outlineLevel="0" collapsed="false">
      <c r="A154" s="29"/>
      <c r="B154" s="26" t="str">
        <f aca="false">IF(A154="","",IFERROR(INDEX(Team!$B$5:$B$64,MATCH(A154,Team!$A$5:$A$64,0)),"Not in Team"))</f>
        <v/>
      </c>
      <c r="C154" s="29"/>
      <c r="D154" s="26" t="str">
        <f aca="false">IF(C154="","",IFERROR(INDEX(Projects!$B$5:$B$54,MATCH(C154,Projects!$A$5:$A$54,0)),"Unknown ID"))</f>
        <v/>
      </c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19" t="str">
        <f aca="false">IF(A154="","",SUM(E154:P154))</f>
        <v/>
      </c>
      <c r="R154" s="42" t="str">
        <f aca="false">IF(A154="","",IFERROR(INDEX(Team!$K$5:$K$64,MATCH(A154,Team!$A$5:$A$64,0)),0))</f>
        <v/>
      </c>
      <c r="S154" s="42" t="str">
        <f aca="false">IF(A154="","",Q154*R154)</f>
        <v/>
      </c>
    </row>
    <row r="155" customFormat="false" ht="15" hidden="false" customHeight="false" outlineLevel="0" collapsed="false">
      <c r="A155" s="29"/>
      <c r="B155" s="26" t="str">
        <f aca="false">IF(A155="","",IFERROR(INDEX(Team!$B$5:$B$64,MATCH(A155,Team!$A$5:$A$64,0)),"Not in Team"))</f>
        <v/>
      </c>
      <c r="C155" s="29"/>
      <c r="D155" s="26" t="str">
        <f aca="false">IF(C155="","",IFERROR(INDEX(Projects!$B$5:$B$54,MATCH(C155,Projects!$A$5:$A$54,0)),"Unknown ID"))</f>
        <v/>
      </c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19" t="str">
        <f aca="false">IF(A155="","",SUM(E155:P155))</f>
        <v/>
      </c>
      <c r="R155" s="42" t="str">
        <f aca="false">IF(A155="","",IFERROR(INDEX(Team!$K$5:$K$64,MATCH(A155,Team!$A$5:$A$64,0)),0))</f>
        <v/>
      </c>
      <c r="S155" s="42" t="str">
        <f aca="false">IF(A155="","",Q155*R155)</f>
        <v/>
      </c>
    </row>
    <row r="156" customFormat="false" ht="15" hidden="false" customHeight="false" outlineLevel="0" collapsed="false">
      <c r="A156" s="29"/>
      <c r="B156" s="26" t="str">
        <f aca="false">IF(A156="","",IFERROR(INDEX(Team!$B$5:$B$64,MATCH(A156,Team!$A$5:$A$64,0)),"Not in Team"))</f>
        <v/>
      </c>
      <c r="C156" s="29"/>
      <c r="D156" s="26" t="str">
        <f aca="false">IF(C156="","",IFERROR(INDEX(Projects!$B$5:$B$54,MATCH(C156,Projects!$A$5:$A$54,0)),"Unknown ID"))</f>
        <v/>
      </c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19" t="str">
        <f aca="false">IF(A156="","",SUM(E156:P156))</f>
        <v/>
      </c>
      <c r="R156" s="42" t="str">
        <f aca="false">IF(A156="","",IFERROR(INDEX(Team!$K$5:$K$64,MATCH(A156,Team!$A$5:$A$64,0)),0))</f>
        <v/>
      </c>
      <c r="S156" s="42" t="str">
        <f aca="false">IF(A156="","",Q156*R156)</f>
        <v/>
      </c>
    </row>
    <row r="157" customFormat="false" ht="15" hidden="false" customHeight="false" outlineLevel="0" collapsed="false">
      <c r="A157" s="29"/>
      <c r="B157" s="26" t="str">
        <f aca="false">IF(A157="","",IFERROR(INDEX(Team!$B$5:$B$64,MATCH(A157,Team!$A$5:$A$64,0)),"Not in Team"))</f>
        <v/>
      </c>
      <c r="C157" s="29"/>
      <c r="D157" s="26" t="str">
        <f aca="false">IF(C157="","",IFERROR(INDEX(Projects!$B$5:$B$54,MATCH(C157,Projects!$A$5:$A$54,0)),"Unknown ID"))</f>
        <v/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19" t="str">
        <f aca="false">IF(A157="","",SUM(E157:P157))</f>
        <v/>
      </c>
      <c r="R157" s="42" t="str">
        <f aca="false">IF(A157="","",IFERROR(INDEX(Team!$K$5:$K$64,MATCH(A157,Team!$A$5:$A$64,0)),0))</f>
        <v/>
      </c>
      <c r="S157" s="42" t="str">
        <f aca="false">IF(A157="","",Q157*R157)</f>
        <v/>
      </c>
    </row>
    <row r="158" customFormat="false" ht="15" hidden="false" customHeight="false" outlineLevel="0" collapsed="false">
      <c r="A158" s="29"/>
      <c r="B158" s="26" t="str">
        <f aca="false">IF(A158="","",IFERROR(INDEX(Team!$B$5:$B$64,MATCH(A158,Team!$A$5:$A$64,0)),"Not in Team"))</f>
        <v/>
      </c>
      <c r="C158" s="29"/>
      <c r="D158" s="26" t="str">
        <f aca="false">IF(C158="","",IFERROR(INDEX(Projects!$B$5:$B$54,MATCH(C158,Projects!$A$5:$A$54,0)),"Unknown ID"))</f>
        <v/>
      </c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19" t="str">
        <f aca="false">IF(A158="","",SUM(E158:P158))</f>
        <v/>
      </c>
      <c r="R158" s="42" t="str">
        <f aca="false">IF(A158="","",IFERROR(INDEX(Team!$K$5:$K$64,MATCH(A158,Team!$A$5:$A$64,0)),0))</f>
        <v/>
      </c>
      <c r="S158" s="42" t="str">
        <f aca="false">IF(A158="","",Q158*R158)</f>
        <v/>
      </c>
    </row>
    <row r="159" customFormat="false" ht="15" hidden="false" customHeight="false" outlineLevel="0" collapsed="false">
      <c r="A159" s="29"/>
      <c r="B159" s="26" t="str">
        <f aca="false">IF(A159="","",IFERROR(INDEX(Team!$B$5:$B$64,MATCH(A159,Team!$A$5:$A$64,0)),"Not in Team"))</f>
        <v/>
      </c>
      <c r="C159" s="29"/>
      <c r="D159" s="26" t="str">
        <f aca="false">IF(C159="","",IFERROR(INDEX(Projects!$B$5:$B$54,MATCH(C159,Projects!$A$5:$A$54,0)),"Unknown ID"))</f>
        <v/>
      </c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19" t="str">
        <f aca="false">IF(A159="","",SUM(E159:P159))</f>
        <v/>
      </c>
      <c r="R159" s="42" t="str">
        <f aca="false">IF(A159="","",IFERROR(INDEX(Team!$K$5:$K$64,MATCH(A159,Team!$A$5:$A$64,0)),0))</f>
        <v/>
      </c>
      <c r="S159" s="42" t="str">
        <f aca="false">IF(A159="","",Q159*R159)</f>
        <v/>
      </c>
    </row>
    <row r="160" customFormat="false" ht="15" hidden="false" customHeight="false" outlineLevel="0" collapsed="false">
      <c r="A160" s="29"/>
      <c r="B160" s="26" t="str">
        <f aca="false">IF(A160="","",IFERROR(INDEX(Team!$B$5:$B$64,MATCH(A160,Team!$A$5:$A$64,0)),"Not in Team"))</f>
        <v/>
      </c>
      <c r="C160" s="29"/>
      <c r="D160" s="26" t="str">
        <f aca="false">IF(C160="","",IFERROR(INDEX(Projects!$B$5:$B$54,MATCH(C160,Projects!$A$5:$A$54,0)),"Unknown ID"))</f>
        <v/>
      </c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19" t="str">
        <f aca="false">IF(A160="","",SUM(E160:P160))</f>
        <v/>
      </c>
      <c r="R160" s="42" t="str">
        <f aca="false">IF(A160="","",IFERROR(INDEX(Team!$K$5:$K$64,MATCH(A160,Team!$A$5:$A$64,0)),0))</f>
        <v/>
      </c>
      <c r="S160" s="42" t="str">
        <f aca="false">IF(A160="","",Q160*R160)</f>
        <v/>
      </c>
    </row>
    <row r="161" customFormat="false" ht="15" hidden="false" customHeight="false" outlineLevel="0" collapsed="false">
      <c r="A161" s="29"/>
      <c r="B161" s="26" t="str">
        <f aca="false">IF(A161="","",IFERROR(INDEX(Team!$B$5:$B$64,MATCH(A161,Team!$A$5:$A$64,0)),"Not in Team"))</f>
        <v/>
      </c>
      <c r="C161" s="29"/>
      <c r="D161" s="26" t="str">
        <f aca="false">IF(C161="","",IFERROR(INDEX(Projects!$B$5:$B$54,MATCH(C161,Projects!$A$5:$A$54,0)),"Unknown ID"))</f>
        <v/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19" t="str">
        <f aca="false">IF(A161="","",SUM(E161:P161))</f>
        <v/>
      </c>
      <c r="R161" s="42" t="str">
        <f aca="false">IF(A161="","",IFERROR(INDEX(Team!$K$5:$K$64,MATCH(A161,Team!$A$5:$A$64,0)),0))</f>
        <v/>
      </c>
      <c r="S161" s="42" t="str">
        <f aca="false">IF(A161="","",Q161*R161)</f>
        <v/>
      </c>
    </row>
    <row r="162" customFormat="false" ht="15" hidden="false" customHeight="false" outlineLevel="0" collapsed="false">
      <c r="A162" s="29"/>
      <c r="B162" s="26" t="str">
        <f aca="false">IF(A162="","",IFERROR(INDEX(Team!$B$5:$B$64,MATCH(A162,Team!$A$5:$A$64,0)),"Not in Team"))</f>
        <v/>
      </c>
      <c r="C162" s="29"/>
      <c r="D162" s="26" t="str">
        <f aca="false">IF(C162="","",IFERROR(INDEX(Projects!$B$5:$B$54,MATCH(C162,Projects!$A$5:$A$54,0)),"Unknown ID"))</f>
        <v/>
      </c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19" t="str">
        <f aca="false">IF(A162="","",SUM(E162:P162))</f>
        <v/>
      </c>
      <c r="R162" s="42" t="str">
        <f aca="false">IF(A162="","",IFERROR(INDEX(Team!$K$5:$K$64,MATCH(A162,Team!$A$5:$A$64,0)),0))</f>
        <v/>
      </c>
      <c r="S162" s="42" t="str">
        <f aca="false">IF(A162="","",Q162*R162)</f>
        <v/>
      </c>
    </row>
    <row r="163" customFormat="false" ht="15" hidden="false" customHeight="false" outlineLevel="0" collapsed="false">
      <c r="A163" s="29"/>
      <c r="B163" s="26" t="str">
        <f aca="false">IF(A163="","",IFERROR(INDEX(Team!$B$5:$B$64,MATCH(A163,Team!$A$5:$A$64,0)),"Not in Team"))</f>
        <v/>
      </c>
      <c r="C163" s="29"/>
      <c r="D163" s="26" t="str">
        <f aca="false">IF(C163="","",IFERROR(INDEX(Projects!$B$5:$B$54,MATCH(C163,Projects!$A$5:$A$54,0)),"Unknown ID"))</f>
        <v/>
      </c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19" t="str">
        <f aca="false">IF(A163="","",SUM(E163:P163))</f>
        <v/>
      </c>
      <c r="R163" s="42" t="str">
        <f aca="false">IF(A163="","",IFERROR(INDEX(Team!$K$5:$K$64,MATCH(A163,Team!$A$5:$A$64,0)),0))</f>
        <v/>
      </c>
      <c r="S163" s="42" t="str">
        <f aca="false">IF(A163="","",Q163*R163)</f>
        <v/>
      </c>
    </row>
    <row r="164" customFormat="false" ht="15" hidden="false" customHeight="false" outlineLevel="0" collapsed="false">
      <c r="A164" s="29"/>
      <c r="B164" s="26" t="str">
        <f aca="false">IF(A164="","",IFERROR(INDEX(Team!$B$5:$B$64,MATCH(A164,Team!$A$5:$A$64,0)),"Not in Team"))</f>
        <v/>
      </c>
      <c r="C164" s="29"/>
      <c r="D164" s="26" t="str">
        <f aca="false">IF(C164="","",IFERROR(INDEX(Projects!$B$5:$B$54,MATCH(C164,Projects!$A$5:$A$54,0)),"Unknown ID"))</f>
        <v/>
      </c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19" t="str">
        <f aca="false">IF(A164="","",SUM(E164:P164))</f>
        <v/>
      </c>
      <c r="R164" s="42" t="str">
        <f aca="false">IF(A164="","",IFERROR(INDEX(Team!$K$5:$K$64,MATCH(A164,Team!$A$5:$A$64,0)),0))</f>
        <v/>
      </c>
      <c r="S164" s="42" t="str">
        <f aca="false">IF(A164="","",Q164*R164)</f>
        <v/>
      </c>
    </row>
    <row r="165" customFormat="false" ht="15" hidden="false" customHeight="false" outlineLevel="0" collapsed="false">
      <c r="A165" s="29"/>
      <c r="B165" s="26" t="str">
        <f aca="false">IF(A165="","",IFERROR(INDEX(Team!$B$5:$B$64,MATCH(A165,Team!$A$5:$A$64,0)),"Not in Team"))</f>
        <v/>
      </c>
      <c r="C165" s="29"/>
      <c r="D165" s="26" t="str">
        <f aca="false">IF(C165="","",IFERROR(INDEX(Projects!$B$5:$B$54,MATCH(C165,Projects!$A$5:$A$54,0)),"Unknown ID"))</f>
        <v/>
      </c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19" t="str">
        <f aca="false">IF(A165="","",SUM(E165:P165))</f>
        <v/>
      </c>
      <c r="R165" s="42" t="str">
        <f aca="false">IF(A165="","",IFERROR(INDEX(Team!$K$5:$K$64,MATCH(A165,Team!$A$5:$A$64,0)),0))</f>
        <v/>
      </c>
      <c r="S165" s="42" t="str">
        <f aca="false">IF(A165="","",Q165*R165)</f>
        <v/>
      </c>
    </row>
    <row r="166" customFormat="false" ht="15" hidden="false" customHeight="false" outlineLevel="0" collapsed="false">
      <c r="A166" s="29"/>
      <c r="B166" s="26" t="str">
        <f aca="false">IF(A166="","",IFERROR(INDEX(Team!$B$5:$B$64,MATCH(A166,Team!$A$5:$A$64,0)),"Not in Team"))</f>
        <v/>
      </c>
      <c r="C166" s="29"/>
      <c r="D166" s="26" t="str">
        <f aca="false">IF(C166="","",IFERROR(INDEX(Projects!$B$5:$B$54,MATCH(C166,Projects!$A$5:$A$54,0)),"Unknown ID"))</f>
        <v/>
      </c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19" t="str">
        <f aca="false">IF(A166="","",SUM(E166:P166))</f>
        <v/>
      </c>
      <c r="R166" s="42" t="str">
        <f aca="false">IF(A166="","",IFERROR(INDEX(Team!$K$5:$K$64,MATCH(A166,Team!$A$5:$A$64,0)),0))</f>
        <v/>
      </c>
      <c r="S166" s="42" t="str">
        <f aca="false">IF(A166="","",Q166*R166)</f>
        <v/>
      </c>
    </row>
    <row r="167" customFormat="false" ht="15" hidden="false" customHeight="false" outlineLevel="0" collapsed="false">
      <c r="A167" s="29"/>
      <c r="B167" s="26" t="str">
        <f aca="false">IF(A167="","",IFERROR(INDEX(Team!$B$5:$B$64,MATCH(A167,Team!$A$5:$A$64,0)),"Not in Team"))</f>
        <v/>
      </c>
      <c r="C167" s="29"/>
      <c r="D167" s="26" t="str">
        <f aca="false">IF(C167="","",IFERROR(INDEX(Projects!$B$5:$B$54,MATCH(C167,Projects!$A$5:$A$54,0)),"Unknown ID"))</f>
        <v/>
      </c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19" t="str">
        <f aca="false">IF(A167="","",SUM(E167:P167))</f>
        <v/>
      </c>
      <c r="R167" s="42" t="str">
        <f aca="false">IF(A167="","",IFERROR(INDEX(Team!$K$5:$K$64,MATCH(A167,Team!$A$5:$A$64,0)),0))</f>
        <v/>
      </c>
      <c r="S167" s="42" t="str">
        <f aca="false">IF(A167="","",Q167*R167)</f>
        <v/>
      </c>
    </row>
    <row r="168" customFormat="false" ht="15" hidden="false" customHeight="false" outlineLevel="0" collapsed="false">
      <c r="A168" s="29"/>
      <c r="B168" s="26" t="str">
        <f aca="false">IF(A168="","",IFERROR(INDEX(Team!$B$5:$B$64,MATCH(A168,Team!$A$5:$A$64,0)),"Not in Team"))</f>
        <v/>
      </c>
      <c r="C168" s="29"/>
      <c r="D168" s="26" t="str">
        <f aca="false">IF(C168="","",IFERROR(INDEX(Projects!$B$5:$B$54,MATCH(C168,Projects!$A$5:$A$54,0)),"Unknown ID"))</f>
        <v/>
      </c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19" t="str">
        <f aca="false">IF(A168="","",SUM(E168:P168))</f>
        <v/>
      </c>
      <c r="R168" s="42" t="str">
        <f aca="false">IF(A168="","",IFERROR(INDEX(Team!$K$5:$K$64,MATCH(A168,Team!$A$5:$A$64,0)),0))</f>
        <v/>
      </c>
      <c r="S168" s="42" t="str">
        <f aca="false">IF(A168="","",Q168*R168)</f>
        <v/>
      </c>
    </row>
    <row r="169" customFormat="false" ht="15" hidden="false" customHeight="false" outlineLevel="0" collapsed="false">
      <c r="A169" s="29"/>
      <c r="B169" s="26" t="str">
        <f aca="false">IF(A169="","",IFERROR(INDEX(Team!$B$5:$B$64,MATCH(A169,Team!$A$5:$A$64,0)),"Not in Team"))</f>
        <v/>
      </c>
      <c r="C169" s="29"/>
      <c r="D169" s="26" t="str">
        <f aca="false">IF(C169="","",IFERROR(INDEX(Projects!$B$5:$B$54,MATCH(C169,Projects!$A$5:$A$54,0)),"Unknown ID"))</f>
        <v/>
      </c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19" t="str">
        <f aca="false">IF(A169="","",SUM(E169:P169))</f>
        <v/>
      </c>
      <c r="R169" s="42" t="str">
        <f aca="false">IF(A169="","",IFERROR(INDEX(Team!$K$5:$K$64,MATCH(A169,Team!$A$5:$A$64,0)),0))</f>
        <v/>
      </c>
      <c r="S169" s="42" t="str">
        <f aca="false">IF(A169="","",Q169*R169)</f>
        <v/>
      </c>
    </row>
    <row r="170" customFormat="false" ht="15" hidden="false" customHeight="false" outlineLevel="0" collapsed="false">
      <c r="A170" s="29"/>
      <c r="B170" s="26" t="str">
        <f aca="false">IF(A170="","",IFERROR(INDEX(Team!$B$5:$B$64,MATCH(A170,Team!$A$5:$A$64,0)),"Not in Team"))</f>
        <v/>
      </c>
      <c r="C170" s="29"/>
      <c r="D170" s="26" t="str">
        <f aca="false">IF(C170="","",IFERROR(INDEX(Projects!$B$5:$B$54,MATCH(C170,Projects!$A$5:$A$54,0)),"Unknown ID"))</f>
        <v/>
      </c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19" t="str">
        <f aca="false">IF(A170="","",SUM(E170:P170))</f>
        <v/>
      </c>
      <c r="R170" s="42" t="str">
        <f aca="false">IF(A170="","",IFERROR(INDEX(Team!$K$5:$K$64,MATCH(A170,Team!$A$5:$A$64,0)),0))</f>
        <v/>
      </c>
      <c r="S170" s="42" t="str">
        <f aca="false">IF(A170="","",Q170*R170)</f>
        <v/>
      </c>
    </row>
    <row r="171" customFormat="false" ht="15" hidden="false" customHeight="false" outlineLevel="0" collapsed="false">
      <c r="A171" s="29"/>
      <c r="B171" s="26" t="str">
        <f aca="false">IF(A171="","",IFERROR(INDEX(Team!$B$5:$B$64,MATCH(A171,Team!$A$5:$A$64,0)),"Not in Team"))</f>
        <v/>
      </c>
      <c r="C171" s="29"/>
      <c r="D171" s="26" t="str">
        <f aca="false">IF(C171="","",IFERROR(INDEX(Projects!$B$5:$B$54,MATCH(C171,Projects!$A$5:$A$54,0)),"Unknown ID"))</f>
        <v/>
      </c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19" t="str">
        <f aca="false">IF(A171="","",SUM(E171:P171))</f>
        <v/>
      </c>
      <c r="R171" s="42" t="str">
        <f aca="false">IF(A171="","",IFERROR(INDEX(Team!$K$5:$K$64,MATCH(A171,Team!$A$5:$A$64,0)),0))</f>
        <v/>
      </c>
      <c r="S171" s="42" t="str">
        <f aca="false">IF(A171="","",Q171*R171)</f>
        <v/>
      </c>
    </row>
    <row r="172" customFormat="false" ht="15" hidden="false" customHeight="false" outlineLevel="0" collapsed="false">
      <c r="A172" s="29"/>
      <c r="B172" s="26" t="str">
        <f aca="false">IF(A172="","",IFERROR(INDEX(Team!$B$5:$B$64,MATCH(A172,Team!$A$5:$A$64,0)),"Not in Team"))</f>
        <v/>
      </c>
      <c r="C172" s="29"/>
      <c r="D172" s="26" t="str">
        <f aca="false">IF(C172="","",IFERROR(INDEX(Projects!$B$5:$B$54,MATCH(C172,Projects!$A$5:$A$54,0)),"Unknown ID"))</f>
        <v/>
      </c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19" t="str">
        <f aca="false">IF(A172="","",SUM(E172:P172))</f>
        <v/>
      </c>
      <c r="R172" s="42" t="str">
        <f aca="false">IF(A172="","",IFERROR(INDEX(Team!$K$5:$K$64,MATCH(A172,Team!$A$5:$A$64,0)),0))</f>
        <v/>
      </c>
      <c r="S172" s="42" t="str">
        <f aca="false">IF(A172="","",Q172*R172)</f>
        <v/>
      </c>
    </row>
    <row r="173" customFormat="false" ht="15" hidden="false" customHeight="false" outlineLevel="0" collapsed="false">
      <c r="A173" s="29"/>
      <c r="B173" s="26" t="str">
        <f aca="false">IF(A173="","",IFERROR(INDEX(Team!$B$5:$B$64,MATCH(A173,Team!$A$5:$A$64,0)),"Not in Team"))</f>
        <v/>
      </c>
      <c r="C173" s="29"/>
      <c r="D173" s="26" t="str">
        <f aca="false">IF(C173="","",IFERROR(INDEX(Projects!$B$5:$B$54,MATCH(C173,Projects!$A$5:$A$54,0)),"Unknown ID"))</f>
        <v/>
      </c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19" t="str">
        <f aca="false">IF(A173="","",SUM(E173:P173))</f>
        <v/>
      </c>
      <c r="R173" s="42" t="str">
        <f aca="false">IF(A173="","",IFERROR(INDEX(Team!$K$5:$K$64,MATCH(A173,Team!$A$5:$A$64,0)),0))</f>
        <v/>
      </c>
      <c r="S173" s="42" t="str">
        <f aca="false">IF(A173="","",Q173*R173)</f>
        <v/>
      </c>
    </row>
    <row r="174" customFormat="false" ht="15" hidden="false" customHeight="false" outlineLevel="0" collapsed="false">
      <c r="A174" s="29"/>
      <c r="B174" s="26" t="str">
        <f aca="false">IF(A174="","",IFERROR(INDEX(Team!$B$5:$B$64,MATCH(A174,Team!$A$5:$A$64,0)),"Not in Team"))</f>
        <v/>
      </c>
      <c r="C174" s="29"/>
      <c r="D174" s="26" t="str">
        <f aca="false">IF(C174="","",IFERROR(INDEX(Projects!$B$5:$B$54,MATCH(C174,Projects!$A$5:$A$54,0)),"Unknown ID"))</f>
        <v/>
      </c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19" t="str">
        <f aca="false">IF(A174="","",SUM(E174:P174))</f>
        <v/>
      </c>
      <c r="R174" s="42" t="str">
        <f aca="false">IF(A174="","",IFERROR(INDEX(Team!$K$5:$K$64,MATCH(A174,Team!$A$5:$A$64,0)),0))</f>
        <v/>
      </c>
      <c r="S174" s="42" t="str">
        <f aca="false">IF(A174="","",Q174*R174)</f>
        <v/>
      </c>
    </row>
    <row r="175" customFormat="false" ht="15" hidden="false" customHeight="false" outlineLevel="0" collapsed="false">
      <c r="A175" s="29"/>
      <c r="B175" s="26" t="str">
        <f aca="false">IF(A175="","",IFERROR(INDEX(Team!$B$5:$B$64,MATCH(A175,Team!$A$5:$A$64,0)),"Not in Team"))</f>
        <v/>
      </c>
      <c r="C175" s="29"/>
      <c r="D175" s="26" t="str">
        <f aca="false">IF(C175="","",IFERROR(INDEX(Projects!$B$5:$B$54,MATCH(C175,Projects!$A$5:$A$54,0)),"Unknown ID"))</f>
        <v/>
      </c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19" t="str">
        <f aca="false">IF(A175="","",SUM(E175:P175))</f>
        <v/>
      </c>
      <c r="R175" s="42" t="str">
        <f aca="false">IF(A175="","",IFERROR(INDEX(Team!$K$5:$K$64,MATCH(A175,Team!$A$5:$A$64,0)),0))</f>
        <v/>
      </c>
      <c r="S175" s="42" t="str">
        <f aca="false">IF(A175="","",Q175*R175)</f>
        <v/>
      </c>
    </row>
    <row r="176" customFormat="false" ht="15" hidden="false" customHeight="false" outlineLevel="0" collapsed="false">
      <c r="A176" s="29"/>
      <c r="B176" s="26" t="str">
        <f aca="false">IF(A176="","",IFERROR(INDEX(Team!$B$5:$B$64,MATCH(A176,Team!$A$5:$A$64,0)),"Not in Team"))</f>
        <v/>
      </c>
      <c r="C176" s="29"/>
      <c r="D176" s="26" t="str">
        <f aca="false">IF(C176="","",IFERROR(INDEX(Projects!$B$5:$B$54,MATCH(C176,Projects!$A$5:$A$54,0)),"Unknown ID"))</f>
        <v/>
      </c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19" t="str">
        <f aca="false">IF(A176="","",SUM(E176:P176))</f>
        <v/>
      </c>
      <c r="R176" s="42" t="str">
        <f aca="false">IF(A176="","",IFERROR(INDEX(Team!$K$5:$K$64,MATCH(A176,Team!$A$5:$A$64,0)),0))</f>
        <v/>
      </c>
      <c r="S176" s="42" t="str">
        <f aca="false">IF(A176="","",Q176*R176)</f>
        <v/>
      </c>
    </row>
    <row r="177" customFormat="false" ht="15" hidden="false" customHeight="false" outlineLevel="0" collapsed="false">
      <c r="A177" s="29"/>
      <c r="B177" s="26" t="str">
        <f aca="false">IF(A177="","",IFERROR(INDEX(Team!$B$5:$B$64,MATCH(A177,Team!$A$5:$A$64,0)),"Not in Team"))</f>
        <v/>
      </c>
      <c r="C177" s="29"/>
      <c r="D177" s="26" t="str">
        <f aca="false">IF(C177="","",IFERROR(INDEX(Projects!$B$5:$B$54,MATCH(C177,Projects!$A$5:$A$54,0)),"Unknown ID"))</f>
        <v/>
      </c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19" t="str">
        <f aca="false">IF(A177="","",SUM(E177:P177))</f>
        <v/>
      </c>
      <c r="R177" s="42" t="str">
        <f aca="false">IF(A177="","",IFERROR(INDEX(Team!$K$5:$K$64,MATCH(A177,Team!$A$5:$A$64,0)),0))</f>
        <v/>
      </c>
      <c r="S177" s="42" t="str">
        <f aca="false">IF(A177="","",Q177*R177)</f>
        <v/>
      </c>
    </row>
    <row r="178" customFormat="false" ht="15" hidden="false" customHeight="false" outlineLevel="0" collapsed="false">
      <c r="A178" s="29"/>
      <c r="B178" s="26" t="str">
        <f aca="false">IF(A178="","",IFERROR(INDEX(Team!$B$5:$B$64,MATCH(A178,Team!$A$5:$A$64,0)),"Not in Team"))</f>
        <v/>
      </c>
      <c r="C178" s="29"/>
      <c r="D178" s="26" t="str">
        <f aca="false">IF(C178="","",IFERROR(INDEX(Projects!$B$5:$B$54,MATCH(C178,Projects!$A$5:$A$54,0)),"Unknown ID"))</f>
        <v/>
      </c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19" t="str">
        <f aca="false">IF(A178="","",SUM(E178:P178))</f>
        <v/>
      </c>
      <c r="R178" s="42" t="str">
        <f aca="false">IF(A178="","",IFERROR(INDEX(Team!$K$5:$K$64,MATCH(A178,Team!$A$5:$A$64,0)),0))</f>
        <v/>
      </c>
      <c r="S178" s="42" t="str">
        <f aca="false">IF(A178="","",Q178*R178)</f>
        <v/>
      </c>
    </row>
    <row r="179" customFormat="false" ht="15" hidden="false" customHeight="false" outlineLevel="0" collapsed="false">
      <c r="A179" s="29"/>
      <c r="B179" s="26" t="str">
        <f aca="false">IF(A179="","",IFERROR(INDEX(Team!$B$5:$B$64,MATCH(A179,Team!$A$5:$A$64,0)),"Not in Team"))</f>
        <v/>
      </c>
      <c r="C179" s="29"/>
      <c r="D179" s="26" t="str">
        <f aca="false">IF(C179="","",IFERROR(INDEX(Projects!$B$5:$B$54,MATCH(C179,Projects!$A$5:$A$54,0)),"Unknown ID"))</f>
        <v/>
      </c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19" t="str">
        <f aca="false">IF(A179="","",SUM(E179:P179))</f>
        <v/>
      </c>
      <c r="R179" s="42" t="str">
        <f aca="false">IF(A179="","",IFERROR(INDEX(Team!$K$5:$K$64,MATCH(A179,Team!$A$5:$A$64,0)),0))</f>
        <v/>
      </c>
      <c r="S179" s="42" t="str">
        <f aca="false">IF(A179="","",Q179*R179)</f>
        <v/>
      </c>
    </row>
    <row r="180" customFormat="false" ht="15" hidden="false" customHeight="false" outlineLevel="0" collapsed="false">
      <c r="A180" s="29"/>
      <c r="B180" s="26" t="str">
        <f aca="false">IF(A180="","",IFERROR(INDEX(Team!$B$5:$B$64,MATCH(A180,Team!$A$5:$A$64,0)),"Not in Team"))</f>
        <v/>
      </c>
      <c r="C180" s="29"/>
      <c r="D180" s="26" t="str">
        <f aca="false">IF(C180="","",IFERROR(INDEX(Projects!$B$5:$B$54,MATCH(C180,Projects!$A$5:$A$54,0)),"Unknown ID"))</f>
        <v/>
      </c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19" t="str">
        <f aca="false">IF(A180="","",SUM(E180:P180))</f>
        <v/>
      </c>
      <c r="R180" s="42" t="str">
        <f aca="false">IF(A180="","",IFERROR(INDEX(Team!$K$5:$K$64,MATCH(A180,Team!$A$5:$A$64,0)),0))</f>
        <v/>
      </c>
      <c r="S180" s="42" t="str">
        <f aca="false">IF(A180="","",Q180*R180)</f>
        <v/>
      </c>
    </row>
    <row r="181" customFormat="false" ht="15" hidden="false" customHeight="false" outlineLevel="0" collapsed="false">
      <c r="A181" s="29"/>
      <c r="B181" s="26" t="str">
        <f aca="false">IF(A181="","",IFERROR(INDEX(Team!$B$5:$B$64,MATCH(A181,Team!$A$5:$A$64,0)),"Not in Team"))</f>
        <v/>
      </c>
      <c r="C181" s="29"/>
      <c r="D181" s="26" t="str">
        <f aca="false">IF(C181="","",IFERROR(INDEX(Projects!$B$5:$B$54,MATCH(C181,Projects!$A$5:$A$54,0)),"Unknown ID"))</f>
        <v/>
      </c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19" t="str">
        <f aca="false">IF(A181="","",SUM(E181:P181))</f>
        <v/>
      </c>
      <c r="R181" s="42" t="str">
        <f aca="false">IF(A181="","",IFERROR(INDEX(Team!$K$5:$K$64,MATCH(A181,Team!$A$5:$A$64,0)),0))</f>
        <v/>
      </c>
      <c r="S181" s="42" t="str">
        <f aca="false">IF(A181="","",Q181*R181)</f>
        <v/>
      </c>
    </row>
    <row r="182" customFormat="false" ht="15" hidden="false" customHeight="false" outlineLevel="0" collapsed="false">
      <c r="A182" s="29"/>
      <c r="B182" s="26" t="str">
        <f aca="false">IF(A182="","",IFERROR(INDEX(Team!$B$5:$B$64,MATCH(A182,Team!$A$5:$A$64,0)),"Not in Team"))</f>
        <v/>
      </c>
      <c r="C182" s="29"/>
      <c r="D182" s="26" t="str">
        <f aca="false">IF(C182="","",IFERROR(INDEX(Projects!$B$5:$B$54,MATCH(C182,Projects!$A$5:$A$54,0)),"Unknown ID"))</f>
        <v/>
      </c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19" t="str">
        <f aca="false">IF(A182="","",SUM(E182:P182))</f>
        <v/>
      </c>
      <c r="R182" s="42" t="str">
        <f aca="false">IF(A182="","",IFERROR(INDEX(Team!$K$5:$K$64,MATCH(A182,Team!$A$5:$A$64,0)),0))</f>
        <v/>
      </c>
      <c r="S182" s="42" t="str">
        <f aca="false">IF(A182="","",Q182*R182)</f>
        <v/>
      </c>
    </row>
    <row r="183" customFormat="false" ht="15" hidden="false" customHeight="false" outlineLevel="0" collapsed="false">
      <c r="A183" s="29"/>
      <c r="B183" s="26" t="str">
        <f aca="false">IF(A183="","",IFERROR(INDEX(Team!$B$5:$B$64,MATCH(A183,Team!$A$5:$A$64,0)),"Not in Team"))</f>
        <v/>
      </c>
      <c r="C183" s="29"/>
      <c r="D183" s="26" t="str">
        <f aca="false">IF(C183="","",IFERROR(INDEX(Projects!$B$5:$B$54,MATCH(C183,Projects!$A$5:$A$54,0)),"Unknown ID"))</f>
        <v/>
      </c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19" t="str">
        <f aca="false">IF(A183="","",SUM(E183:P183))</f>
        <v/>
      </c>
      <c r="R183" s="42" t="str">
        <f aca="false">IF(A183="","",IFERROR(INDEX(Team!$K$5:$K$64,MATCH(A183,Team!$A$5:$A$64,0)),0))</f>
        <v/>
      </c>
      <c r="S183" s="42" t="str">
        <f aca="false">IF(A183="","",Q183*R183)</f>
        <v/>
      </c>
    </row>
    <row r="184" customFormat="false" ht="15" hidden="false" customHeight="false" outlineLevel="0" collapsed="false">
      <c r="A184" s="29"/>
      <c r="B184" s="26" t="str">
        <f aca="false">IF(A184="","",IFERROR(INDEX(Team!$B$5:$B$64,MATCH(A184,Team!$A$5:$A$64,0)),"Not in Team"))</f>
        <v/>
      </c>
      <c r="C184" s="29"/>
      <c r="D184" s="26" t="str">
        <f aca="false">IF(C184="","",IFERROR(INDEX(Projects!$B$5:$B$54,MATCH(C184,Projects!$A$5:$A$54,0)),"Unknown ID"))</f>
        <v/>
      </c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19" t="str">
        <f aca="false">IF(A184="","",SUM(E184:P184))</f>
        <v/>
      </c>
      <c r="R184" s="42" t="str">
        <f aca="false">IF(A184="","",IFERROR(INDEX(Team!$K$5:$K$64,MATCH(A184,Team!$A$5:$A$64,0)),0))</f>
        <v/>
      </c>
      <c r="S184" s="42" t="str">
        <f aca="false">IF(A184="","",Q184*R184)</f>
        <v/>
      </c>
    </row>
    <row r="185" customFormat="false" ht="15" hidden="false" customHeight="false" outlineLevel="0" collapsed="false">
      <c r="A185" s="29"/>
      <c r="B185" s="26" t="str">
        <f aca="false">IF(A185="","",IFERROR(INDEX(Team!$B$5:$B$64,MATCH(A185,Team!$A$5:$A$64,0)),"Not in Team"))</f>
        <v/>
      </c>
      <c r="C185" s="29"/>
      <c r="D185" s="26" t="str">
        <f aca="false">IF(C185="","",IFERROR(INDEX(Projects!$B$5:$B$54,MATCH(C185,Projects!$A$5:$A$54,0)),"Unknown ID"))</f>
        <v/>
      </c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19" t="str">
        <f aca="false">IF(A185="","",SUM(E185:P185))</f>
        <v/>
      </c>
      <c r="R185" s="42" t="str">
        <f aca="false">IF(A185="","",IFERROR(INDEX(Team!$K$5:$K$64,MATCH(A185,Team!$A$5:$A$64,0)),0))</f>
        <v/>
      </c>
      <c r="S185" s="42" t="str">
        <f aca="false">IF(A185="","",Q185*R185)</f>
        <v/>
      </c>
    </row>
    <row r="186" customFormat="false" ht="15" hidden="false" customHeight="false" outlineLevel="0" collapsed="false">
      <c r="A186" s="29"/>
      <c r="B186" s="26" t="str">
        <f aca="false">IF(A186="","",IFERROR(INDEX(Team!$B$5:$B$64,MATCH(A186,Team!$A$5:$A$64,0)),"Not in Team"))</f>
        <v/>
      </c>
      <c r="C186" s="29"/>
      <c r="D186" s="26" t="str">
        <f aca="false">IF(C186="","",IFERROR(INDEX(Projects!$B$5:$B$54,MATCH(C186,Projects!$A$5:$A$54,0)),"Unknown ID"))</f>
        <v/>
      </c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19" t="str">
        <f aca="false">IF(A186="","",SUM(E186:P186))</f>
        <v/>
      </c>
      <c r="R186" s="42" t="str">
        <f aca="false">IF(A186="","",IFERROR(INDEX(Team!$K$5:$K$64,MATCH(A186,Team!$A$5:$A$64,0)),0))</f>
        <v/>
      </c>
      <c r="S186" s="42" t="str">
        <f aca="false">IF(A186="","",Q186*R186)</f>
        <v/>
      </c>
    </row>
    <row r="187" customFormat="false" ht="15" hidden="false" customHeight="false" outlineLevel="0" collapsed="false">
      <c r="A187" s="29"/>
      <c r="B187" s="26" t="str">
        <f aca="false">IF(A187="","",IFERROR(INDEX(Team!$B$5:$B$64,MATCH(A187,Team!$A$5:$A$64,0)),"Not in Team"))</f>
        <v/>
      </c>
      <c r="C187" s="29"/>
      <c r="D187" s="26" t="str">
        <f aca="false">IF(C187="","",IFERROR(INDEX(Projects!$B$5:$B$54,MATCH(C187,Projects!$A$5:$A$54,0)),"Unknown ID"))</f>
        <v/>
      </c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19" t="str">
        <f aca="false">IF(A187="","",SUM(E187:P187))</f>
        <v/>
      </c>
      <c r="R187" s="42" t="str">
        <f aca="false">IF(A187="","",IFERROR(INDEX(Team!$K$5:$K$64,MATCH(A187,Team!$A$5:$A$64,0)),0))</f>
        <v/>
      </c>
      <c r="S187" s="42" t="str">
        <f aca="false">IF(A187="","",Q187*R187)</f>
        <v/>
      </c>
    </row>
    <row r="188" customFormat="false" ht="15" hidden="false" customHeight="false" outlineLevel="0" collapsed="false">
      <c r="A188" s="29"/>
      <c r="B188" s="26" t="str">
        <f aca="false">IF(A188="","",IFERROR(INDEX(Team!$B$5:$B$64,MATCH(A188,Team!$A$5:$A$64,0)),"Not in Team"))</f>
        <v/>
      </c>
      <c r="C188" s="29"/>
      <c r="D188" s="26" t="str">
        <f aca="false">IF(C188="","",IFERROR(INDEX(Projects!$B$5:$B$54,MATCH(C188,Projects!$A$5:$A$54,0)),"Unknown ID"))</f>
        <v/>
      </c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19" t="str">
        <f aca="false">IF(A188="","",SUM(E188:P188))</f>
        <v/>
      </c>
      <c r="R188" s="42" t="str">
        <f aca="false">IF(A188="","",IFERROR(INDEX(Team!$K$5:$K$64,MATCH(A188,Team!$A$5:$A$64,0)),0))</f>
        <v/>
      </c>
      <c r="S188" s="42" t="str">
        <f aca="false">IF(A188="","",Q188*R188)</f>
        <v/>
      </c>
    </row>
    <row r="189" customFormat="false" ht="15" hidden="false" customHeight="false" outlineLevel="0" collapsed="false">
      <c r="A189" s="29"/>
      <c r="B189" s="26" t="str">
        <f aca="false">IF(A189="","",IFERROR(INDEX(Team!$B$5:$B$64,MATCH(A189,Team!$A$5:$A$64,0)),"Not in Team"))</f>
        <v/>
      </c>
      <c r="C189" s="29"/>
      <c r="D189" s="26" t="str">
        <f aca="false">IF(C189="","",IFERROR(INDEX(Projects!$B$5:$B$54,MATCH(C189,Projects!$A$5:$A$54,0)),"Unknown ID"))</f>
        <v/>
      </c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19" t="str">
        <f aca="false">IF(A189="","",SUM(E189:P189))</f>
        <v/>
      </c>
      <c r="R189" s="42" t="str">
        <f aca="false">IF(A189="","",IFERROR(INDEX(Team!$K$5:$K$64,MATCH(A189,Team!$A$5:$A$64,0)),0))</f>
        <v/>
      </c>
      <c r="S189" s="42" t="str">
        <f aca="false">IF(A189="","",Q189*R189)</f>
        <v/>
      </c>
    </row>
    <row r="190" customFormat="false" ht="15" hidden="false" customHeight="false" outlineLevel="0" collapsed="false">
      <c r="A190" s="29"/>
      <c r="B190" s="26" t="str">
        <f aca="false">IF(A190="","",IFERROR(INDEX(Team!$B$5:$B$64,MATCH(A190,Team!$A$5:$A$64,0)),"Not in Team"))</f>
        <v/>
      </c>
      <c r="C190" s="29"/>
      <c r="D190" s="26" t="str">
        <f aca="false">IF(C190="","",IFERROR(INDEX(Projects!$B$5:$B$54,MATCH(C190,Projects!$A$5:$A$54,0)),"Unknown ID"))</f>
        <v/>
      </c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19" t="str">
        <f aca="false">IF(A190="","",SUM(E190:P190))</f>
        <v/>
      </c>
      <c r="R190" s="42" t="str">
        <f aca="false">IF(A190="","",IFERROR(INDEX(Team!$K$5:$K$64,MATCH(A190,Team!$A$5:$A$64,0)),0))</f>
        <v/>
      </c>
      <c r="S190" s="42" t="str">
        <f aca="false">IF(A190="","",Q190*R190)</f>
        <v/>
      </c>
    </row>
    <row r="191" customFormat="false" ht="15" hidden="false" customHeight="false" outlineLevel="0" collapsed="false">
      <c r="A191" s="29"/>
      <c r="B191" s="26" t="str">
        <f aca="false">IF(A191="","",IFERROR(INDEX(Team!$B$5:$B$64,MATCH(A191,Team!$A$5:$A$64,0)),"Not in Team"))</f>
        <v/>
      </c>
      <c r="C191" s="29"/>
      <c r="D191" s="26" t="str">
        <f aca="false">IF(C191="","",IFERROR(INDEX(Projects!$B$5:$B$54,MATCH(C191,Projects!$A$5:$A$54,0)),"Unknown ID"))</f>
        <v/>
      </c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19" t="str">
        <f aca="false">IF(A191="","",SUM(E191:P191))</f>
        <v/>
      </c>
      <c r="R191" s="42" t="str">
        <f aca="false">IF(A191="","",IFERROR(INDEX(Team!$K$5:$K$64,MATCH(A191,Team!$A$5:$A$64,0)),0))</f>
        <v/>
      </c>
      <c r="S191" s="42" t="str">
        <f aca="false">IF(A191="","",Q191*R191)</f>
        <v/>
      </c>
    </row>
    <row r="192" customFormat="false" ht="15" hidden="false" customHeight="false" outlineLevel="0" collapsed="false">
      <c r="A192" s="29"/>
      <c r="B192" s="26" t="str">
        <f aca="false">IF(A192="","",IFERROR(INDEX(Team!$B$5:$B$64,MATCH(A192,Team!$A$5:$A$64,0)),"Not in Team"))</f>
        <v/>
      </c>
      <c r="C192" s="29"/>
      <c r="D192" s="26" t="str">
        <f aca="false">IF(C192="","",IFERROR(INDEX(Projects!$B$5:$B$54,MATCH(C192,Projects!$A$5:$A$54,0)),"Unknown ID"))</f>
        <v/>
      </c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19" t="str">
        <f aca="false">IF(A192="","",SUM(E192:P192))</f>
        <v/>
      </c>
      <c r="R192" s="42" t="str">
        <f aca="false">IF(A192="","",IFERROR(INDEX(Team!$K$5:$K$64,MATCH(A192,Team!$A$5:$A$64,0)),0))</f>
        <v/>
      </c>
      <c r="S192" s="42" t="str">
        <f aca="false">IF(A192="","",Q192*R192)</f>
        <v/>
      </c>
    </row>
    <row r="193" customFormat="false" ht="15" hidden="false" customHeight="false" outlineLevel="0" collapsed="false">
      <c r="A193" s="29"/>
      <c r="B193" s="26" t="str">
        <f aca="false">IF(A193="","",IFERROR(INDEX(Team!$B$5:$B$64,MATCH(A193,Team!$A$5:$A$64,0)),"Not in Team"))</f>
        <v/>
      </c>
      <c r="C193" s="29"/>
      <c r="D193" s="26" t="str">
        <f aca="false">IF(C193="","",IFERROR(INDEX(Projects!$B$5:$B$54,MATCH(C193,Projects!$A$5:$A$54,0)),"Unknown ID"))</f>
        <v/>
      </c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19" t="str">
        <f aca="false">IF(A193="","",SUM(E193:P193))</f>
        <v/>
      </c>
      <c r="R193" s="42" t="str">
        <f aca="false">IF(A193="","",IFERROR(INDEX(Team!$K$5:$K$64,MATCH(A193,Team!$A$5:$A$64,0)),0))</f>
        <v/>
      </c>
      <c r="S193" s="42" t="str">
        <f aca="false">IF(A193="","",Q193*R193)</f>
        <v/>
      </c>
    </row>
    <row r="194" customFormat="false" ht="15" hidden="false" customHeight="false" outlineLevel="0" collapsed="false">
      <c r="A194" s="29"/>
      <c r="B194" s="26" t="str">
        <f aca="false">IF(A194="","",IFERROR(INDEX(Team!$B$5:$B$64,MATCH(A194,Team!$A$5:$A$64,0)),"Not in Team"))</f>
        <v/>
      </c>
      <c r="C194" s="29"/>
      <c r="D194" s="26" t="str">
        <f aca="false">IF(C194="","",IFERROR(INDEX(Projects!$B$5:$B$54,MATCH(C194,Projects!$A$5:$A$54,0)),"Unknown ID"))</f>
        <v/>
      </c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19" t="str">
        <f aca="false">IF(A194="","",SUM(E194:P194))</f>
        <v/>
      </c>
      <c r="R194" s="42" t="str">
        <f aca="false">IF(A194="","",IFERROR(INDEX(Team!$K$5:$K$64,MATCH(A194,Team!$A$5:$A$64,0)),0))</f>
        <v/>
      </c>
      <c r="S194" s="42" t="str">
        <f aca="false">IF(A194="","",Q194*R194)</f>
        <v/>
      </c>
    </row>
    <row r="195" customFormat="false" ht="15" hidden="false" customHeight="false" outlineLevel="0" collapsed="false">
      <c r="A195" s="29"/>
      <c r="B195" s="26" t="str">
        <f aca="false">IF(A195="","",IFERROR(INDEX(Team!$B$5:$B$64,MATCH(A195,Team!$A$5:$A$64,0)),"Not in Team"))</f>
        <v/>
      </c>
      <c r="C195" s="29"/>
      <c r="D195" s="26" t="str">
        <f aca="false">IF(C195="","",IFERROR(INDEX(Projects!$B$5:$B$54,MATCH(C195,Projects!$A$5:$A$54,0)),"Unknown ID"))</f>
        <v/>
      </c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19" t="str">
        <f aca="false">IF(A195="","",SUM(E195:P195))</f>
        <v/>
      </c>
      <c r="R195" s="42" t="str">
        <f aca="false">IF(A195="","",IFERROR(INDEX(Team!$K$5:$K$64,MATCH(A195,Team!$A$5:$A$64,0)),0))</f>
        <v/>
      </c>
      <c r="S195" s="42" t="str">
        <f aca="false">IF(A195="","",Q195*R195)</f>
        <v/>
      </c>
    </row>
    <row r="196" customFormat="false" ht="15" hidden="false" customHeight="false" outlineLevel="0" collapsed="false">
      <c r="A196" s="29"/>
      <c r="B196" s="26" t="str">
        <f aca="false">IF(A196="","",IFERROR(INDEX(Team!$B$5:$B$64,MATCH(A196,Team!$A$5:$A$64,0)),"Not in Team"))</f>
        <v/>
      </c>
      <c r="C196" s="29"/>
      <c r="D196" s="26" t="str">
        <f aca="false">IF(C196="","",IFERROR(INDEX(Projects!$B$5:$B$54,MATCH(C196,Projects!$A$5:$A$54,0)),"Unknown ID"))</f>
        <v/>
      </c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19" t="str">
        <f aca="false">IF(A196="","",SUM(E196:P196))</f>
        <v/>
      </c>
      <c r="R196" s="42" t="str">
        <f aca="false">IF(A196="","",IFERROR(INDEX(Team!$K$5:$K$64,MATCH(A196,Team!$A$5:$A$64,0)),0))</f>
        <v/>
      </c>
      <c r="S196" s="42" t="str">
        <f aca="false">IF(A196="","",Q196*R196)</f>
        <v/>
      </c>
    </row>
    <row r="197" customFormat="false" ht="15" hidden="false" customHeight="false" outlineLevel="0" collapsed="false">
      <c r="A197" s="29"/>
      <c r="B197" s="26" t="str">
        <f aca="false">IF(A197="","",IFERROR(INDEX(Team!$B$5:$B$64,MATCH(A197,Team!$A$5:$A$64,0)),"Not in Team"))</f>
        <v/>
      </c>
      <c r="C197" s="29"/>
      <c r="D197" s="26" t="str">
        <f aca="false">IF(C197="","",IFERROR(INDEX(Projects!$B$5:$B$54,MATCH(C197,Projects!$A$5:$A$54,0)),"Unknown ID"))</f>
        <v/>
      </c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19" t="str">
        <f aca="false">IF(A197="","",SUM(E197:P197))</f>
        <v/>
      </c>
      <c r="R197" s="42" t="str">
        <f aca="false">IF(A197="","",IFERROR(INDEX(Team!$K$5:$K$64,MATCH(A197,Team!$A$5:$A$64,0)),0))</f>
        <v/>
      </c>
      <c r="S197" s="42" t="str">
        <f aca="false">IF(A197="","",Q197*R197)</f>
        <v/>
      </c>
    </row>
    <row r="198" customFormat="false" ht="15" hidden="false" customHeight="false" outlineLevel="0" collapsed="false">
      <c r="A198" s="29"/>
      <c r="B198" s="26" t="str">
        <f aca="false">IF(A198="","",IFERROR(INDEX(Team!$B$5:$B$64,MATCH(A198,Team!$A$5:$A$64,0)),"Not in Team"))</f>
        <v/>
      </c>
      <c r="C198" s="29"/>
      <c r="D198" s="26" t="str">
        <f aca="false">IF(C198="","",IFERROR(INDEX(Projects!$B$5:$B$54,MATCH(C198,Projects!$A$5:$A$54,0)),"Unknown ID"))</f>
        <v/>
      </c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19" t="str">
        <f aca="false">IF(A198="","",SUM(E198:P198))</f>
        <v/>
      </c>
      <c r="R198" s="42" t="str">
        <f aca="false">IF(A198="","",IFERROR(INDEX(Team!$K$5:$K$64,MATCH(A198,Team!$A$5:$A$64,0)),0))</f>
        <v/>
      </c>
      <c r="S198" s="42" t="str">
        <f aca="false">IF(A198="","",Q198*R198)</f>
        <v/>
      </c>
    </row>
    <row r="199" customFormat="false" ht="15" hidden="false" customHeight="false" outlineLevel="0" collapsed="false">
      <c r="A199" s="29"/>
      <c r="B199" s="26" t="str">
        <f aca="false">IF(A199="","",IFERROR(INDEX(Team!$B$5:$B$64,MATCH(A199,Team!$A$5:$A$64,0)),"Not in Team"))</f>
        <v/>
      </c>
      <c r="C199" s="29"/>
      <c r="D199" s="26" t="str">
        <f aca="false">IF(C199="","",IFERROR(INDEX(Projects!$B$5:$B$54,MATCH(C199,Projects!$A$5:$A$54,0)),"Unknown ID"))</f>
        <v/>
      </c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19" t="str">
        <f aca="false">IF(A199="","",SUM(E199:P199))</f>
        <v/>
      </c>
      <c r="R199" s="42" t="str">
        <f aca="false">IF(A199="","",IFERROR(INDEX(Team!$K$5:$K$64,MATCH(A199,Team!$A$5:$A$64,0)),0))</f>
        <v/>
      </c>
      <c r="S199" s="42" t="str">
        <f aca="false">IF(A199="","",Q199*R199)</f>
        <v/>
      </c>
    </row>
    <row r="200" customFormat="false" ht="15" hidden="false" customHeight="false" outlineLevel="0" collapsed="false">
      <c r="A200" s="29"/>
      <c r="B200" s="26" t="str">
        <f aca="false">IF(A200="","",IFERROR(INDEX(Team!$B$5:$B$64,MATCH(A200,Team!$A$5:$A$64,0)),"Not in Team"))</f>
        <v/>
      </c>
      <c r="C200" s="29"/>
      <c r="D200" s="26" t="str">
        <f aca="false">IF(C200="","",IFERROR(INDEX(Projects!$B$5:$B$54,MATCH(C200,Projects!$A$5:$A$54,0)),"Unknown ID"))</f>
        <v/>
      </c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19" t="str">
        <f aca="false">IF(A200="","",SUM(E200:P200))</f>
        <v/>
      </c>
      <c r="R200" s="42" t="str">
        <f aca="false">IF(A200="","",IFERROR(INDEX(Team!$K$5:$K$64,MATCH(A200,Team!$A$5:$A$64,0)),0))</f>
        <v/>
      </c>
      <c r="S200" s="42" t="str">
        <f aca="false">IF(A200="","",Q200*R200)</f>
        <v/>
      </c>
    </row>
    <row r="201" customFormat="false" ht="15" hidden="false" customHeight="false" outlineLevel="0" collapsed="false">
      <c r="A201" s="29"/>
      <c r="B201" s="26" t="str">
        <f aca="false">IF(A201="","",IFERROR(INDEX(Team!$B$5:$B$64,MATCH(A201,Team!$A$5:$A$64,0)),"Not in Team"))</f>
        <v/>
      </c>
      <c r="C201" s="29"/>
      <c r="D201" s="26" t="str">
        <f aca="false">IF(C201="","",IFERROR(INDEX(Projects!$B$5:$B$54,MATCH(C201,Projects!$A$5:$A$54,0)),"Unknown ID"))</f>
        <v/>
      </c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19" t="str">
        <f aca="false">IF(A201="","",SUM(E201:P201))</f>
        <v/>
      </c>
      <c r="R201" s="42" t="str">
        <f aca="false">IF(A201="","",IFERROR(INDEX(Team!$K$5:$K$64,MATCH(A201,Team!$A$5:$A$64,0)),0))</f>
        <v/>
      </c>
      <c r="S201" s="42" t="str">
        <f aca="false">IF(A201="","",Q201*R201)</f>
        <v/>
      </c>
    </row>
    <row r="202" customFormat="false" ht="15" hidden="false" customHeight="false" outlineLevel="0" collapsed="false">
      <c r="A202" s="29"/>
      <c r="B202" s="26" t="str">
        <f aca="false">IF(A202="","",IFERROR(INDEX(Team!$B$5:$B$64,MATCH(A202,Team!$A$5:$A$64,0)),"Not in Team"))</f>
        <v/>
      </c>
      <c r="C202" s="29"/>
      <c r="D202" s="26" t="str">
        <f aca="false">IF(C202="","",IFERROR(INDEX(Projects!$B$5:$B$54,MATCH(C202,Projects!$A$5:$A$54,0)),"Unknown ID"))</f>
        <v/>
      </c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19" t="str">
        <f aca="false">IF(A202="","",SUM(E202:P202))</f>
        <v/>
      </c>
      <c r="R202" s="42" t="str">
        <f aca="false">IF(A202="","",IFERROR(INDEX(Team!$K$5:$K$64,MATCH(A202,Team!$A$5:$A$64,0)),0))</f>
        <v/>
      </c>
      <c r="S202" s="42" t="str">
        <f aca="false">IF(A202="","",Q202*R202)</f>
        <v/>
      </c>
    </row>
    <row r="203" customFormat="false" ht="15" hidden="false" customHeight="false" outlineLevel="0" collapsed="false">
      <c r="A203" s="29"/>
      <c r="B203" s="26" t="str">
        <f aca="false">IF(A203="","",IFERROR(INDEX(Team!$B$5:$B$64,MATCH(A203,Team!$A$5:$A$64,0)),"Not in Team"))</f>
        <v/>
      </c>
      <c r="C203" s="29"/>
      <c r="D203" s="26" t="str">
        <f aca="false">IF(C203="","",IFERROR(INDEX(Projects!$B$5:$B$54,MATCH(C203,Projects!$A$5:$A$54,0)),"Unknown ID"))</f>
        <v/>
      </c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19" t="str">
        <f aca="false">IF(A203="","",SUM(E203:P203))</f>
        <v/>
      </c>
      <c r="R203" s="42" t="str">
        <f aca="false">IF(A203="","",IFERROR(INDEX(Team!$K$5:$K$64,MATCH(A203,Team!$A$5:$A$64,0)),0))</f>
        <v/>
      </c>
      <c r="S203" s="42" t="str">
        <f aca="false">IF(A203="","",Q203*R203)</f>
        <v/>
      </c>
    </row>
    <row r="204" customFormat="false" ht="15" hidden="false" customHeight="false" outlineLevel="0" collapsed="false">
      <c r="A204" s="29"/>
      <c r="B204" s="26" t="str">
        <f aca="false">IF(A204="","",IFERROR(INDEX(Team!$B$5:$B$64,MATCH(A204,Team!$A$5:$A$64,0)),"Not in Team"))</f>
        <v/>
      </c>
      <c r="C204" s="29"/>
      <c r="D204" s="26" t="str">
        <f aca="false">IF(C204="","",IFERROR(INDEX(Projects!$B$5:$B$54,MATCH(C204,Projects!$A$5:$A$54,0)),"Unknown ID"))</f>
        <v/>
      </c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19" t="str">
        <f aca="false">IF(A204="","",SUM(E204:P204))</f>
        <v/>
      </c>
      <c r="R204" s="42" t="str">
        <f aca="false">IF(A204="","",IFERROR(INDEX(Team!$K$5:$K$64,MATCH(A204,Team!$A$5:$A$64,0)),0))</f>
        <v/>
      </c>
      <c r="S204" s="42" t="str">
        <f aca="false">IF(A204="","",Q204*R204)</f>
        <v/>
      </c>
    </row>
  </sheetData>
  <dataValidations count="3">
    <dataValidation allowBlank="true" errorStyle="stop" operator="between" showDropDown="false" showErrorMessage="false" showInputMessage="false" sqref="A5:A204" type="list">
      <formula1>Team!$A$5:$A$64</formula1>
      <formula2>0</formula2>
    </dataValidation>
    <dataValidation allowBlank="true" errorStyle="stop" operator="between" showDropDown="false" showErrorMessage="false" showInputMessage="false" sqref="C5:C204" type="list">
      <formula1>Projects!$A$5:$A$54</formula1>
      <formula2>0</formula2>
    </dataValidation>
    <dataValidation allowBlank="true" error="Enter a fraction between 0 and 1 (0.5 = 50%)" errorStyle="stop" operator="between" showDropDown="false" showErrorMessage="true" showInputMessage="false" sqref="E5:P20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15" min="4" style="0" width="7"/>
    <col collapsed="false" customWidth="true" hidden="false" outlineLevel="0" max="16" min="16" style="0" width="11"/>
    <col collapsed="false" customWidth="true" hidden="false" outlineLevel="0" max="17" min="17" style="0" width="9"/>
  </cols>
  <sheetData>
    <row r="1" customFormat="false" ht="17.35" hidden="false" customHeight="false" outlineLevel="0" collapsed="false">
      <c r="A1" s="9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10" t="s">
        <v>193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false" outlineLevel="0" collapsed="false">
      <c r="A4" s="16" t="s">
        <v>194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30" hidden="false" customHeight="true" outlineLevel="0" collapsed="false">
      <c r="A5" s="17" t="s">
        <v>136</v>
      </c>
      <c r="B5" s="17" t="s">
        <v>59</v>
      </c>
      <c r="C5" s="17" t="s">
        <v>137</v>
      </c>
      <c r="D5" s="34" t="n">
        <f aca="false">Settings!$A$8</f>
        <v>46388</v>
      </c>
      <c r="E5" s="34" t="n">
        <f aca="false">Settings!$A$9</f>
        <v>46419</v>
      </c>
      <c r="F5" s="34" t="n">
        <f aca="false">Settings!$A$10</f>
        <v>46447</v>
      </c>
      <c r="G5" s="34" t="n">
        <f aca="false">Settings!$A$11</f>
        <v>46478</v>
      </c>
      <c r="H5" s="34" t="n">
        <f aca="false">Settings!$A$12</f>
        <v>46508</v>
      </c>
      <c r="I5" s="34" t="n">
        <f aca="false">Settings!$A$13</f>
        <v>46539</v>
      </c>
      <c r="J5" s="34" t="n">
        <f aca="false">Settings!$A$14</f>
        <v>46569</v>
      </c>
      <c r="K5" s="34" t="n">
        <f aca="false">Settings!$A$15</f>
        <v>46600</v>
      </c>
      <c r="L5" s="34" t="n">
        <f aca="false">Settings!$A$16</f>
        <v>46631</v>
      </c>
      <c r="M5" s="34" t="n">
        <f aca="false">Settings!$A$17</f>
        <v>46661</v>
      </c>
      <c r="N5" s="34" t="n">
        <f aca="false">Settings!$A$18</f>
        <v>46692</v>
      </c>
      <c r="O5" s="34" t="n">
        <f aca="false">Settings!$A$19</f>
        <v>46722</v>
      </c>
      <c r="P5" s="17" t="s">
        <v>195</v>
      </c>
      <c r="Q5" s="17" t="s">
        <v>196</v>
      </c>
      <c r="R5" s="2"/>
      <c r="S5" s="10" t="s">
        <v>197</v>
      </c>
    </row>
    <row r="6" customFormat="false" ht="15" hidden="false" customHeight="false" outlineLevel="0" collapsed="false">
      <c r="A6" s="26" t="str">
        <f aca="false">IF(Team!$A5="","",Team!$A5)</f>
        <v>Tech Lead 1</v>
      </c>
      <c r="B6" s="26" t="str">
        <f aca="false">IF(Team!$A5="","",Team!$B5)</f>
        <v>Tech Lead</v>
      </c>
      <c r="C6" s="26" t="str">
        <f aca="false">IF(Team!$A5="","",Team!$C5)</f>
        <v>FTE</v>
      </c>
      <c r="D6" s="21" t="n">
        <f aca="false">IF($A6="","",IF(N(D70)=0,IF(N(D134)&gt;0,9.99,""),D134/D70))</f>
        <v>1.09615384615385</v>
      </c>
      <c r="E6" s="21" t="n">
        <f aca="false">IF($A6="","",IF(N(E70)=0,IF(N(E134)&gt;0,9.99,""),E134/E70))</f>
        <v>1.09615384615385</v>
      </c>
      <c r="F6" s="21" t="n">
        <f aca="false">IF($A6="","",IF(N(F70)=0,IF(N(F134)&gt;0,9.99,""),F134/F70))</f>
        <v>1.35245901639344</v>
      </c>
      <c r="G6" s="21" t="n">
        <f aca="false">IF($A6="","",IF(N(G70)=0,IF(N(G134)&gt;0,9.99,""),G134/G70))</f>
        <v>1.35245901639344</v>
      </c>
      <c r="H6" s="21" t="n">
        <f aca="false">IF($A6="","",IF(N(H70)=0,IF(N(H134)&gt;0,9.99,""),H134/H70))</f>
        <v>1.09090909090909</v>
      </c>
      <c r="I6" s="21" t="n">
        <f aca="false">IF($A6="","",IF(N(I70)=0,IF(N(I134)&gt;0,9.99,""),I134/I70))</f>
        <v>1.08620689655172</v>
      </c>
      <c r="J6" s="21" t="n">
        <f aca="false">IF($A6="","",IF(N(J70)=0,IF(N(J134)&gt;0,9.99,""),J134/J70))</f>
        <v>1.08620689655172</v>
      </c>
      <c r="K6" s="21" t="n">
        <f aca="false">IF($A6="","",IF(N(K70)=0,IF(N(K134)&gt;0,9.99,""),K134/K70))</f>
        <v>1.08196721311475</v>
      </c>
      <c r="L6" s="21" t="n">
        <f aca="false">IF($A6="","",IF(N(L70)=0,IF(N(L134)&gt;0,9.99,""),L134/L70))</f>
        <v>0.814655172413793</v>
      </c>
      <c r="M6" s="21" t="n">
        <f aca="false">IF($A6="","",IF(N(M70)=0,IF(N(M134)&gt;0,9.99,""),M134/M70))</f>
        <v>0.814655172413793</v>
      </c>
      <c r="N6" s="21" t="n">
        <f aca="false">IF($A6="","",IF(N(N70)=0,IF(N(N134)&gt;0,9.99,""),N134/N70))</f>
        <v>0.818181818181818</v>
      </c>
      <c r="O6" s="21" t="n">
        <f aca="false">IF($A6="","",IF(N(O70)=0,IF(N(O134)&gt;0,9.99,""),O134/O70))</f>
        <v>0.811475409836066</v>
      </c>
      <c r="P6" s="21" t="n">
        <f aca="false">IF($A6="","",MAX(D6:O6))</f>
        <v>1.35245901639344</v>
      </c>
      <c r="Q6" s="21" t="n">
        <f aca="false">IF(OR($A6="",N(P70)=0),"",P134/P70)</f>
        <v>1.0419116559267</v>
      </c>
      <c r="R6" s="2"/>
      <c r="S6" s="2"/>
    </row>
    <row r="7" customFormat="false" ht="15" hidden="false" customHeight="false" outlineLevel="0" collapsed="false">
      <c r="A7" s="26" t="str">
        <f aca="false">IF(Team!$A6="","",Team!$A6)</f>
        <v>Java Dev 1</v>
      </c>
      <c r="B7" s="26" t="str">
        <f aca="false">IF(Team!$A6="","",Team!$B6)</f>
        <v>Backend Developer</v>
      </c>
      <c r="C7" s="26" t="str">
        <f aca="false">IF(Team!$A6="","",Team!$C6)</f>
        <v>FTE</v>
      </c>
      <c r="D7" s="21" t="n">
        <f aca="false">IF($A7="","",IF(N(D71)=0,IF(N(D135)&gt;0,9.99,""),D135/D71))</f>
        <v>0.644796380090498</v>
      </c>
      <c r="E7" s="21" t="n">
        <f aca="false">IF($A7="","",IF(N(E71)=0,IF(N(E135)&gt;0,9.99,""),E135/E71))</f>
        <v>0.644796380090498</v>
      </c>
      <c r="F7" s="21" t="n">
        <f aca="false">IF($A7="","",IF(N(F71)=0,IF(N(F135)&gt;0,9.99,""),F135/F71))</f>
        <v>1.14561234329798</v>
      </c>
      <c r="G7" s="21" t="n">
        <f aca="false">IF($A7="","",IF(N(G71)=0,IF(N(G135)&gt;0,9.99,""),G135/G71))</f>
        <v>1.14561234329798</v>
      </c>
      <c r="H7" s="21" t="n">
        <f aca="false">IF($A7="","",IF(N(H71)=0,IF(N(H135)&gt;0,9.99,""),H135/H71))</f>
        <v>1.15508021390374</v>
      </c>
      <c r="I7" s="21" t="n">
        <f aca="false">IF($A7="","",IF(N(I71)=0,IF(N(I135)&gt;0,9.99,""),I135/I71))</f>
        <v>1.1501014198783</v>
      </c>
      <c r="J7" s="21" t="n">
        <f aca="false">IF($A7="","",IF(N(J71)=0,IF(N(J135)&gt;0,9.99,""),J135/J71))</f>
        <v>1.1501014198783</v>
      </c>
      <c r="K7" s="21" t="n">
        <f aca="false">IF($A7="","",IF(N(K71)=0,IF(N(K135)&gt;0,9.99,""),K135/K71))</f>
        <v>1.14561234329798</v>
      </c>
      <c r="L7" s="21" t="n">
        <f aca="false">IF($A7="","",IF(N(L71)=0,IF(N(L135)&gt;0,9.99,""),L135/L71))</f>
        <v>0.63894523326572</v>
      </c>
      <c r="M7" s="21" t="n">
        <f aca="false">IF($A7="","",IF(N(M71)=0,IF(N(M135)&gt;0,9.99,""),M135/M71))</f>
        <v>0.63894523326572</v>
      </c>
      <c r="N7" s="21" t="n">
        <f aca="false">IF($A7="","",IF(N(N71)=0,IF(N(N135)&gt;0,9.99,""),N135/N71))</f>
        <v>0.641711229946524</v>
      </c>
      <c r="O7" s="21" t="n">
        <f aca="false">IF($A7="","",IF(N(O71)=0,IF(N(O135)&gt;0,9.99,""),O135/O71))</f>
        <v>0.636451301832208</v>
      </c>
      <c r="P7" s="21" t="n">
        <f aca="false">IF($A7="","",MAX(D7:O7))</f>
        <v>1.15508021390374</v>
      </c>
      <c r="Q7" s="21" t="n">
        <f aca="false">IF(OR($A7="",N(P71)=0),"",P135/P71)</f>
        <v>0.89535119281681</v>
      </c>
      <c r="R7" s="2"/>
      <c r="S7" s="2"/>
    </row>
    <row r="8" customFormat="false" ht="15" hidden="false" customHeight="false" outlineLevel="0" collapsed="false">
      <c r="A8" s="26" t="str">
        <f aca="false">IF(Team!$A7="","",Team!$A7)</f>
        <v>Angular Dev 1</v>
      </c>
      <c r="B8" s="26" t="str">
        <f aca="false">IF(Team!$A7="","",Team!$B7)</f>
        <v>Frontend Developer</v>
      </c>
      <c r="C8" s="26" t="str">
        <f aca="false">IF(Team!$A7="","",Team!$C7)</f>
        <v>Contractor</v>
      </c>
      <c r="D8" s="21" t="n">
        <f aca="false">IF($A8="","",IF(N(D72)=0,IF(N(D136)&gt;0,9.99,""),D136/D72))</f>
        <v>1.04587155963303</v>
      </c>
      <c r="E8" s="21" t="n">
        <f aca="false">IF($A8="","",IF(N(E72)=0,IF(N(E136)&gt;0,9.99,""),E136/E72))</f>
        <v>1.04587155963303</v>
      </c>
      <c r="F8" s="21" t="n">
        <f aca="false">IF($A8="","",IF(N(F72)=0,IF(N(F136)&gt;0,9.99,""),F136/F72))</f>
        <v>1.03937007874016</v>
      </c>
      <c r="G8" s="21" t="n">
        <f aca="false">IF($A8="","",IF(N(G72)=0,IF(N(G136)&gt;0,9.99,""),G136/G72))</f>
        <v>1.03937007874016</v>
      </c>
      <c r="H8" s="21" t="n">
        <f aca="false">IF($A8="","",IF(N(H72)=0,IF(N(H136)&gt;0,9.99,""),H136/H72))</f>
        <v>1.04347826086957</v>
      </c>
      <c r="I8" s="21" t="n">
        <f aca="false">IF($A8="","",IF(N(I72)=0,IF(N(I136)&gt;0,9.99,""),I136/I72))</f>
        <v>1.04132231404959</v>
      </c>
      <c r="J8" s="21" t="n">
        <f aca="false">IF($A8="","",IF(N(J72)=0,IF(N(J136)&gt;0,9.99,""),J136/J72))</f>
        <v>1.04132231404959</v>
      </c>
      <c r="K8" s="21" t="n">
        <f aca="false">IF($A8="","",IF(N(K72)=0,IF(N(K136)&gt;0,9.99,""),K136/K72))</f>
        <v>1.03937007874016</v>
      </c>
      <c r="L8" s="21" t="n">
        <f aca="false">IF($A8="","",IF(N(L72)=0,IF(N(L136)&gt;0,9.99,""),L136/L72))</f>
        <v>1.04132231404959</v>
      </c>
      <c r="M8" s="21" t="n">
        <f aca="false">IF($A8="","",IF(N(M72)=0,IF(N(M136)&gt;0,9.99,""),M136/M72))</f>
        <v>1.04132231404959</v>
      </c>
      <c r="N8" s="21" t="n">
        <f aca="false">IF($A8="","",IF(N(N72)=0,IF(N(N136)&gt;0,9.99,""),N136/N72))</f>
        <v>1.04347826086957</v>
      </c>
      <c r="O8" s="21" t="n">
        <f aca="false">IF($A8="","",IF(N(O72)=0,IF(N(O136)&gt;0,9.99,""),O136/O72))</f>
        <v>1.03937007874016</v>
      </c>
      <c r="P8" s="21" t="n">
        <f aca="false">IF($A8="","",MAX(D8:O8))</f>
        <v>1.04587155963303</v>
      </c>
      <c r="Q8" s="21" t="n">
        <f aca="false">IF(OR($A8="",N(P72)=0),"",P136/P72)</f>
        <v>1.0417840429758</v>
      </c>
      <c r="R8" s="2"/>
      <c r="S8" s="2"/>
    </row>
    <row r="9" customFormat="false" ht="15" hidden="false" customHeight="false" outlineLevel="0" collapsed="false">
      <c r="A9" s="26" t="str">
        <f aca="false">IF(Team!$A8="","",Team!$A8)</f>
        <v>Angular Dev 2</v>
      </c>
      <c r="B9" s="26" t="str">
        <f aca="false">IF(Team!$A8="","",Team!$B8)</f>
        <v>Full-stack Developer</v>
      </c>
      <c r="C9" s="26" t="str">
        <f aca="false">IF(Team!$A8="","",Team!$C8)</f>
        <v>Contractor</v>
      </c>
      <c r="D9" s="21" t="n">
        <f aca="false">IF($A9="","",IF(N(D73)=0,IF(N(D137)&gt;0,9.99,""),D137/D73))</f>
        <v>1.04587155963303</v>
      </c>
      <c r="E9" s="21" t="n">
        <f aca="false">IF($A9="","",IF(N(E73)=0,IF(N(E137)&gt;0,9.99,""),E137/E73))</f>
        <v>1.04587155963303</v>
      </c>
      <c r="F9" s="21" t="n">
        <f aca="false">IF($A9="","",IF(N(F73)=0,IF(N(F137)&gt;0,9.99,""),F137/F73))</f>
        <v>1.03937007874016</v>
      </c>
      <c r="G9" s="21" t="n">
        <f aca="false">IF($A9="","",IF(N(G73)=0,IF(N(G137)&gt;0,9.99,""),G137/G73))</f>
        <v>1.03937007874016</v>
      </c>
      <c r="H9" s="21" t="n">
        <f aca="false">IF($A9="","",IF(N(H73)=0,IF(N(H137)&gt;0,9.99,""),H137/H73))</f>
        <v>0.579710144927536</v>
      </c>
      <c r="I9" s="21" t="n">
        <f aca="false">IF($A9="","",IF(N(I73)=0,IF(N(I137)&gt;0,9.99,""),I137/I73))</f>
        <v>0.578512396694215</v>
      </c>
      <c r="J9" s="21" t="n">
        <f aca="false">IF($A9="","",IF(N(J73)=0,IF(N(J137)&gt;0,9.99,""),J137/J73))</f>
        <v>0.578512396694215</v>
      </c>
      <c r="K9" s="21" t="n">
        <f aca="false">IF($A9="","",IF(N(K73)=0,IF(N(K137)&gt;0,9.99,""),K137/K73))</f>
        <v>0.57742782152231</v>
      </c>
      <c r="L9" s="21" t="n">
        <f aca="false">IF($A9="","",IF(N(L73)=0,IF(N(L137)&gt;0,9.99,""),L137/L73))</f>
        <v>0.578512396694215</v>
      </c>
      <c r="M9" s="21" t="n">
        <f aca="false">IF($A9="","",IF(N(M73)=0,IF(N(M137)&gt;0,9.99,""),M137/M73))</f>
        <v>0.578512396694215</v>
      </c>
      <c r="N9" s="21" t="n">
        <f aca="false">IF($A9="","",IF(N(N73)=0,IF(N(N137)&gt;0,9.99,""),N137/N73))</f>
        <v>0.579710144927536</v>
      </c>
      <c r="O9" s="21" t="n">
        <f aca="false">IF($A9="","",IF(N(O73)=0,IF(N(O137)&gt;0,9.99,""),O137/O73))</f>
        <v>0.57742782152231</v>
      </c>
      <c r="P9" s="21" t="n">
        <f aca="false">IF($A9="","",MAX(D9:O9))</f>
        <v>1.04587155963303</v>
      </c>
      <c r="Q9" s="21" t="n">
        <f aca="false">IF(OR($A9="",N(P73)=0),"",P137/P73)</f>
        <v>0.733107289501489</v>
      </c>
      <c r="R9" s="2"/>
      <c r="S9" s="2"/>
    </row>
    <row r="10" customFormat="false" ht="15" hidden="false" customHeight="false" outlineLevel="0" collapsed="false">
      <c r="A10" s="26" t="str">
        <f aca="false">IF(Team!$A9="","",Team!$A9)</f>
        <v>QA Engineer 1</v>
      </c>
      <c r="B10" s="26" t="str">
        <f aca="false">IF(Team!$A9="","",Team!$B9)</f>
        <v>QA / SDET</v>
      </c>
      <c r="C10" s="26" t="str">
        <f aca="false">IF(Team!$A9="","",Team!$C9)</f>
        <v>Contractor</v>
      </c>
      <c r="D10" s="21" t="n">
        <f aca="false">IF($A10="","",IF(N(D74)=0,IF(N(D138)&gt;0,9.99,""),D138/D74))</f>
        <v>0.697247706422018</v>
      </c>
      <c r="E10" s="21" t="n">
        <f aca="false">IF($A10="","",IF(N(E74)=0,IF(N(E138)&gt;0,9.99,""),E138/E74))</f>
        <v>0.697247706422018</v>
      </c>
      <c r="F10" s="21" t="n">
        <f aca="false">IF($A10="","",IF(N(F74)=0,IF(N(F138)&gt;0,9.99,""),F138/F74))</f>
        <v>1.03937007874016</v>
      </c>
      <c r="G10" s="21" t="n">
        <f aca="false">IF($A10="","",IF(N(G74)=0,IF(N(G138)&gt;0,9.99,""),G138/G74))</f>
        <v>1.03937007874016</v>
      </c>
      <c r="H10" s="21" t="n">
        <f aca="false">IF($A10="","",IF(N(H74)=0,IF(N(H138)&gt;0,9.99,""),H138/H74))</f>
        <v>1.04347826086957</v>
      </c>
      <c r="I10" s="21" t="n">
        <f aca="false">IF($A10="","",IF(N(I74)=0,IF(N(I138)&gt;0,9.99,""),I138/I74))</f>
        <v>1.04132231404959</v>
      </c>
      <c r="J10" s="21" t="n">
        <f aca="false">IF($A10="","",IF(N(J74)=0,IF(N(J138)&gt;0,9.99,""),J138/J74))</f>
        <v>1.04132231404959</v>
      </c>
      <c r="K10" s="21" t="n">
        <f aca="false">IF($A10="","",IF(N(K74)=0,IF(N(K138)&gt;0,9.99,""),K138/K74))</f>
        <v>1.03937007874016</v>
      </c>
      <c r="L10" s="21" t="n">
        <f aca="false">IF($A10="","",IF(N(L74)=0,IF(N(L138)&gt;0,9.99,""),L138/L74))</f>
        <v>0.694214876033058</v>
      </c>
      <c r="M10" s="21" t="n">
        <f aca="false">IF($A10="","",IF(N(M74)=0,IF(N(M138)&gt;0,9.99,""),M138/M74))</f>
        <v>0.694214876033058</v>
      </c>
      <c r="N10" s="21" t="n">
        <f aca="false">IF($A10="","",IF(N(N74)=0,IF(N(N138)&gt;0,9.99,""),N138/N74))</f>
        <v>0.695652173913044</v>
      </c>
      <c r="O10" s="21" t="n">
        <f aca="false">IF($A10="","",IF(N(O74)=0,IF(N(O138)&gt;0,9.99,""),O138/O74))</f>
        <v>0.692913385826772</v>
      </c>
      <c r="P10" s="21" t="n">
        <f aca="false">IF($A10="","",MAX(D10:O10))</f>
        <v>1.04347826086957</v>
      </c>
      <c r="Q10" s="21" t="n">
        <f aca="false">IF(OR($A10="",N(P74)=0),"",P138/P74)</f>
        <v>0.8681533691465</v>
      </c>
      <c r="R10" s="2"/>
      <c r="S10" s="2"/>
    </row>
    <row r="11" customFormat="false" ht="15" hidden="false" customHeight="false" outlineLevel="0" collapsed="false">
      <c r="A11" s="26" t="str">
        <f aca="false">IF(Team!$A10="","",Team!$A10)</f>
        <v>TBH Angular Dev</v>
      </c>
      <c r="B11" s="26" t="str">
        <f aca="false">IF(Team!$A10="","",Team!$B10)</f>
        <v>Frontend Developer</v>
      </c>
      <c r="C11" s="26" t="str">
        <f aca="false">IF(Team!$A10="","",Team!$C10)</f>
        <v>Open Req</v>
      </c>
      <c r="D11" s="21" t="str">
        <f aca="false">IF($A11="","",IF(N(D75)=0,IF(N(D139)&gt;0,9.99,""),D139/D75))</f>
        <v/>
      </c>
      <c r="E11" s="21" t="str">
        <f aca="false">IF($A11="","",IF(N(E75)=0,IF(N(E139)&gt;0,9.99,""),E139/E75))</f>
        <v/>
      </c>
      <c r="F11" s="21" t="str">
        <f aca="false">IF($A11="","",IF(N(F75)=0,IF(N(F139)&gt;0,9.99,""),F139/F75))</f>
        <v/>
      </c>
      <c r="G11" s="21" t="n">
        <f aca="false">IF($A11="","",IF(N(G75)=0,IF(N(G139)&gt;0,9.99,""),G139/G75))</f>
        <v>0.997873848334515</v>
      </c>
      <c r="H11" s="21" t="n">
        <f aca="false">IF($A11="","",IF(N(H75)=0,IF(N(H139)&gt;0,9.99,""),H139/H75))</f>
        <v>1.00392156862745</v>
      </c>
      <c r="I11" s="21" t="n">
        <f aca="false">IF($A11="","",IF(N(I75)=0,IF(N(I139)&gt;0,9.99,""),I139/I75))</f>
        <v>1.00074460163812</v>
      </c>
      <c r="J11" s="21" t="n">
        <f aca="false">IF($A11="","",IF(N(J75)=0,IF(N(J139)&gt;0,9.99,""),J139/J75))</f>
        <v>1.00074460163812</v>
      </c>
      <c r="K11" s="21" t="n">
        <f aca="false">IF($A11="","",IF(N(K75)=0,IF(N(K139)&gt;0,9.99,""),K139/K75))</f>
        <v>0.997873848334515</v>
      </c>
      <c r="L11" s="21" t="n">
        <f aca="false">IF($A11="","",IF(N(L75)=0,IF(N(L139)&gt;0,9.99,""),L139/L75))</f>
        <v>1.00074460163812</v>
      </c>
      <c r="M11" s="21" t="n">
        <f aca="false">IF($A11="","",IF(N(M75)=0,IF(N(M139)&gt;0,9.99,""),M139/M75))</f>
        <v>1.00074460163812</v>
      </c>
      <c r="N11" s="21" t="n">
        <f aca="false">IF($A11="","",IF(N(N75)=0,IF(N(N139)&gt;0,9.99,""),N139/N75))</f>
        <v>1.00392156862745</v>
      </c>
      <c r="O11" s="21" t="n">
        <f aca="false">IF($A11="","",IF(N(O75)=0,IF(N(O139)&gt;0,9.99,""),O139/O75))</f>
        <v>0.997873848334515</v>
      </c>
      <c r="P11" s="21" t="n">
        <f aca="false">IF($A11="","",MAX(D11:O11))</f>
        <v>1.00392156862745</v>
      </c>
      <c r="Q11" s="21" t="n">
        <f aca="false">IF(OR($A11="",N(P75)=0),"",P139/P75)</f>
        <v>1.00048875487815</v>
      </c>
      <c r="R11" s="2"/>
      <c r="S11" s="2"/>
    </row>
    <row r="12" customFormat="false" ht="15" hidden="false" customHeight="false" outlineLevel="0" collapsed="false">
      <c r="A12" s="26" t="str">
        <f aca="false">IF(Team!$A11="","",Team!$A11)</f>
        <v/>
      </c>
      <c r="B12" s="26" t="str">
        <f aca="false">IF(Team!$A11="","",Team!$B11)</f>
        <v/>
      </c>
      <c r="C12" s="26" t="str">
        <f aca="false">IF(Team!$A11="","",Team!$C11)</f>
        <v/>
      </c>
      <c r="D12" s="21" t="str">
        <f aca="false">IF($A12="","",IF(N(D76)=0,IF(N(D140)&gt;0,9.99,""),D140/D76))</f>
        <v/>
      </c>
      <c r="E12" s="21" t="str">
        <f aca="false">IF($A12="","",IF(N(E76)=0,IF(N(E140)&gt;0,9.99,""),E140/E76))</f>
        <v/>
      </c>
      <c r="F12" s="21" t="str">
        <f aca="false">IF($A12="","",IF(N(F76)=0,IF(N(F140)&gt;0,9.99,""),F140/F76))</f>
        <v/>
      </c>
      <c r="G12" s="21" t="str">
        <f aca="false">IF($A12="","",IF(N(G76)=0,IF(N(G140)&gt;0,9.99,""),G140/G76))</f>
        <v/>
      </c>
      <c r="H12" s="21" t="str">
        <f aca="false">IF($A12="","",IF(N(H76)=0,IF(N(H140)&gt;0,9.99,""),H140/H76))</f>
        <v/>
      </c>
      <c r="I12" s="21" t="str">
        <f aca="false">IF($A12="","",IF(N(I76)=0,IF(N(I140)&gt;0,9.99,""),I140/I76))</f>
        <v/>
      </c>
      <c r="J12" s="21" t="str">
        <f aca="false">IF($A12="","",IF(N(J76)=0,IF(N(J140)&gt;0,9.99,""),J140/J76))</f>
        <v/>
      </c>
      <c r="K12" s="21" t="str">
        <f aca="false">IF($A12="","",IF(N(K76)=0,IF(N(K140)&gt;0,9.99,""),K140/K76))</f>
        <v/>
      </c>
      <c r="L12" s="21" t="str">
        <f aca="false">IF($A12="","",IF(N(L76)=0,IF(N(L140)&gt;0,9.99,""),L140/L76))</f>
        <v/>
      </c>
      <c r="M12" s="21" t="str">
        <f aca="false">IF($A12="","",IF(N(M76)=0,IF(N(M140)&gt;0,9.99,""),M140/M76))</f>
        <v/>
      </c>
      <c r="N12" s="21" t="str">
        <f aca="false">IF($A12="","",IF(N(N76)=0,IF(N(N140)&gt;0,9.99,""),N140/N76))</f>
        <v/>
      </c>
      <c r="O12" s="21" t="str">
        <f aca="false">IF($A12="","",IF(N(O76)=0,IF(N(O140)&gt;0,9.99,""),O140/O76))</f>
        <v/>
      </c>
      <c r="P12" s="21" t="str">
        <f aca="false">IF($A12="","",MAX(D12:O12))</f>
        <v/>
      </c>
      <c r="Q12" s="21" t="str">
        <f aca="false">IF(OR($A12="",N(P76)=0),"",P140/P76)</f>
        <v/>
      </c>
      <c r="R12" s="2"/>
      <c r="S12" s="2"/>
    </row>
    <row r="13" customFormat="false" ht="15" hidden="false" customHeight="false" outlineLevel="0" collapsed="false">
      <c r="A13" s="26" t="str">
        <f aca="false">IF(Team!$A12="","",Team!$A12)</f>
        <v/>
      </c>
      <c r="B13" s="26" t="str">
        <f aca="false">IF(Team!$A12="","",Team!$B12)</f>
        <v/>
      </c>
      <c r="C13" s="26" t="str">
        <f aca="false">IF(Team!$A12="","",Team!$C12)</f>
        <v/>
      </c>
      <c r="D13" s="21" t="str">
        <f aca="false">IF($A13="","",IF(N(D77)=0,IF(N(D141)&gt;0,9.99,""),D141/D77))</f>
        <v/>
      </c>
      <c r="E13" s="21" t="str">
        <f aca="false">IF($A13="","",IF(N(E77)=0,IF(N(E141)&gt;0,9.99,""),E141/E77))</f>
        <v/>
      </c>
      <c r="F13" s="21" t="str">
        <f aca="false">IF($A13="","",IF(N(F77)=0,IF(N(F141)&gt;0,9.99,""),F141/F77))</f>
        <v/>
      </c>
      <c r="G13" s="21" t="str">
        <f aca="false">IF($A13="","",IF(N(G77)=0,IF(N(G141)&gt;0,9.99,""),G141/G77))</f>
        <v/>
      </c>
      <c r="H13" s="21" t="str">
        <f aca="false">IF($A13="","",IF(N(H77)=0,IF(N(H141)&gt;0,9.99,""),H141/H77))</f>
        <v/>
      </c>
      <c r="I13" s="21" t="str">
        <f aca="false">IF($A13="","",IF(N(I77)=0,IF(N(I141)&gt;0,9.99,""),I141/I77))</f>
        <v/>
      </c>
      <c r="J13" s="21" t="str">
        <f aca="false">IF($A13="","",IF(N(J77)=0,IF(N(J141)&gt;0,9.99,""),J141/J77))</f>
        <v/>
      </c>
      <c r="K13" s="21" t="str">
        <f aca="false">IF($A13="","",IF(N(K77)=0,IF(N(K141)&gt;0,9.99,""),K141/K77))</f>
        <v/>
      </c>
      <c r="L13" s="21" t="str">
        <f aca="false">IF($A13="","",IF(N(L77)=0,IF(N(L141)&gt;0,9.99,""),L141/L77))</f>
        <v/>
      </c>
      <c r="M13" s="21" t="str">
        <f aca="false">IF($A13="","",IF(N(M77)=0,IF(N(M141)&gt;0,9.99,""),M141/M77))</f>
        <v/>
      </c>
      <c r="N13" s="21" t="str">
        <f aca="false">IF($A13="","",IF(N(N77)=0,IF(N(N141)&gt;0,9.99,""),N141/N77))</f>
        <v/>
      </c>
      <c r="O13" s="21" t="str">
        <f aca="false">IF($A13="","",IF(N(O77)=0,IF(N(O141)&gt;0,9.99,""),O141/O77))</f>
        <v/>
      </c>
      <c r="P13" s="21" t="str">
        <f aca="false">IF($A13="","",MAX(D13:O13))</f>
        <v/>
      </c>
      <c r="Q13" s="21" t="str">
        <f aca="false">IF(OR($A13="",N(P77)=0),"",P141/P77)</f>
        <v/>
      </c>
      <c r="R13" s="2"/>
      <c r="S13" s="2"/>
    </row>
    <row r="14" customFormat="false" ht="15" hidden="false" customHeight="false" outlineLevel="0" collapsed="false">
      <c r="A14" s="26" t="str">
        <f aca="false">IF(Team!$A13="","",Team!$A13)</f>
        <v/>
      </c>
      <c r="B14" s="26" t="str">
        <f aca="false">IF(Team!$A13="","",Team!$B13)</f>
        <v/>
      </c>
      <c r="C14" s="26" t="str">
        <f aca="false">IF(Team!$A13="","",Team!$C13)</f>
        <v/>
      </c>
      <c r="D14" s="21" t="str">
        <f aca="false">IF($A14="","",IF(N(D78)=0,IF(N(D142)&gt;0,9.99,""),D142/D78))</f>
        <v/>
      </c>
      <c r="E14" s="21" t="str">
        <f aca="false">IF($A14="","",IF(N(E78)=0,IF(N(E142)&gt;0,9.99,""),E142/E78))</f>
        <v/>
      </c>
      <c r="F14" s="21" t="str">
        <f aca="false">IF($A14="","",IF(N(F78)=0,IF(N(F142)&gt;0,9.99,""),F142/F78))</f>
        <v/>
      </c>
      <c r="G14" s="21" t="str">
        <f aca="false">IF($A14="","",IF(N(G78)=0,IF(N(G142)&gt;0,9.99,""),G142/G78))</f>
        <v/>
      </c>
      <c r="H14" s="21" t="str">
        <f aca="false">IF($A14="","",IF(N(H78)=0,IF(N(H142)&gt;0,9.99,""),H142/H78))</f>
        <v/>
      </c>
      <c r="I14" s="21" t="str">
        <f aca="false">IF($A14="","",IF(N(I78)=0,IF(N(I142)&gt;0,9.99,""),I142/I78))</f>
        <v/>
      </c>
      <c r="J14" s="21" t="str">
        <f aca="false">IF($A14="","",IF(N(J78)=0,IF(N(J142)&gt;0,9.99,""),J142/J78))</f>
        <v/>
      </c>
      <c r="K14" s="21" t="str">
        <f aca="false">IF($A14="","",IF(N(K78)=0,IF(N(K142)&gt;0,9.99,""),K142/K78))</f>
        <v/>
      </c>
      <c r="L14" s="21" t="str">
        <f aca="false">IF($A14="","",IF(N(L78)=0,IF(N(L142)&gt;0,9.99,""),L142/L78))</f>
        <v/>
      </c>
      <c r="M14" s="21" t="str">
        <f aca="false">IF($A14="","",IF(N(M78)=0,IF(N(M142)&gt;0,9.99,""),M142/M78))</f>
        <v/>
      </c>
      <c r="N14" s="21" t="str">
        <f aca="false">IF($A14="","",IF(N(N78)=0,IF(N(N142)&gt;0,9.99,""),N142/N78))</f>
        <v/>
      </c>
      <c r="O14" s="21" t="str">
        <f aca="false">IF($A14="","",IF(N(O78)=0,IF(N(O142)&gt;0,9.99,""),O142/O78))</f>
        <v/>
      </c>
      <c r="P14" s="21" t="str">
        <f aca="false">IF($A14="","",MAX(D14:O14))</f>
        <v/>
      </c>
      <c r="Q14" s="21" t="str">
        <f aca="false">IF(OR($A14="",N(P78)=0),"",P142/P78)</f>
        <v/>
      </c>
      <c r="R14" s="2"/>
      <c r="S14" s="2"/>
    </row>
    <row r="15" customFormat="false" ht="15" hidden="false" customHeight="false" outlineLevel="0" collapsed="false">
      <c r="A15" s="26" t="str">
        <f aca="false">IF(Team!$A14="","",Team!$A14)</f>
        <v/>
      </c>
      <c r="B15" s="26" t="str">
        <f aca="false">IF(Team!$A14="","",Team!$B14)</f>
        <v/>
      </c>
      <c r="C15" s="26" t="str">
        <f aca="false">IF(Team!$A14="","",Team!$C14)</f>
        <v/>
      </c>
      <c r="D15" s="21" t="str">
        <f aca="false">IF($A15="","",IF(N(D79)=0,IF(N(D143)&gt;0,9.99,""),D143/D79))</f>
        <v/>
      </c>
      <c r="E15" s="21" t="str">
        <f aca="false">IF($A15="","",IF(N(E79)=0,IF(N(E143)&gt;0,9.99,""),E143/E79))</f>
        <v/>
      </c>
      <c r="F15" s="21" t="str">
        <f aca="false">IF($A15="","",IF(N(F79)=0,IF(N(F143)&gt;0,9.99,""),F143/F79))</f>
        <v/>
      </c>
      <c r="G15" s="21" t="str">
        <f aca="false">IF($A15="","",IF(N(G79)=0,IF(N(G143)&gt;0,9.99,""),G143/G79))</f>
        <v/>
      </c>
      <c r="H15" s="21" t="str">
        <f aca="false">IF($A15="","",IF(N(H79)=0,IF(N(H143)&gt;0,9.99,""),H143/H79))</f>
        <v/>
      </c>
      <c r="I15" s="21" t="str">
        <f aca="false">IF($A15="","",IF(N(I79)=0,IF(N(I143)&gt;0,9.99,""),I143/I79))</f>
        <v/>
      </c>
      <c r="J15" s="21" t="str">
        <f aca="false">IF($A15="","",IF(N(J79)=0,IF(N(J143)&gt;0,9.99,""),J143/J79))</f>
        <v/>
      </c>
      <c r="K15" s="21" t="str">
        <f aca="false">IF($A15="","",IF(N(K79)=0,IF(N(K143)&gt;0,9.99,""),K143/K79))</f>
        <v/>
      </c>
      <c r="L15" s="21" t="str">
        <f aca="false">IF($A15="","",IF(N(L79)=0,IF(N(L143)&gt;0,9.99,""),L143/L79))</f>
        <v/>
      </c>
      <c r="M15" s="21" t="str">
        <f aca="false">IF($A15="","",IF(N(M79)=0,IF(N(M143)&gt;0,9.99,""),M143/M79))</f>
        <v/>
      </c>
      <c r="N15" s="21" t="str">
        <f aca="false">IF($A15="","",IF(N(N79)=0,IF(N(N143)&gt;0,9.99,""),N143/N79))</f>
        <v/>
      </c>
      <c r="O15" s="21" t="str">
        <f aca="false">IF($A15="","",IF(N(O79)=0,IF(N(O143)&gt;0,9.99,""),O143/O79))</f>
        <v/>
      </c>
      <c r="P15" s="21" t="str">
        <f aca="false">IF($A15="","",MAX(D15:O15))</f>
        <v/>
      </c>
      <c r="Q15" s="21" t="str">
        <f aca="false">IF(OR($A15="",N(P79)=0),"",P143/P79)</f>
        <v/>
      </c>
      <c r="R15" s="2"/>
      <c r="S15" s="2"/>
    </row>
    <row r="16" customFormat="false" ht="15" hidden="false" customHeight="false" outlineLevel="0" collapsed="false">
      <c r="A16" s="26" t="str">
        <f aca="false">IF(Team!$A15="","",Team!$A15)</f>
        <v/>
      </c>
      <c r="B16" s="26" t="str">
        <f aca="false">IF(Team!$A15="","",Team!$B15)</f>
        <v/>
      </c>
      <c r="C16" s="26" t="str">
        <f aca="false">IF(Team!$A15="","",Team!$C15)</f>
        <v/>
      </c>
      <c r="D16" s="21" t="str">
        <f aca="false">IF($A16="","",IF(N(D80)=0,IF(N(D144)&gt;0,9.99,""),D144/D80))</f>
        <v/>
      </c>
      <c r="E16" s="21" t="str">
        <f aca="false">IF($A16="","",IF(N(E80)=0,IF(N(E144)&gt;0,9.99,""),E144/E80))</f>
        <v/>
      </c>
      <c r="F16" s="21" t="str">
        <f aca="false">IF($A16="","",IF(N(F80)=0,IF(N(F144)&gt;0,9.99,""),F144/F80))</f>
        <v/>
      </c>
      <c r="G16" s="21" t="str">
        <f aca="false">IF($A16="","",IF(N(G80)=0,IF(N(G144)&gt;0,9.99,""),G144/G80))</f>
        <v/>
      </c>
      <c r="H16" s="21" t="str">
        <f aca="false">IF($A16="","",IF(N(H80)=0,IF(N(H144)&gt;0,9.99,""),H144/H80))</f>
        <v/>
      </c>
      <c r="I16" s="21" t="str">
        <f aca="false">IF($A16="","",IF(N(I80)=0,IF(N(I144)&gt;0,9.99,""),I144/I80))</f>
        <v/>
      </c>
      <c r="J16" s="21" t="str">
        <f aca="false">IF($A16="","",IF(N(J80)=0,IF(N(J144)&gt;0,9.99,""),J144/J80))</f>
        <v/>
      </c>
      <c r="K16" s="21" t="str">
        <f aca="false">IF($A16="","",IF(N(K80)=0,IF(N(K144)&gt;0,9.99,""),K144/K80))</f>
        <v/>
      </c>
      <c r="L16" s="21" t="str">
        <f aca="false">IF($A16="","",IF(N(L80)=0,IF(N(L144)&gt;0,9.99,""),L144/L80))</f>
        <v/>
      </c>
      <c r="M16" s="21" t="str">
        <f aca="false">IF($A16="","",IF(N(M80)=0,IF(N(M144)&gt;0,9.99,""),M144/M80))</f>
        <v/>
      </c>
      <c r="N16" s="21" t="str">
        <f aca="false">IF($A16="","",IF(N(N80)=0,IF(N(N144)&gt;0,9.99,""),N144/N80))</f>
        <v/>
      </c>
      <c r="O16" s="21" t="str">
        <f aca="false">IF($A16="","",IF(N(O80)=0,IF(N(O144)&gt;0,9.99,""),O144/O80))</f>
        <v/>
      </c>
      <c r="P16" s="21" t="str">
        <f aca="false">IF($A16="","",MAX(D16:O16))</f>
        <v/>
      </c>
      <c r="Q16" s="21" t="str">
        <f aca="false">IF(OR($A16="",N(P80)=0),"",P144/P80)</f>
        <v/>
      </c>
      <c r="R16" s="2"/>
      <c r="S16" s="2"/>
    </row>
    <row r="17" customFormat="false" ht="15" hidden="false" customHeight="false" outlineLevel="0" collapsed="false">
      <c r="A17" s="26" t="str">
        <f aca="false">IF(Team!$A16="","",Team!$A16)</f>
        <v/>
      </c>
      <c r="B17" s="26" t="str">
        <f aca="false">IF(Team!$A16="","",Team!$B16)</f>
        <v/>
      </c>
      <c r="C17" s="26" t="str">
        <f aca="false">IF(Team!$A16="","",Team!$C16)</f>
        <v/>
      </c>
      <c r="D17" s="21" t="str">
        <f aca="false">IF($A17="","",IF(N(D81)=0,IF(N(D145)&gt;0,9.99,""),D145/D81))</f>
        <v/>
      </c>
      <c r="E17" s="21" t="str">
        <f aca="false">IF($A17="","",IF(N(E81)=0,IF(N(E145)&gt;0,9.99,""),E145/E81))</f>
        <v/>
      </c>
      <c r="F17" s="21" t="str">
        <f aca="false">IF($A17="","",IF(N(F81)=0,IF(N(F145)&gt;0,9.99,""),F145/F81))</f>
        <v/>
      </c>
      <c r="G17" s="21" t="str">
        <f aca="false">IF($A17="","",IF(N(G81)=0,IF(N(G145)&gt;0,9.99,""),G145/G81))</f>
        <v/>
      </c>
      <c r="H17" s="21" t="str">
        <f aca="false">IF($A17="","",IF(N(H81)=0,IF(N(H145)&gt;0,9.99,""),H145/H81))</f>
        <v/>
      </c>
      <c r="I17" s="21" t="str">
        <f aca="false">IF($A17="","",IF(N(I81)=0,IF(N(I145)&gt;0,9.99,""),I145/I81))</f>
        <v/>
      </c>
      <c r="J17" s="21" t="str">
        <f aca="false">IF($A17="","",IF(N(J81)=0,IF(N(J145)&gt;0,9.99,""),J145/J81))</f>
        <v/>
      </c>
      <c r="K17" s="21" t="str">
        <f aca="false">IF($A17="","",IF(N(K81)=0,IF(N(K145)&gt;0,9.99,""),K145/K81))</f>
        <v/>
      </c>
      <c r="L17" s="21" t="str">
        <f aca="false">IF($A17="","",IF(N(L81)=0,IF(N(L145)&gt;0,9.99,""),L145/L81))</f>
        <v/>
      </c>
      <c r="M17" s="21" t="str">
        <f aca="false">IF($A17="","",IF(N(M81)=0,IF(N(M145)&gt;0,9.99,""),M145/M81))</f>
        <v/>
      </c>
      <c r="N17" s="21" t="str">
        <f aca="false">IF($A17="","",IF(N(N81)=0,IF(N(N145)&gt;0,9.99,""),N145/N81))</f>
        <v/>
      </c>
      <c r="O17" s="21" t="str">
        <f aca="false">IF($A17="","",IF(N(O81)=0,IF(N(O145)&gt;0,9.99,""),O145/O81))</f>
        <v/>
      </c>
      <c r="P17" s="21" t="str">
        <f aca="false">IF($A17="","",MAX(D17:O17))</f>
        <v/>
      </c>
      <c r="Q17" s="21" t="str">
        <f aca="false">IF(OR($A17="",N(P81)=0),"",P145/P81)</f>
        <v/>
      </c>
      <c r="R17" s="2"/>
      <c r="S17" s="2"/>
    </row>
    <row r="18" customFormat="false" ht="15" hidden="false" customHeight="false" outlineLevel="0" collapsed="false">
      <c r="A18" s="26" t="str">
        <f aca="false">IF(Team!$A17="","",Team!$A17)</f>
        <v/>
      </c>
      <c r="B18" s="26" t="str">
        <f aca="false">IF(Team!$A17="","",Team!$B17)</f>
        <v/>
      </c>
      <c r="C18" s="26" t="str">
        <f aca="false">IF(Team!$A17="","",Team!$C17)</f>
        <v/>
      </c>
      <c r="D18" s="21" t="str">
        <f aca="false">IF($A18="","",IF(N(D82)=0,IF(N(D146)&gt;0,9.99,""),D146/D82))</f>
        <v/>
      </c>
      <c r="E18" s="21" t="str">
        <f aca="false">IF($A18="","",IF(N(E82)=0,IF(N(E146)&gt;0,9.99,""),E146/E82))</f>
        <v/>
      </c>
      <c r="F18" s="21" t="str">
        <f aca="false">IF($A18="","",IF(N(F82)=0,IF(N(F146)&gt;0,9.99,""),F146/F82))</f>
        <v/>
      </c>
      <c r="G18" s="21" t="str">
        <f aca="false">IF($A18="","",IF(N(G82)=0,IF(N(G146)&gt;0,9.99,""),G146/G82))</f>
        <v/>
      </c>
      <c r="H18" s="21" t="str">
        <f aca="false">IF($A18="","",IF(N(H82)=0,IF(N(H146)&gt;0,9.99,""),H146/H82))</f>
        <v/>
      </c>
      <c r="I18" s="21" t="str">
        <f aca="false">IF($A18="","",IF(N(I82)=0,IF(N(I146)&gt;0,9.99,""),I146/I82))</f>
        <v/>
      </c>
      <c r="J18" s="21" t="str">
        <f aca="false">IF($A18="","",IF(N(J82)=0,IF(N(J146)&gt;0,9.99,""),J146/J82))</f>
        <v/>
      </c>
      <c r="K18" s="21" t="str">
        <f aca="false">IF($A18="","",IF(N(K82)=0,IF(N(K146)&gt;0,9.99,""),K146/K82))</f>
        <v/>
      </c>
      <c r="L18" s="21" t="str">
        <f aca="false">IF($A18="","",IF(N(L82)=0,IF(N(L146)&gt;0,9.99,""),L146/L82))</f>
        <v/>
      </c>
      <c r="M18" s="21" t="str">
        <f aca="false">IF($A18="","",IF(N(M82)=0,IF(N(M146)&gt;0,9.99,""),M146/M82))</f>
        <v/>
      </c>
      <c r="N18" s="21" t="str">
        <f aca="false">IF($A18="","",IF(N(N82)=0,IF(N(N146)&gt;0,9.99,""),N146/N82))</f>
        <v/>
      </c>
      <c r="O18" s="21" t="str">
        <f aca="false">IF($A18="","",IF(N(O82)=0,IF(N(O146)&gt;0,9.99,""),O146/O82))</f>
        <v/>
      </c>
      <c r="P18" s="21" t="str">
        <f aca="false">IF($A18="","",MAX(D18:O18))</f>
        <v/>
      </c>
      <c r="Q18" s="21" t="str">
        <f aca="false">IF(OR($A18="",N(P82)=0),"",P146/P82)</f>
        <v/>
      </c>
      <c r="R18" s="2"/>
      <c r="S18" s="2"/>
    </row>
    <row r="19" customFormat="false" ht="15" hidden="false" customHeight="false" outlineLevel="0" collapsed="false">
      <c r="A19" s="26" t="str">
        <f aca="false">IF(Team!$A18="","",Team!$A18)</f>
        <v/>
      </c>
      <c r="B19" s="26" t="str">
        <f aca="false">IF(Team!$A18="","",Team!$B18)</f>
        <v/>
      </c>
      <c r="C19" s="26" t="str">
        <f aca="false">IF(Team!$A18="","",Team!$C18)</f>
        <v/>
      </c>
      <c r="D19" s="21" t="str">
        <f aca="false">IF($A19="","",IF(N(D83)=0,IF(N(D147)&gt;0,9.99,""),D147/D83))</f>
        <v/>
      </c>
      <c r="E19" s="21" t="str">
        <f aca="false">IF($A19="","",IF(N(E83)=0,IF(N(E147)&gt;0,9.99,""),E147/E83))</f>
        <v/>
      </c>
      <c r="F19" s="21" t="str">
        <f aca="false">IF($A19="","",IF(N(F83)=0,IF(N(F147)&gt;0,9.99,""),F147/F83))</f>
        <v/>
      </c>
      <c r="G19" s="21" t="str">
        <f aca="false">IF($A19="","",IF(N(G83)=0,IF(N(G147)&gt;0,9.99,""),G147/G83))</f>
        <v/>
      </c>
      <c r="H19" s="21" t="str">
        <f aca="false">IF($A19="","",IF(N(H83)=0,IF(N(H147)&gt;0,9.99,""),H147/H83))</f>
        <v/>
      </c>
      <c r="I19" s="21" t="str">
        <f aca="false">IF($A19="","",IF(N(I83)=0,IF(N(I147)&gt;0,9.99,""),I147/I83))</f>
        <v/>
      </c>
      <c r="J19" s="21" t="str">
        <f aca="false">IF($A19="","",IF(N(J83)=0,IF(N(J147)&gt;0,9.99,""),J147/J83))</f>
        <v/>
      </c>
      <c r="K19" s="21" t="str">
        <f aca="false">IF($A19="","",IF(N(K83)=0,IF(N(K147)&gt;0,9.99,""),K147/K83))</f>
        <v/>
      </c>
      <c r="L19" s="21" t="str">
        <f aca="false">IF($A19="","",IF(N(L83)=0,IF(N(L147)&gt;0,9.99,""),L147/L83))</f>
        <v/>
      </c>
      <c r="M19" s="21" t="str">
        <f aca="false">IF($A19="","",IF(N(M83)=0,IF(N(M147)&gt;0,9.99,""),M147/M83))</f>
        <v/>
      </c>
      <c r="N19" s="21" t="str">
        <f aca="false">IF($A19="","",IF(N(N83)=0,IF(N(N147)&gt;0,9.99,""),N147/N83))</f>
        <v/>
      </c>
      <c r="O19" s="21" t="str">
        <f aca="false">IF($A19="","",IF(N(O83)=0,IF(N(O147)&gt;0,9.99,""),O147/O83))</f>
        <v/>
      </c>
      <c r="P19" s="21" t="str">
        <f aca="false">IF($A19="","",MAX(D19:O19))</f>
        <v/>
      </c>
      <c r="Q19" s="21" t="str">
        <f aca="false">IF(OR($A19="",N(P83)=0),"",P147/P83)</f>
        <v/>
      </c>
      <c r="R19" s="2"/>
      <c r="S19" s="2"/>
    </row>
    <row r="20" customFormat="false" ht="15" hidden="false" customHeight="false" outlineLevel="0" collapsed="false">
      <c r="A20" s="26" t="str">
        <f aca="false">IF(Team!$A19="","",Team!$A19)</f>
        <v/>
      </c>
      <c r="B20" s="26" t="str">
        <f aca="false">IF(Team!$A19="","",Team!$B19)</f>
        <v/>
      </c>
      <c r="C20" s="26" t="str">
        <f aca="false">IF(Team!$A19="","",Team!$C19)</f>
        <v/>
      </c>
      <c r="D20" s="21" t="str">
        <f aca="false">IF($A20="","",IF(N(D84)=0,IF(N(D148)&gt;0,9.99,""),D148/D84))</f>
        <v/>
      </c>
      <c r="E20" s="21" t="str">
        <f aca="false">IF($A20="","",IF(N(E84)=0,IF(N(E148)&gt;0,9.99,""),E148/E84))</f>
        <v/>
      </c>
      <c r="F20" s="21" t="str">
        <f aca="false">IF($A20="","",IF(N(F84)=0,IF(N(F148)&gt;0,9.99,""),F148/F84))</f>
        <v/>
      </c>
      <c r="G20" s="21" t="str">
        <f aca="false">IF($A20="","",IF(N(G84)=0,IF(N(G148)&gt;0,9.99,""),G148/G84))</f>
        <v/>
      </c>
      <c r="H20" s="21" t="str">
        <f aca="false">IF($A20="","",IF(N(H84)=0,IF(N(H148)&gt;0,9.99,""),H148/H84))</f>
        <v/>
      </c>
      <c r="I20" s="21" t="str">
        <f aca="false">IF($A20="","",IF(N(I84)=0,IF(N(I148)&gt;0,9.99,""),I148/I84))</f>
        <v/>
      </c>
      <c r="J20" s="21" t="str">
        <f aca="false">IF($A20="","",IF(N(J84)=0,IF(N(J148)&gt;0,9.99,""),J148/J84))</f>
        <v/>
      </c>
      <c r="K20" s="21" t="str">
        <f aca="false">IF($A20="","",IF(N(K84)=0,IF(N(K148)&gt;0,9.99,""),K148/K84))</f>
        <v/>
      </c>
      <c r="L20" s="21" t="str">
        <f aca="false">IF($A20="","",IF(N(L84)=0,IF(N(L148)&gt;0,9.99,""),L148/L84))</f>
        <v/>
      </c>
      <c r="M20" s="21" t="str">
        <f aca="false">IF($A20="","",IF(N(M84)=0,IF(N(M148)&gt;0,9.99,""),M148/M84))</f>
        <v/>
      </c>
      <c r="N20" s="21" t="str">
        <f aca="false">IF($A20="","",IF(N(N84)=0,IF(N(N148)&gt;0,9.99,""),N148/N84))</f>
        <v/>
      </c>
      <c r="O20" s="21" t="str">
        <f aca="false">IF($A20="","",IF(N(O84)=0,IF(N(O148)&gt;0,9.99,""),O148/O84))</f>
        <v/>
      </c>
      <c r="P20" s="21" t="str">
        <f aca="false">IF($A20="","",MAX(D20:O20))</f>
        <v/>
      </c>
      <c r="Q20" s="21" t="str">
        <f aca="false">IF(OR($A20="",N(P84)=0),"",P148/P84)</f>
        <v/>
      </c>
      <c r="R20" s="2"/>
      <c r="S20" s="2"/>
    </row>
    <row r="21" customFormat="false" ht="15" hidden="false" customHeight="false" outlineLevel="0" collapsed="false">
      <c r="A21" s="26" t="str">
        <f aca="false">IF(Team!$A20="","",Team!$A20)</f>
        <v/>
      </c>
      <c r="B21" s="26" t="str">
        <f aca="false">IF(Team!$A20="","",Team!$B20)</f>
        <v/>
      </c>
      <c r="C21" s="26" t="str">
        <f aca="false">IF(Team!$A20="","",Team!$C20)</f>
        <v/>
      </c>
      <c r="D21" s="21" t="str">
        <f aca="false">IF($A21="","",IF(N(D85)=0,IF(N(D149)&gt;0,9.99,""),D149/D85))</f>
        <v/>
      </c>
      <c r="E21" s="21" t="str">
        <f aca="false">IF($A21="","",IF(N(E85)=0,IF(N(E149)&gt;0,9.99,""),E149/E85))</f>
        <v/>
      </c>
      <c r="F21" s="21" t="str">
        <f aca="false">IF($A21="","",IF(N(F85)=0,IF(N(F149)&gt;0,9.99,""),F149/F85))</f>
        <v/>
      </c>
      <c r="G21" s="21" t="str">
        <f aca="false">IF($A21="","",IF(N(G85)=0,IF(N(G149)&gt;0,9.99,""),G149/G85))</f>
        <v/>
      </c>
      <c r="H21" s="21" t="str">
        <f aca="false">IF($A21="","",IF(N(H85)=0,IF(N(H149)&gt;0,9.99,""),H149/H85))</f>
        <v/>
      </c>
      <c r="I21" s="21" t="str">
        <f aca="false">IF($A21="","",IF(N(I85)=0,IF(N(I149)&gt;0,9.99,""),I149/I85))</f>
        <v/>
      </c>
      <c r="J21" s="21" t="str">
        <f aca="false">IF($A21="","",IF(N(J85)=0,IF(N(J149)&gt;0,9.99,""),J149/J85))</f>
        <v/>
      </c>
      <c r="K21" s="21" t="str">
        <f aca="false">IF($A21="","",IF(N(K85)=0,IF(N(K149)&gt;0,9.99,""),K149/K85))</f>
        <v/>
      </c>
      <c r="L21" s="21" t="str">
        <f aca="false">IF($A21="","",IF(N(L85)=0,IF(N(L149)&gt;0,9.99,""),L149/L85))</f>
        <v/>
      </c>
      <c r="M21" s="21" t="str">
        <f aca="false">IF($A21="","",IF(N(M85)=0,IF(N(M149)&gt;0,9.99,""),M149/M85))</f>
        <v/>
      </c>
      <c r="N21" s="21" t="str">
        <f aca="false">IF($A21="","",IF(N(N85)=0,IF(N(N149)&gt;0,9.99,""),N149/N85))</f>
        <v/>
      </c>
      <c r="O21" s="21" t="str">
        <f aca="false">IF($A21="","",IF(N(O85)=0,IF(N(O149)&gt;0,9.99,""),O149/O85))</f>
        <v/>
      </c>
      <c r="P21" s="21" t="str">
        <f aca="false">IF($A21="","",MAX(D21:O21))</f>
        <v/>
      </c>
      <c r="Q21" s="21" t="str">
        <f aca="false">IF(OR($A21="",N(P85)=0),"",P149/P85)</f>
        <v/>
      </c>
      <c r="R21" s="2"/>
      <c r="S21" s="2"/>
    </row>
    <row r="22" customFormat="false" ht="15" hidden="false" customHeight="false" outlineLevel="0" collapsed="false">
      <c r="A22" s="26" t="str">
        <f aca="false">IF(Team!$A21="","",Team!$A21)</f>
        <v/>
      </c>
      <c r="B22" s="26" t="str">
        <f aca="false">IF(Team!$A21="","",Team!$B21)</f>
        <v/>
      </c>
      <c r="C22" s="26" t="str">
        <f aca="false">IF(Team!$A21="","",Team!$C21)</f>
        <v/>
      </c>
      <c r="D22" s="21" t="str">
        <f aca="false">IF($A22="","",IF(N(D86)=0,IF(N(D150)&gt;0,9.99,""),D150/D86))</f>
        <v/>
      </c>
      <c r="E22" s="21" t="str">
        <f aca="false">IF($A22="","",IF(N(E86)=0,IF(N(E150)&gt;0,9.99,""),E150/E86))</f>
        <v/>
      </c>
      <c r="F22" s="21" t="str">
        <f aca="false">IF($A22="","",IF(N(F86)=0,IF(N(F150)&gt;0,9.99,""),F150/F86))</f>
        <v/>
      </c>
      <c r="G22" s="21" t="str">
        <f aca="false">IF($A22="","",IF(N(G86)=0,IF(N(G150)&gt;0,9.99,""),G150/G86))</f>
        <v/>
      </c>
      <c r="H22" s="21" t="str">
        <f aca="false">IF($A22="","",IF(N(H86)=0,IF(N(H150)&gt;0,9.99,""),H150/H86))</f>
        <v/>
      </c>
      <c r="I22" s="21" t="str">
        <f aca="false">IF($A22="","",IF(N(I86)=0,IF(N(I150)&gt;0,9.99,""),I150/I86))</f>
        <v/>
      </c>
      <c r="J22" s="21" t="str">
        <f aca="false">IF($A22="","",IF(N(J86)=0,IF(N(J150)&gt;0,9.99,""),J150/J86))</f>
        <v/>
      </c>
      <c r="K22" s="21" t="str">
        <f aca="false">IF($A22="","",IF(N(K86)=0,IF(N(K150)&gt;0,9.99,""),K150/K86))</f>
        <v/>
      </c>
      <c r="L22" s="21" t="str">
        <f aca="false">IF($A22="","",IF(N(L86)=0,IF(N(L150)&gt;0,9.99,""),L150/L86))</f>
        <v/>
      </c>
      <c r="M22" s="21" t="str">
        <f aca="false">IF($A22="","",IF(N(M86)=0,IF(N(M150)&gt;0,9.99,""),M150/M86))</f>
        <v/>
      </c>
      <c r="N22" s="21" t="str">
        <f aca="false">IF($A22="","",IF(N(N86)=0,IF(N(N150)&gt;0,9.99,""),N150/N86))</f>
        <v/>
      </c>
      <c r="O22" s="21" t="str">
        <f aca="false">IF($A22="","",IF(N(O86)=0,IF(N(O150)&gt;0,9.99,""),O150/O86))</f>
        <v/>
      </c>
      <c r="P22" s="21" t="str">
        <f aca="false">IF($A22="","",MAX(D22:O22))</f>
        <v/>
      </c>
      <c r="Q22" s="21" t="str">
        <f aca="false">IF(OR($A22="",N(P86)=0),"",P150/P86)</f>
        <v/>
      </c>
      <c r="R22" s="2"/>
      <c r="S22" s="2"/>
    </row>
    <row r="23" customFormat="false" ht="15" hidden="false" customHeight="false" outlineLevel="0" collapsed="false">
      <c r="A23" s="26" t="str">
        <f aca="false">IF(Team!$A22="","",Team!$A22)</f>
        <v/>
      </c>
      <c r="B23" s="26" t="str">
        <f aca="false">IF(Team!$A22="","",Team!$B22)</f>
        <v/>
      </c>
      <c r="C23" s="26" t="str">
        <f aca="false">IF(Team!$A22="","",Team!$C22)</f>
        <v/>
      </c>
      <c r="D23" s="21" t="str">
        <f aca="false">IF($A23="","",IF(N(D87)=0,IF(N(D151)&gt;0,9.99,""),D151/D87))</f>
        <v/>
      </c>
      <c r="E23" s="21" t="str">
        <f aca="false">IF($A23="","",IF(N(E87)=0,IF(N(E151)&gt;0,9.99,""),E151/E87))</f>
        <v/>
      </c>
      <c r="F23" s="21" t="str">
        <f aca="false">IF($A23="","",IF(N(F87)=0,IF(N(F151)&gt;0,9.99,""),F151/F87))</f>
        <v/>
      </c>
      <c r="G23" s="21" t="str">
        <f aca="false">IF($A23="","",IF(N(G87)=0,IF(N(G151)&gt;0,9.99,""),G151/G87))</f>
        <v/>
      </c>
      <c r="H23" s="21" t="str">
        <f aca="false">IF($A23="","",IF(N(H87)=0,IF(N(H151)&gt;0,9.99,""),H151/H87))</f>
        <v/>
      </c>
      <c r="I23" s="21" t="str">
        <f aca="false">IF($A23="","",IF(N(I87)=0,IF(N(I151)&gt;0,9.99,""),I151/I87))</f>
        <v/>
      </c>
      <c r="J23" s="21" t="str">
        <f aca="false">IF($A23="","",IF(N(J87)=0,IF(N(J151)&gt;0,9.99,""),J151/J87))</f>
        <v/>
      </c>
      <c r="K23" s="21" t="str">
        <f aca="false">IF($A23="","",IF(N(K87)=0,IF(N(K151)&gt;0,9.99,""),K151/K87))</f>
        <v/>
      </c>
      <c r="L23" s="21" t="str">
        <f aca="false">IF($A23="","",IF(N(L87)=0,IF(N(L151)&gt;0,9.99,""),L151/L87))</f>
        <v/>
      </c>
      <c r="M23" s="21" t="str">
        <f aca="false">IF($A23="","",IF(N(M87)=0,IF(N(M151)&gt;0,9.99,""),M151/M87))</f>
        <v/>
      </c>
      <c r="N23" s="21" t="str">
        <f aca="false">IF($A23="","",IF(N(N87)=0,IF(N(N151)&gt;0,9.99,""),N151/N87))</f>
        <v/>
      </c>
      <c r="O23" s="21" t="str">
        <f aca="false">IF($A23="","",IF(N(O87)=0,IF(N(O151)&gt;0,9.99,""),O151/O87))</f>
        <v/>
      </c>
      <c r="P23" s="21" t="str">
        <f aca="false">IF($A23="","",MAX(D23:O23))</f>
        <v/>
      </c>
      <c r="Q23" s="21" t="str">
        <f aca="false">IF(OR($A23="",N(P87)=0),"",P151/P87)</f>
        <v/>
      </c>
      <c r="R23" s="2"/>
      <c r="S23" s="2"/>
    </row>
    <row r="24" customFormat="false" ht="15" hidden="false" customHeight="false" outlineLevel="0" collapsed="false">
      <c r="A24" s="26" t="str">
        <f aca="false">IF(Team!$A23="","",Team!$A23)</f>
        <v/>
      </c>
      <c r="B24" s="26" t="str">
        <f aca="false">IF(Team!$A23="","",Team!$B23)</f>
        <v/>
      </c>
      <c r="C24" s="26" t="str">
        <f aca="false">IF(Team!$A23="","",Team!$C23)</f>
        <v/>
      </c>
      <c r="D24" s="21" t="str">
        <f aca="false">IF($A24="","",IF(N(D88)=0,IF(N(D152)&gt;0,9.99,""),D152/D88))</f>
        <v/>
      </c>
      <c r="E24" s="21" t="str">
        <f aca="false">IF($A24="","",IF(N(E88)=0,IF(N(E152)&gt;0,9.99,""),E152/E88))</f>
        <v/>
      </c>
      <c r="F24" s="21" t="str">
        <f aca="false">IF($A24="","",IF(N(F88)=0,IF(N(F152)&gt;0,9.99,""),F152/F88))</f>
        <v/>
      </c>
      <c r="G24" s="21" t="str">
        <f aca="false">IF($A24="","",IF(N(G88)=0,IF(N(G152)&gt;0,9.99,""),G152/G88))</f>
        <v/>
      </c>
      <c r="H24" s="21" t="str">
        <f aca="false">IF($A24="","",IF(N(H88)=0,IF(N(H152)&gt;0,9.99,""),H152/H88))</f>
        <v/>
      </c>
      <c r="I24" s="21" t="str">
        <f aca="false">IF($A24="","",IF(N(I88)=0,IF(N(I152)&gt;0,9.99,""),I152/I88))</f>
        <v/>
      </c>
      <c r="J24" s="21" t="str">
        <f aca="false">IF($A24="","",IF(N(J88)=0,IF(N(J152)&gt;0,9.99,""),J152/J88))</f>
        <v/>
      </c>
      <c r="K24" s="21" t="str">
        <f aca="false">IF($A24="","",IF(N(K88)=0,IF(N(K152)&gt;0,9.99,""),K152/K88))</f>
        <v/>
      </c>
      <c r="L24" s="21" t="str">
        <f aca="false">IF($A24="","",IF(N(L88)=0,IF(N(L152)&gt;0,9.99,""),L152/L88))</f>
        <v/>
      </c>
      <c r="M24" s="21" t="str">
        <f aca="false">IF($A24="","",IF(N(M88)=0,IF(N(M152)&gt;0,9.99,""),M152/M88))</f>
        <v/>
      </c>
      <c r="N24" s="21" t="str">
        <f aca="false">IF($A24="","",IF(N(N88)=0,IF(N(N152)&gt;0,9.99,""),N152/N88))</f>
        <v/>
      </c>
      <c r="O24" s="21" t="str">
        <f aca="false">IF($A24="","",IF(N(O88)=0,IF(N(O152)&gt;0,9.99,""),O152/O88))</f>
        <v/>
      </c>
      <c r="P24" s="21" t="str">
        <f aca="false">IF($A24="","",MAX(D24:O24))</f>
        <v/>
      </c>
      <c r="Q24" s="21" t="str">
        <f aca="false">IF(OR($A24="",N(P88)=0),"",P152/P88)</f>
        <v/>
      </c>
      <c r="R24" s="2"/>
      <c r="S24" s="2"/>
    </row>
    <row r="25" customFormat="false" ht="15" hidden="false" customHeight="false" outlineLevel="0" collapsed="false">
      <c r="A25" s="26" t="str">
        <f aca="false">IF(Team!$A24="","",Team!$A24)</f>
        <v/>
      </c>
      <c r="B25" s="26" t="str">
        <f aca="false">IF(Team!$A24="","",Team!$B24)</f>
        <v/>
      </c>
      <c r="C25" s="26" t="str">
        <f aca="false">IF(Team!$A24="","",Team!$C24)</f>
        <v/>
      </c>
      <c r="D25" s="21" t="str">
        <f aca="false">IF($A25="","",IF(N(D89)=0,IF(N(D153)&gt;0,9.99,""),D153/D89))</f>
        <v/>
      </c>
      <c r="E25" s="21" t="str">
        <f aca="false">IF($A25="","",IF(N(E89)=0,IF(N(E153)&gt;0,9.99,""),E153/E89))</f>
        <v/>
      </c>
      <c r="F25" s="21" t="str">
        <f aca="false">IF($A25="","",IF(N(F89)=0,IF(N(F153)&gt;0,9.99,""),F153/F89))</f>
        <v/>
      </c>
      <c r="G25" s="21" t="str">
        <f aca="false">IF($A25="","",IF(N(G89)=0,IF(N(G153)&gt;0,9.99,""),G153/G89))</f>
        <v/>
      </c>
      <c r="H25" s="21" t="str">
        <f aca="false">IF($A25="","",IF(N(H89)=0,IF(N(H153)&gt;0,9.99,""),H153/H89))</f>
        <v/>
      </c>
      <c r="I25" s="21" t="str">
        <f aca="false">IF($A25="","",IF(N(I89)=0,IF(N(I153)&gt;0,9.99,""),I153/I89))</f>
        <v/>
      </c>
      <c r="J25" s="21" t="str">
        <f aca="false">IF($A25="","",IF(N(J89)=0,IF(N(J153)&gt;0,9.99,""),J153/J89))</f>
        <v/>
      </c>
      <c r="K25" s="21" t="str">
        <f aca="false">IF($A25="","",IF(N(K89)=0,IF(N(K153)&gt;0,9.99,""),K153/K89))</f>
        <v/>
      </c>
      <c r="L25" s="21" t="str">
        <f aca="false">IF($A25="","",IF(N(L89)=0,IF(N(L153)&gt;0,9.99,""),L153/L89))</f>
        <v/>
      </c>
      <c r="M25" s="21" t="str">
        <f aca="false">IF($A25="","",IF(N(M89)=0,IF(N(M153)&gt;0,9.99,""),M153/M89))</f>
        <v/>
      </c>
      <c r="N25" s="21" t="str">
        <f aca="false">IF($A25="","",IF(N(N89)=0,IF(N(N153)&gt;0,9.99,""),N153/N89))</f>
        <v/>
      </c>
      <c r="O25" s="21" t="str">
        <f aca="false">IF($A25="","",IF(N(O89)=0,IF(N(O153)&gt;0,9.99,""),O153/O89))</f>
        <v/>
      </c>
      <c r="P25" s="21" t="str">
        <f aca="false">IF($A25="","",MAX(D25:O25))</f>
        <v/>
      </c>
      <c r="Q25" s="21" t="str">
        <f aca="false">IF(OR($A25="",N(P89)=0),"",P153/P89)</f>
        <v/>
      </c>
      <c r="R25" s="2"/>
      <c r="S25" s="2"/>
    </row>
    <row r="26" customFormat="false" ht="15" hidden="false" customHeight="false" outlineLevel="0" collapsed="false">
      <c r="A26" s="26" t="str">
        <f aca="false">IF(Team!$A25="","",Team!$A25)</f>
        <v/>
      </c>
      <c r="B26" s="26" t="str">
        <f aca="false">IF(Team!$A25="","",Team!$B25)</f>
        <v/>
      </c>
      <c r="C26" s="26" t="str">
        <f aca="false">IF(Team!$A25="","",Team!$C25)</f>
        <v/>
      </c>
      <c r="D26" s="21" t="str">
        <f aca="false">IF($A26="","",IF(N(D90)=0,IF(N(D154)&gt;0,9.99,""),D154/D90))</f>
        <v/>
      </c>
      <c r="E26" s="21" t="str">
        <f aca="false">IF($A26="","",IF(N(E90)=0,IF(N(E154)&gt;0,9.99,""),E154/E90))</f>
        <v/>
      </c>
      <c r="F26" s="21" t="str">
        <f aca="false">IF($A26="","",IF(N(F90)=0,IF(N(F154)&gt;0,9.99,""),F154/F90))</f>
        <v/>
      </c>
      <c r="G26" s="21" t="str">
        <f aca="false">IF($A26="","",IF(N(G90)=0,IF(N(G154)&gt;0,9.99,""),G154/G90))</f>
        <v/>
      </c>
      <c r="H26" s="21" t="str">
        <f aca="false">IF($A26="","",IF(N(H90)=0,IF(N(H154)&gt;0,9.99,""),H154/H90))</f>
        <v/>
      </c>
      <c r="I26" s="21" t="str">
        <f aca="false">IF($A26="","",IF(N(I90)=0,IF(N(I154)&gt;0,9.99,""),I154/I90))</f>
        <v/>
      </c>
      <c r="J26" s="21" t="str">
        <f aca="false">IF($A26="","",IF(N(J90)=0,IF(N(J154)&gt;0,9.99,""),J154/J90))</f>
        <v/>
      </c>
      <c r="K26" s="21" t="str">
        <f aca="false">IF($A26="","",IF(N(K90)=0,IF(N(K154)&gt;0,9.99,""),K154/K90))</f>
        <v/>
      </c>
      <c r="L26" s="21" t="str">
        <f aca="false">IF($A26="","",IF(N(L90)=0,IF(N(L154)&gt;0,9.99,""),L154/L90))</f>
        <v/>
      </c>
      <c r="M26" s="21" t="str">
        <f aca="false">IF($A26="","",IF(N(M90)=0,IF(N(M154)&gt;0,9.99,""),M154/M90))</f>
        <v/>
      </c>
      <c r="N26" s="21" t="str">
        <f aca="false">IF($A26="","",IF(N(N90)=0,IF(N(N154)&gt;0,9.99,""),N154/N90))</f>
        <v/>
      </c>
      <c r="O26" s="21" t="str">
        <f aca="false">IF($A26="","",IF(N(O90)=0,IF(N(O154)&gt;0,9.99,""),O154/O90))</f>
        <v/>
      </c>
      <c r="P26" s="21" t="str">
        <f aca="false">IF($A26="","",MAX(D26:O26))</f>
        <v/>
      </c>
      <c r="Q26" s="21" t="str">
        <f aca="false">IF(OR($A26="",N(P90)=0),"",P154/P90)</f>
        <v/>
      </c>
      <c r="R26" s="2"/>
      <c r="S26" s="2"/>
    </row>
    <row r="27" customFormat="false" ht="15" hidden="false" customHeight="false" outlineLevel="0" collapsed="false">
      <c r="A27" s="26" t="str">
        <f aca="false">IF(Team!$A26="","",Team!$A26)</f>
        <v/>
      </c>
      <c r="B27" s="26" t="str">
        <f aca="false">IF(Team!$A26="","",Team!$B26)</f>
        <v/>
      </c>
      <c r="C27" s="26" t="str">
        <f aca="false">IF(Team!$A26="","",Team!$C26)</f>
        <v/>
      </c>
      <c r="D27" s="21" t="str">
        <f aca="false">IF($A27="","",IF(N(D91)=0,IF(N(D155)&gt;0,9.99,""),D155/D91))</f>
        <v/>
      </c>
      <c r="E27" s="21" t="str">
        <f aca="false">IF($A27="","",IF(N(E91)=0,IF(N(E155)&gt;0,9.99,""),E155/E91))</f>
        <v/>
      </c>
      <c r="F27" s="21" t="str">
        <f aca="false">IF($A27="","",IF(N(F91)=0,IF(N(F155)&gt;0,9.99,""),F155/F91))</f>
        <v/>
      </c>
      <c r="G27" s="21" t="str">
        <f aca="false">IF($A27="","",IF(N(G91)=0,IF(N(G155)&gt;0,9.99,""),G155/G91))</f>
        <v/>
      </c>
      <c r="H27" s="21" t="str">
        <f aca="false">IF($A27="","",IF(N(H91)=0,IF(N(H155)&gt;0,9.99,""),H155/H91))</f>
        <v/>
      </c>
      <c r="I27" s="21" t="str">
        <f aca="false">IF($A27="","",IF(N(I91)=0,IF(N(I155)&gt;0,9.99,""),I155/I91))</f>
        <v/>
      </c>
      <c r="J27" s="21" t="str">
        <f aca="false">IF($A27="","",IF(N(J91)=0,IF(N(J155)&gt;0,9.99,""),J155/J91))</f>
        <v/>
      </c>
      <c r="K27" s="21" t="str">
        <f aca="false">IF($A27="","",IF(N(K91)=0,IF(N(K155)&gt;0,9.99,""),K155/K91))</f>
        <v/>
      </c>
      <c r="L27" s="21" t="str">
        <f aca="false">IF($A27="","",IF(N(L91)=0,IF(N(L155)&gt;0,9.99,""),L155/L91))</f>
        <v/>
      </c>
      <c r="M27" s="21" t="str">
        <f aca="false">IF($A27="","",IF(N(M91)=0,IF(N(M155)&gt;0,9.99,""),M155/M91))</f>
        <v/>
      </c>
      <c r="N27" s="21" t="str">
        <f aca="false">IF($A27="","",IF(N(N91)=0,IF(N(N155)&gt;0,9.99,""),N155/N91))</f>
        <v/>
      </c>
      <c r="O27" s="21" t="str">
        <f aca="false">IF($A27="","",IF(N(O91)=0,IF(N(O155)&gt;0,9.99,""),O155/O91))</f>
        <v/>
      </c>
      <c r="P27" s="21" t="str">
        <f aca="false">IF($A27="","",MAX(D27:O27))</f>
        <v/>
      </c>
      <c r="Q27" s="21" t="str">
        <f aca="false">IF(OR($A27="",N(P91)=0),"",P155/P91)</f>
        <v/>
      </c>
      <c r="R27" s="2"/>
      <c r="S27" s="2"/>
    </row>
    <row r="28" customFormat="false" ht="15" hidden="false" customHeight="false" outlineLevel="0" collapsed="false">
      <c r="A28" s="26" t="str">
        <f aca="false">IF(Team!$A27="","",Team!$A27)</f>
        <v/>
      </c>
      <c r="B28" s="26" t="str">
        <f aca="false">IF(Team!$A27="","",Team!$B27)</f>
        <v/>
      </c>
      <c r="C28" s="26" t="str">
        <f aca="false">IF(Team!$A27="","",Team!$C27)</f>
        <v/>
      </c>
      <c r="D28" s="21" t="str">
        <f aca="false">IF($A28="","",IF(N(D92)=0,IF(N(D156)&gt;0,9.99,""),D156/D92))</f>
        <v/>
      </c>
      <c r="E28" s="21" t="str">
        <f aca="false">IF($A28="","",IF(N(E92)=0,IF(N(E156)&gt;0,9.99,""),E156/E92))</f>
        <v/>
      </c>
      <c r="F28" s="21" t="str">
        <f aca="false">IF($A28="","",IF(N(F92)=0,IF(N(F156)&gt;0,9.99,""),F156/F92))</f>
        <v/>
      </c>
      <c r="G28" s="21" t="str">
        <f aca="false">IF($A28="","",IF(N(G92)=0,IF(N(G156)&gt;0,9.99,""),G156/G92))</f>
        <v/>
      </c>
      <c r="H28" s="21" t="str">
        <f aca="false">IF($A28="","",IF(N(H92)=0,IF(N(H156)&gt;0,9.99,""),H156/H92))</f>
        <v/>
      </c>
      <c r="I28" s="21" t="str">
        <f aca="false">IF($A28="","",IF(N(I92)=0,IF(N(I156)&gt;0,9.99,""),I156/I92))</f>
        <v/>
      </c>
      <c r="J28" s="21" t="str">
        <f aca="false">IF($A28="","",IF(N(J92)=0,IF(N(J156)&gt;0,9.99,""),J156/J92))</f>
        <v/>
      </c>
      <c r="K28" s="21" t="str">
        <f aca="false">IF($A28="","",IF(N(K92)=0,IF(N(K156)&gt;0,9.99,""),K156/K92))</f>
        <v/>
      </c>
      <c r="L28" s="21" t="str">
        <f aca="false">IF($A28="","",IF(N(L92)=0,IF(N(L156)&gt;0,9.99,""),L156/L92))</f>
        <v/>
      </c>
      <c r="M28" s="21" t="str">
        <f aca="false">IF($A28="","",IF(N(M92)=0,IF(N(M156)&gt;0,9.99,""),M156/M92))</f>
        <v/>
      </c>
      <c r="N28" s="21" t="str">
        <f aca="false">IF($A28="","",IF(N(N92)=0,IF(N(N156)&gt;0,9.99,""),N156/N92))</f>
        <v/>
      </c>
      <c r="O28" s="21" t="str">
        <f aca="false">IF($A28="","",IF(N(O92)=0,IF(N(O156)&gt;0,9.99,""),O156/O92))</f>
        <v/>
      </c>
      <c r="P28" s="21" t="str">
        <f aca="false">IF($A28="","",MAX(D28:O28))</f>
        <v/>
      </c>
      <c r="Q28" s="21" t="str">
        <f aca="false">IF(OR($A28="",N(P92)=0),"",P156/P92)</f>
        <v/>
      </c>
      <c r="R28" s="2"/>
      <c r="S28" s="2"/>
    </row>
    <row r="29" customFormat="false" ht="15" hidden="false" customHeight="false" outlineLevel="0" collapsed="false">
      <c r="A29" s="26" t="str">
        <f aca="false">IF(Team!$A28="","",Team!$A28)</f>
        <v/>
      </c>
      <c r="B29" s="26" t="str">
        <f aca="false">IF(Team!$A28="","",Team!$B28)</f>
        <v/>
      </c>
      <c r="C29" s="26" t="str">
        <f aca="false">IF(Team!$A28="","",Team!$C28)</f>
        <v/>
      </c>
      <c r="D29" s="21" t="str">
        <f aca="false">IF($A29="","",IF(N(D93)=0,IF(N(D157)&gt;0,9.99,""),D157/D93))</f>
        <v/>
      </c>
      <c r="E29" s="21" t="str">
        <f aca="false">IF($A29="","",IF(N(E93)=0,IF(N(E157)&gt;0,9.99,""),E157/E93))</f>
        <v/>
      </c>
      <c r="F29" s="21" t="str">
        <f aca="false">IF($A29="","",IF(N(F93)=0,IF(N(F157)&gt;0,9.99,""),F157/F93))</f>
        <v/>
      </c>
      <c r="G29" s="21" t="str">
        <f aca="false">IF($A29="","",IF(N(G93)=0,IF(N(G157)&gt;0,9.99,""),G157/G93))</f>
        <v/>
      </c>
      <c r="H29" s="21" t="str">
        <f aca="false">IF($A29="","",IF(N(H93)=0,IF(N(H157)&gt;0,9.99,""),H157/H93))</f>
        <v/>
      </c>
      <c r="I29" s="21" t="str">
        <f aca="false">IF($A29="","",IF(N(I93)=0,IF(N(I157)&gt;0,9.99,""),I157/I93))</f>
        <v/>
      </c>
      <c r="J29" s="21" t="str">
        <f aca="false">IF($A29="","",IF(N(J93)=0,IF(N(J157)&gt;0,9.99,""),J157/J93))</f>
        <v/>
      </c>
      <c r="K29" s="21" t="str">
        <f aca="false">IF($A29="","",IF(N(K93)=0,IF(N(K157)&gt;0,9.99,""),K157/K93))</f>
        <v/>
      </c>
      <c r="L29" s="21" t="str">
        <f aca="false">IF($A29="","",IF(N(L93)=0,IF(N(L157)&gt;0,9.99,""),L157/L93))</f>
        <v/>
      </c>
      <c r="M29" s="21" t="str">
        <f aca="false">IF($A29="","",IF(N(M93)=0,IF(N(M157)&gt;0,9.99,""),M157/M93))</f>
        <v/>
      </c>
      <c r="N29" s="21" t="str">
        <f aca="false">IF($A29="","",IF(N(N93)=0,IF(N(N157)&gt;0,9.99,""),N157/N93))</f>
        <v/>
      </c>
      <c r="O29" s="21" t="str">
        <f aca="false">IF($A29="","",IF(N(O93)=0,IF(N(O157)&gt;0,9.99,""),O157/O93))</f>
        <v/>
      </c>
      <c r="P29" s="21" t="str">
        <f aca="false">IF($A29="","",MAX(D29:O29))</f>
        <v/>
      </c>
      <c r="Q29" s="21" t="str">
        <f aca="false">IF(OR($A29="",N(P93)=0),"",P157/P93)</f>
        <v/>
      </c>
      <c r="R29" s="2"/>
      <c r="S29" s="2"/>
    </row>
    <row r="30" customFormat="false" ht="15" hidden="false" customHeight="false" outlineLevel="0" collapsed="false">
      <c r="A30" s="26" t="str">
        <f aca="false">IF(Team!$A29="","",Team!$A29)</f>
        <v/>
      </c>
      <c r="B30" s="26" t="str">
        <f aca="false">IF(Team!$A29="","",Team!$B29)</f>
        <v/>
      </c>
      <c r="C30" s="26" t="str">
        <f aca="false">IF(Team!$A29="","",Team!$C29)</f>
        <v/>
      </c>
      <c r="D30" s="21" t="str">
        <f aca="false">IF($A30="","",IF(N(D94)=0,IF(N(D158)&gt;0,9.99,""),D158/D94))</f>
        <v/>
      </c>
      <c r="E30" s="21" t="str">
        <f aca="false">IF($A30="","",IF(N(E94)=0,IF(N(E158)&gt;0,9.99,""),E158/E94))</f>
        <v/>
      </c>
      <c r="F30" s="21" t="str">
        <f aca="false">IF($A30="","",IF(N(F94)=0,IF(N(F158)&gt;0,9.99,""),F158/F94))</f>
        <v/>
      </c>
      <c r="G30" s="21" t="str">
        <f aca="false">IF($A30="","",IF(N(G94)=0,IF(N(G158)&gt;0,9.99,""),G158/G94))</f>
        <v/>
      </c>
      <c r="H30" s="21" t="str">
        <f aca="false">IF($A30="","",IF(N(H94)=0,IF(N(H158)&gt;0,9.99,""),H158/H94))</f>
        <v/>
      </c>
      <c r="I30" s="21" t="str">
        <f aca="false">IF($A30="","",IF(N(I94)=0,IF(N(I158)&gt;0,9.99,""),I158/I94))</f>
        <v/>
      </c>
      <c r="J30" s="21" t="str">
        <f aca="false">IF($A30="","",IF(N(J94)=0,IF(N(J158)&gt;0,9.99,""),J158/J94))</f>
        <v/>
      </c>
      <c r="K30" s="21" t="str">
        <f aca="false">IF($A30="","",IF(N(K94)=0,IF(N(K158)&gt;0,9.99,""),K158/K94))</f>
        <v/>
      </c>
      <c r="L30" s="21" t="str">
        <f aca="false">IF($A30="","",IF(N(L94)=0,IF(N(L158)&gt;0,9.99,""),L158/L94))</f>
        <v/>
      </c>
      <c r="M30" s="21" t="str">
        <f aca="false">IF($A30="","",IF(N(M94)=0,IF(N(M158)&gt;0,9.99,""),M158/M94))</f>
        <v/>
      </c>
      <c r="N30" s="21" t="str">
        <f aca="false">IF($A30="","",IF(N(N94)=0,IF(N(N158)&gt;0,9.99,""),N158/N94))</f>
        <v/>
      </c>
      <c r="O30" s="21" t="str">
        <f aca="false">IF($A30="","",IF(N(O94)=0,IF(N(O158)&gt;0,9.99,""),O158/O94))</f>
        <v/>
      </c>
      <c r="P30" s="21" t="str">
        <f aca="false">IF($A30="","",MAX(D30:O30))</f>
        <v/>
      </c>
      <c r="Q30" s="21" t="str">
        <f aca="false">IF(OR($A30="",N(P94)=0),"",P158/P94)</f>
        <v/>
      </c>
      <c r="R30" s="2"/>
      <c r="S30" s="2"/>
    </row>
    <row r="31" customFormat="false" ht="15" hidden="false" customHeight="false" outlineLevel="0" collapsed="false">
      <c r="A31" s="26" t="str">
        <f aca="false">IF(Team!$A30="","",Team!$A30)</f>
        <v/>
      </c>
      <c r="B31" s="26" t="str">
        <f aca="false">IF(Team!$A30="","",Team!$B30)</f>
        <v/>
      </c>
      <c r="C31" s="26" t="str">
        <f aca="false">IF(Team!$A30="","",Team!$C30)</f>
        <v/>
      </c>
      <c r="D31" s="21" t="str">
        <f aca="false">IF($A31="","",IF(N(D95)=0,IF(N(D159)&gt;0,9.99,""),D159/D95))</f>
        <v/>
      </c>
      <c r="E31" s="21" t="str">
        <f aca="false">IF($A31="","",IF(N(E95)=0,IF(N(E159)&gt;0,9.99,""),E159/E95))</f>
        <v/>
      </c>
      <c r="F31" s="21" t="str">
        <f aca="false">IF($A31="","",IF(N(F95)=0,IF(N(F159)&gt;0,9.99,""),F159/F95))</f>
        <v/>
      </c>
      <c r="G31" s="21" t="str">
        <f aca="false">IF($A31="","",IF(N(G95)=0,IF(N(G159)&gt;0,9.99,""),G159/G95))</f>
        <v/>
      </c>
      <c r="H31" s="21" t="str">
        <f aca="false">IF($A31="","",IF(N(H95)=0,IF(N(H159)&gt;0,9.99,""),H159/H95))</f>
        <v/>
      </c>
      <c r="I31" s="21" t="str">
        <f aca="false">IF($A31="","",IF(N(I95)=0,IF(N(I159)&gt;0,9.99,""),I159/I95))</f>
        <v/>
      </c>
      <c r="J31" s="21" t="str">
        <f aca="false">IF($A31="","",IF(N(J95)=0,IF(N(J159)&gt;0,9.99,""),J159/J95))</f>
        <v/>
      </c>
      <c r="K31" s="21" t="str">
        <f aca="false">IF($A31="","",IF(N(K95)=0,IF(N(K159)&gt;0,9.99,""),K159/K95))</f>
        <v/>
      </c>
      <c r="L31" s="21" t="str">
        <f aca="false">IF($A31="","",IF(N(L95)=0,IF(N(L159)&gt;0,9.99,""),L159/L95))</f>
        <v/>
      </c>
      <c r="M31" s="21" t="str">
        <f aca="false">IF($A31="","",IF(N(M95)=0,IF(N(M159)&gt;0,9.99,""),M159/M95))</f>
        <v/>
      </c>
      <c r="N31" s="21" t="str">
        <f aca="false">IF($A31="","",IF(N(N95)=0,IF(N(N159)&gt;0,9.99,""),N159/N95))</f>
        <v/>
      </c>
      <c r="O31" s="21" t="str">
        <f aca="false">IF($A31="","",IF(N(O95)=0,IF(N(O159)&gt;0,9.99,""),O159/O95))</f>
        <v/>
      </c>
      <c r="P31" s="21" t="str">
        <f aca="false">IF($A31="","",MAX(D31:O31))</f>
        <v/>
      </c>
      <c r="Q31" s="21" t="str">
        <f aca="false">IF(OR($A31="",N(P95)=0),"",P159/P95)</f>
        <v/>
      </c>
      <c r="R31" s="2"/>
      <c r="S31" s="2"/>
    </row>
    <row r="32" customFormat="false" ht="15" hidden="false" customHeight="false" outlineLevel="0" collapsed="false">
      <c r="A32" s="26" t="str">
        <f aca="false">IF(Team!$A31="","",Team!$A31)</f>
        <v/>
      </c>
      <c r="B32" s="26" t="str">
        <f aca="false">IF(Team!$A31="","",Team!$B31)</f>
        <v/>
      </c>
      <c r="C32" s="26" t="str">
        <f aca="false">IF(Team!$A31="","",Team!$C31)</f>
        <v/>
      </c>
      <c r="D32" s="21" t="str">
        <f aca="false">IF($A32="","",IF(N(D96)=0,IF(N(D160)&gt;0,9.99,""),D160/D96))</f>
        <v/>
      </c>
      <c r="E32" s="21" t="str">
        <f aca="false">IF($A32="","",IF(N(E96)=0,IF(N(E160)&gt;0,9.99,""),E160/E96))</f>
        <v/>
      </c>
      <c r="F32" s="21" t="str">
        <f aca="false">IF($A32="","",IF(N(F96)=0,IF(N(F160)&gt;0,9.99,""),F160/F96))</f>
        <v/>
      </c>
      <c r="G32" s="21" t="str">
        <f aca="false">IF($A32="","",IF(N(G96)=0,IF(N(G160)&gt;0,9.99,""),G160/G96))</f>
        <v/>
      </c>
      <c r="H32" s="21" t="str">
        <f aca="false">IF($A32="","",IF(N(H96)=0,IF(N(H160)&gt;0,9.99,""),H160/H96))</f>
        <v/>
      </c>
      <c r="I32" s="21" t="str">
        <f aca="false">IF($A32="","",IF(N(I96)=0,IF(N(I160)&gt;0,9.99,""),I160/I96))</f>
        <v/>
      </c>
      <c r="J32" s="21" t="str">
        <f aca="false">IF($A32="","",IF(N(J96)=0,IF(N(J160)&gt;0,9.99,""),J160/J96))</f>
        <v/>
      </c>
      <c r="K32" s="21" t="str">
        <f aca="false">IF($A32="","",IF(N(K96)=0,IF(N(K160)&gt;0,9.99,""),K160/K96))</f>
        <v/>
      </c>
      <c r="L32" s="21" t="str">
        <f aca="false">IF($A32="","",IF(N(L96)=0,IF(N(L160)&gt;0,9.99,""),L160/L96))</f>
        <v/>
      </c>
      <c r="M32" s="21" t="str">
        <f aca="false">IF($A32="","",IF(N(M96)=0,IF(N(M160)&gt;0,9.99,""),M160/M96))</f>
        <v/>
      </c>
      <c r="N32" s="21" t="str">
        <f aca="false">IF($A32="","",IF(N(N96)=0,IF(N(N160)&gt;0,9.99,""),N160/N96))</f>
        <v/>
      </c>
      <c r="O32" s="21" t="str">
        <f aca="false">IF($A32="","",IF(N(O96)=0,IF(N(O160)&gt;0,9.99,""),O160/O96))</f>
        <v/>
      </c>
      <c r="P32" s="21" t="str">
        <f aca="false">IF($A32="","",MAX(D32:O32))</f>
        <v/>
      </c>
      <c r="Q32" s="21" t="str">
        <f aca="false">IF(OR($A32="",N(P96)=0),"",P160/P96)</f>
        <v/>
      </c>
      <c r="R32" s="2"/>
      <c r="S32" s="2"/>
    </row>
    <row r="33" customFormat="false" ht="15" hidden="false" customHeight="false" outlineLevel="0" collapsed="false">
      <c r="A33" s="26" t="str">
        <f aca="false">IF(Team!$A32="","",Team!$A32)</f>
        <v/>
      </c>
      <c r="B33" s="26" t="str">
        <f aca="false">IF(Team!$A32="","",Team!$B32)</f>
        <v/>
      </c>
      <c r="C33" s="26" t="str">
        <f aca="false">IF(Team!$A32="","",Team!$C32)</f>
        <v/>
      </c>
      <c r="D33" s="21" t="str">
        <f aca="false">IF($A33="","",IF(N(D97)=0,IF(N(D161)&gt;0,9.99,""),D161/D97))</f>
        <v/>
      </c>
      <c r="E33" s="21" t="str">
        <f aca="false">IF($A33="","",IF(N(E97)=0,IF(N(E161)&gt;0,9.99,""),E161/E97))</f>
        <v/>
      </c>
      <c r="F33" s="21" t="str">
        <f aca="false">IF($A33="","",IF(N(F97)=0,IF(N(F161)&gt;0,9.99,""),F161/F97))</f>
        <v/>
      </c>
      <c r="G33" s="21" t="str">
        <f aca="false">IF($A33="","",IF(N(G97)=0,IF(N(G161)&gt;0,9.99,""),G161/G97))</f>
        <v/>
      </c>
      <c r="H33" s="21" t="str">
        <f aca="false">IF($A33="","",IF(N(H97)=0,IF(N(H161)&gt;0,9.99,""),H161/H97))</f>
        <v/>
      </c>
      <c r="I33" s="21" t="str">
        <f aca="false">IF($A33="","",IF(N(I97)=0,IF(N(I161)&gt;0,9.99,""),I161/I97))</f>
        <v/>
      </c>
      <c r="J33" s="21" t="str">
        <f aca="false">IF($A33="","",IF(N(J97)=0,IF(N(J161)&gt;0,9.99,""),J161/J97))</f>
        <v/>
      </c>
      <c r="K33" s="21" t="str">
        <f aca="false">IF($A33="","",IF(N(K97)=0,IF(N(K161)&gt;0,9.99,""),K161/K97))</f>
        <v/>
      </c>
      <c r="L33" s="21" t="str">
        <f aca="false">IF($A33="","",IF(N(L97)=0,IF(N(L161)&gt;0,9.99,""),L161/L97))</f>
        <v/>
      </c>
      <c r="M33" s="21" t="str">
        <f aca="false">IF($A33="","",IF(N(M97)=0,IF(N(M161)&gt;0,9.99,""),M161/M97))</f>
        <v/>
      </c>
      <c r="N33" s="21" t="str">
        <f aca="false">IF($A33="","",IF(N(N97)=0,IF(N(N161)&gt;0,9.99,""),N161/N97))</f>
        <v/>
      </c>
      <c r="O33" s="21" t="str">
        <f aca="false">IF($A33="","",IF(N(O97)=0,IF(N(O161)&gt;0,9.99,""),O161/O97))</f>
        <v/>
      </c>
      <c r="P33" s="21" t="str">
        <f aca="false">IF($A33="","",MAX(D33:O33))</f>
        <v/>
      </c>
      <c r="Q33" s="21" t="str">
        <f aca="false">IF(OR($A33="",N(P97)=0),"",P161/P97)</f>
        <v/>
      </c>
      <c r="R33" s="2"/>
      <c r="S33" s="2"/>
    </row>
    <row r="34" customFormat="false" ht="15" hidden="false" customHeight="false" outlineLevel="0" collapsed="false">
      <c r="A34" s="26" t="str">
        <f aca="false">IF(Team!$A33="","",Team!$A33)</f>
        <v/>
      </c>
      <c r="B34" s="26" t="str">
        <f aca="false">IF(Team!$A33="","",Team!$B33)</f>
        <v/>
      </c>
      <c r="C34" s="26" t="str">
        <f aca="false">IF(Team!$A33="","",Team!$C33)</f>
        <v/>
      </c>
      <c r="D34" s="21" t="str">
        <f aca="false">IF($A34="","",IF(N(D98)=0,IF(N(D162)&gt;0,9.99,""),D162/D98))</f>
        <v/>
      </c>
      <c r="E34" s="21" t="str">
        <f aca="false">IF($A34="","",IF(N(E98)=0,IF(N(E162)&gt;0,9.99,""),E162/E98))</f>
        <v/>
      </c>
      <c r="F34" s="21" t="str">
        <f aca="false">IF($A34="","",IF(N(F98)=0,IF(N(F162)&gt;0,9.99,""),F162/F98))</f>
        <v/>
      </c>
      <c r="G34" s="21" t="str">
        <f aca="false">IF($A34="","",IF(N(G98)=0,IF(N(G162)&gt;0,9.99,""),G162/G98))</f>
        <v/>
      </c>
      <c r="H34" s="21" t="str">
        <f aca="false">IF($A34="","",IF(N(H98)=0,IF(N(H162)&gt;0,9.99,""),H162/H98))</f>
        <v/>
      </c>
      <c r="I34" s="21" t="str">
        <f aca="false">IF($A34="","",IF(N(I98)=0,IF(N(I162)&gt;0,9.99,""),I162/I98))</f>
        <v/>
      </c>
      <c r="J34" s="21" t="str">
        <f aca="false">IF($A34="","",IF(N(J98)=0,IF(N(J162)&gt;0,9.99,""),J162/J98))</f>
        <v/>
      </c>
      <c r="K34" s="21" t="str">
        <f aca="false">IF($A34="","",IF(N(K98)=0,IF(N(K162)&gt;0,9.99,""),K162/K98))</f>
        <v/>
      </c>
      <c r="L34" s="21" t="str">
        <f aca="false">IF($A34="","",IF(N(L98)=0,IF(N(L162)&gt;0,9.99,""),L162/L98))</f>
        <v/>
      </c>
      <c r="M34" s="21" t="str">
        <f aca="false">IF($A34="","",IF(N(M98)=0,IF(N(M162)&gt;0,9.99,""),M162/M98))</f>
        <v/>
      </c>
      <c r="N34" s="21" t="str">
        <f aca="false">IF($A34="","",IF(N(N98)=0,IF(N(N162)&gt;0,9.99,""),N162/N98))</f>
        <v/>
      </c>
      <c r="O34" s="21" t="str">
        <f aca="false">IF($A34="","",IF(N(O98)=0,IF(N(O162)&gt;0,9.99,""),O162/O98))</f>
        <v/>
      </c>
      <c r="P34" s="21" t="str">
        <f aca="false">IF($A34="","",MAX(D34:O34))</f>
        <v/>
      </c>
      <c r="Q34" s="21" t="str">
        <f aca="false">IF(OR($A34="",N(P98)=0),"",P162/P98)</f>
        <v/>
      </c>
      <c r="R34" s="2"/>
      <c r="S34" s="2"/>
    </row>
    <row r="35" customFormat="false" ht="15" hidden="false" customHeight="false" outlineLevel="0" collapsed="false">
      <c r="A35" s="26" t="str">
        <f aca="false">IF(Team!$A34="","",Team!$A34)</f>
        <v/>
      </c>
      <c r="B35" s="26" t="str">
        <f aca="false">IF(Team!$A34="","",Team!$B34)</f>
        <v/>
      </c>
      <c r="C35" s="26" t="str">
        <f aca="false">IF(Team!$A34="","",Team!$C34)</f>
        <v/>
      </c>
      <c r="D35" s="21" t="str">
        <f aca="false">IF($A35="","",IF(N(D99)=0,IF(N(D163)&gt;0,9.99,""),D163/D99))</f>
        <v/>
      </c>
      <c r="E35" s="21" t="str">
        <f aca="false">IF($A35="","",IF(N(E99)=0,IF(N(E163)&gt;0,9.99,""),E163/E99))</f>
        <v/>
      </c>
      <c r="F35" s="21" t="str">
        <f aca="false">IF($A35="","",IF(N(F99)=0,IF(N(F163)&gt;0,9.99,""),F163/F99))</f>
        <v/>
      </c>
      <c r="G35" s="21" t="str">
        <f aca="false">IF($A35="","",IF(N(G99)=0,IF(N(G163)&gt;0,9.99,""),G163/G99))</f>
        <v/>
      </c>
      <c r="H35" s="21" t="str">
        <f aca="false">IF($A35="","",IF(N(H99)=0,IF(N(H163)&gt;0,9.99,""),H163/H99))</f>
        <v/>
      </c>
      <c r="I35" s="21" t="str">
        <f aca="false">IF($A35="","",IF(N(I99)=0,IF(N(I163)&gt;0,9.99,""),I163/I99))</f>
        <v/>
      </c>
      <c r="J35" s="21" t="str">
        <f aca="false">IF($A35="","",IF(N(J99)=0,IF(N(J163)&gt;0,9.99,""),J163/J99))</f>
        <v/>
      </c>
      <c r="K35" s="21" t="str">
        <f aca="false">IF($A35="","",IF(N(K99)=0,IF(N(K163)&gt;0,9.99,""),K163/K99))</f>
        <v/>
      </c>
      <c r="L35" s="21" t="str">
        <f aca="false">IF($A35="","",IF(N(L99)=0,IF(N(L163)&gt;0,9.99,""),L163/L99))</f>
        <v/>
      </c>
      <c r="M35" s="21" t="str">
        <f aca="false">IF($A35="","",IF(N(M99)=0,IF(N(M163)&gt;0,9.99,""),M163/M99))</f>
        <v/>
      </c>
      <c r="N35" s="21" t="str">
        <f aca="false">IF($A35="","",IF(N(N99)=0,IF(N(N163)&gt;0,9.99,""),N163/N99))</f>
        <v/>
      </c>
      <c r="O35" s="21" t="str">
        <f aca="false">IF($A35="","",IF(N(O99)=0,IF(N(O163)&gt;0,9.99,""),O163/O99))</f>
        <v/>
      </c>
      <c r="P35" s="21" t="str">
        <f aca="false">IF($A35="","",MAX(D35:O35))</f>
        <v/>
      </c>
      <c r="Q35" s="21" t="str">
        <f aca="false">IF(OR($A35="",N(P99)=0),"",P163/P99)</f>
        <v/>
      </c>
      <c r="R35" s="2"/>
      <c r="S35" s="2"/>
    </row>
    <row r="36" customFormat="false" ht="15" hidden="false" customHeight="false" outlineLevel="0" collapsed="false">
      <c r="A36" s="26" t="str">
        <f aca="false">IF(Team!$A35="","",Team!$A35)</f>
        <v/>
      </c>
      <c r="B36" s="26" t="str">
        <f aca="false">IF(Team!$A35="","",Team!$B35)</f>
        <v/>
      </c>
      <c r="C36" s="26" t="str">
        <f aca="false">IF(Team!$A35="","",Team!$C35)</f>
        <v/>
      </c>
      <c r="D36" s="21" t="str">
        <f aca="false">IF($A36="","",IF(N(D100)=0,IF(N(D164)&gt;0,9.99,""),D164/D100))</f>
        <v/>
      </c>
      <c r="E36" s="21" t="str">
        <f aca="false">IF($A36="","",IF(N(E100)=0,IF(N(E164)&gt;0,9.99,""),E164/E100))</f>
        <v/>
      </c>
      <c r="F36" s="21" t="str">
        <f aca="false">IF($A36="","",IF(N(F100)=0,IF(N(F164)&gt;0,9.99,""),F164/F100))</f>
        <v/>
      </c>
      <c r="G36" s="21" t="str">
        <f aca="false">IF($A36="","",IF(N(G100)=0,IF(N(G164)&gt;0,9.99,""),G164/G100))</f>
        <v/>
      </c>
      <c r="H36" s="21" t="str">
        <f aca="false">IF($A36="","",IF(N(H100)=0,IF(N(H164)&gt;0,9.99,""),H164/H100))</f>
        <v/>
      </c>
      <c r="I36" s="21" t="str">
        <f aca="false">IF($A36="","",IF(N(I100)=0,IF(N(I164)&gt;0,9.99,""),I164/I100))</f>
        <v/>
      </c>
      <c r="J36" s="21" t="str">
        <f aca="false">IF($A36="","",IF(N(J100)=0,IF(N(J164)&gt;0,9.99,""),J164/J100))</f>
        <v/>
      </c>
      <c r="K36" s="21" t="str">
        <f aca="false">IF($A36="","",IF(N(K100)=0,IF(N(K164)&gt;0,9.99,""),K164/K100))</f>
        <v/>
      </c>
      <c r="L36" s="21" t="str">
        <f aca="false">IF($A36="","",IF(N(L100)=0,IF(N(L164)&gt;0,9.99,""),L164/L100))</f>
        <v/>
      </c>
      <c r="M36" s="21" t="str">
        <f aca="false">IF($A36="","",IF(N(M100)=0,IF(N(M164)&gt;0,9.99,""),M164/M100))</f>
        <v/>
      </c>
      <c r="N36" s="21" t="str">
        <f aca="false">IF($A36="","",IF(N(N100)=0,IF(N(N164)&gt;0,9.99,""),N164/N100))</f>
        <v/>
      </c>
      <c r="O36" s="21" t="str">
        <f aca="false">IF($A36="","",IF(N(O100)=0,IF(N(O164)&gt;0,9.99,""),O164/O100))</f>
        <v/>
      </c>
      <c r="P36" s="21" t="str">
        <f aca="false">IF($A36="","",MAX(D36:O36))</f>
        <v/>
      </c>
      <c r="Q36" s="21" t="str">
        <f aca="false">IF(OR($A36="",N(P100)=0),"",P164/P100)</f>
        <v/>
      </c>
      <c r="R36" s="2"/>
      <c r="S36" s="2"/>
    </row>
    <row r="37" customFormat="false" ht="15" hidden="false" customHeight="false" outlineLevel="0" collapsed="false">
      <c r="A37" s="26" t="str">
        <f aca="false">IF(Team!$A36="","",Team!$A36)</f>
        <v/>
      </c>
      <c r="B37" s="26" t="str">
        <f aca="false">IF(Team!$A36="","",Team!$B36)</f>
        <v/>
      </c>
      <c r="C37" s="26" t="str">
        <f aca="false">IF(Team!$A36="","",Team!$C36)</f>
        <v/>
      </c>
      <c r="D37" s="21" t="str">
        <f aca="false">IF($A37="","",IF(N(D101)=0,IF(N(D165)&gt;0,9.99,""),D165/D101))</f>
        <v/>
      </c>
      <c r="E37" s="21" t="str">
        <f aca="false">IF($A37="","",IF(N(E101)=0,IF(N(E165)&gt;0,9.99,""),E165/E101))</f>
        <v/>
      </c>
      <c r="F37" s="21" t="str">
        <f aca="false">IF($A37="","",IF(N(F101)=0,IF(N(F165)&gt;0,9.99,""),F165/F101))</f>
        <v/>
      </c>
      <c r="G37" s="21" t="str">
        <f aca="false">IF($A37="","",IF(N(G101)=0,IF(N(G165)&gt;0,9.99,""),G165/G101))</f>
        <v/>
      </c>
      <c r="H37" s="21" t="str">
        <f aca="false">IF($A37="","",IF(N(H101)=0,IF(N(H165)&gt;0,9.99,""),H165/H101))</f>
        <v/>
      </c>
      <c r="I37" s="21" t="str">
        <f aca="false">IF($A37="","",IF(N(I101)=0,IF(N(I165)&gt;0,9.99,""),I165/I101))</f>
        <v/>
      </c>
      <c r="J37" s="21" t="str">
        <f aca="false">IF($A37="","",IF(N(J101)=0,IF(N(J165)&gt;0,9.99,""),J165/J101))</f>
        <v/>
      </c>
      <c r="K37" s="21" t="str">
        <f aca="false">IF($A37="","",IF(N(K101)=0,IF(N(K165)&gt;0,9.99,""),K165/K101))</f>
        <v/>
      </c>
      <c r="L37" s="21" t="str">
        <f aca="false">IF($A37="","",IF(N(L101)=0,IF(N(L165)&gt;0,9.99,""),L165/L101))</f>
        <v/>
      </c>
      <c r="M37" s="21" t="str">
        <f aca="false">IF($A37="","",IF(N(M101)=0,IF(N(M165)&gt;0,9.99,""),M165/M101))</f>
        <v/>
      </c>
      <c r="N37" s="21" t="str">
        <f aca="false">IF($A37="","",IF(N(N101)=0,IF(N(N165)&gt;0,9.99,""),N165/N101))</f>
        <v/>
      </c>
      <c r="O37" s="21" t="str">
        <f aca="false">IF($A37="","",IF(N(O101)=0,IF(N(O165)&gt;0,9.99,""),O165/O101))</f>
        <v/>
      </c>
      <c r="P37" s="21" t="str">
        <f aca="false">IF($A37="","",MAX(D37:O37))</f>
        <v/>
      </c>
      <c r="Q37" s="21" t="str">
        <f aca="false">IF(OR($A37="",N(P101)=0),"",P165/P101)</f>
        <v/>
      </c>
      <c r="R37" s="2"/>
      <c r="S37" s="2"/>
    </row>
    <row r="38" customFormat="false" ht="15" hidden="false" customHeight="false" outlineLevel="0" collapsed="false">
      <c r="A38" s="26" t="str">
        <f aca="false">IF(Team!$A37="","",Team!$A37)</f>
        <v/>
      </c>
      <c r="B38" s="26" t="str">
        <f aca="false">IF(Team!$A37="","",Team!$B37)</f>
        <v/>
      </c>
      <c r="C38" s="26" t="str">
        <f aca="false">IF(Team!$A37="","",Team!$C37)</f>
        <v/>
      </c>
      <c r="D38" s="21" t="str">
        <f aca="false">IF($A38="","",IF(N(D102)=0,IF(N(D166)&gt;0,9.99,""),D166/D102))</f>
        <v/>
      </c>
      <c r="E38" s="21" t="str">
        <f aca="false">IF($A38="","",IF(N(E102)=0,IF(N(E166)&gt;0,9.99,""),E166/E102))</f>
        <v/>
      </c>
      <c r="F38" s="21" t="str">
        <f aca="false">IF($A38="","",IF(N(F102)=0,IF(N(F166)&gt;0,9.99,""),F166/F102))</f>
        <v/>
      </c>
      <c r="G38" s="21" t="str">
        <f aca="false">IF($A38="","",IF(N(G102)=0,IF(N(G166)&gt;0,9.99,""),G166/G102))</f>
        <v/>
      </c>
      <c r="H38" s="21" t="str">
        <f aca="false">IF($A38="","",IF(N(H102)=0,IF(N(H166)&gt;0,9.99,""),H166/H102))</f>
        <v/>
      </c>
      <c r="I38" s="21" t="str">
        <f aca="false">IF($A38="","",IF(N(I102)=0,IF(N(I166)&gt;0,9.99,""),I166/I102))</f>
        <v/>
      </c>
      <c r="J38" s="21" t="str">
        <f aca="false">IF($A38="","",IF(N(J102)=0,IF(N(J166)&gt;0,9.99,""),J166/J102))</f>
        <v/>
      </c>
      <c r="K38" s="21" t="str">
        <f aca="false">IF($A38="","",IF(N(K102)=0,IF(N(K166)&gt;0,9.99,""),K166/K102))</f>
        <v/>
      </c>
      <c r="L38" s="21" t="str">
        <f aca="false">IF($A38="","",IF(N(L102)=0,IF(N(L166)&gt;0,9.99,""),L166/L102))</f>
        <v/>
      </c>
      <c r="M38" s="21" t="str">
        <f aca="false">IF($A38="","",IF(N(M102)=0,IF(N(M166)&gt;0,9.99,""),M166/M102))</f>
        <v/>
      </c>
      <c r="N38" s="21" t="str">
        <f aca="false">IF($A38="","",IF(N(N102)=0,IF(N(N166)&gt;0,9.99,""),N166/N102))</f>
        <v/>
      </c>
      <c r="O38" s="21" t="str">
        <f aca="false">IF($A38="","",IF(N(O102)=0,IF(N(O166)&gt;0,9.99,""),O166/O102))</f>
        <v/>
      </c>
      <c r="P38" s="21" t="str">
        <f aca="false">IF($A38="","",MAX(D38:O38))</f>
        <v/>
      </c>
      <c r="Q38" s="21" t="str">
        <f aca="false">IF(OR($A38="",N(P102)=0),"",P166/P102)</f>
        <v/>
      </c>
      <c r="R38" s="2"/>
      <c r="S38" s="2"/>
    </row>
    <row r="39" customFormat="false" ht="15" hidden="false" customHeight="false" outlineLevel="0" collapsed="false">
      <c r="A39" s="26" t="str">
        <f aca="false">IF(Team!$A38="","",Team!$A38)</f>
        <v/>
      </c>
      <c r="B39" s="26" t="str">
        <f aca="false">IF(Team!$A38="","",Team!$B38)</f>
        <v/>
      </c>
      <c r="C39" s="26" t="str">
        <f aca="false">IF(Team!$A38="","",Team!$C38)</f>
        <v/>
      </c>
      <c r="D39" s="21" t="str">
        <f aca="false">IF($A39="","",IF(N(D103)=0,IF(N(D167)&gt;0,9.99,""),D167/D103))</f>
        <v/>
      </c>
      <c r="E39" s="21" t="str">
        <f aca="false">IF($A39="","",IF(N(E103)=0,IF(N(E167)&gt;0,9.99,""),E167/E103))</f>
        <v/>
      </c>
      <c r="F39" s="21" t="str">
        <f aca="false">IF($A39="","",IF(N(F103)=0,IF(N(F167)&gt;0,9.99,""),F167/F103))</f>
        <v/>
      </c>
      <c r="G39" s="21" t="str">
        <f aca="false">IF($A39="","",IF(N(G103)=0,IF(N(G167)&gt;0,9.99,""),G167/G103))</f>
        <v/>
      </c>
      <c r="H39" s="21" t="str">
        <f aca="false">IF($A39="","",IF(N(H103)=0,IF(N(H167)&gt;0,9.99,""),H167/H103))</f>
        <v/>
      </c>
      <c r="I39" s="21" t="str">
        <f aca="false">IF($A39="","",IF(N(I103)=0,IF(N(I167)&gt;0,9.99,""),I167/I103))</f>
        <v/>
      </c>
      <c r="J39" s="21" t="str">
        <f aca="false">IF($A39="","",IF(N(J103)=0,IF(N(J167)&gt;0,9.99,""),J167/J103))</f>
        <v/>
      </c>
      <c r="K39" s="21" t="str">
        <f aca="false">IF($A39="","",IF(N(K103)=0,IF(N(K167)&gt;0,9.99,""),K167/K103))</f>
        <v/>
      </c>
      <c r="L39" s="21" t="str">
        <f aca="false">IF($A39="","",IF(N(L103)=0,IF(N(L167)&gt;0,9.99,""),L167/L103))</f>
        <v/>
      </c>
      <c r="M39" s="21" t="str">
        <f aca="false">IF($A39="","",IF(N(M103)=0,IF(N(M167)&gt;0,9.99,""),M167/M103))</f>
        <v/>
      </c>
      <c r="N39" s="21" t="str">
        <f aca="false">IF($A39="","",IF(N(N103)=0,IF(N(N167)&gt;0,9.99,""),N167/N103))</f>
        <v/>
      </c>
      <c r="O39" s="21" t="str">
        <f aca="false">IF($A39="","",IF(N(O103)=0,IF(N(O167)&gt;0,9.99,""),O167/O103))</f>
        <v/>
      </c>
      <c r="P39" s="21" t="str">
        <f aca="false">IF($A39="","",MAX(D39:O39))</f>
        <v/>
      </c>
      <c r="Q39" s="21" t="str">
        <f aca="false">IF(OR($A39="",N(P103)=0),"",P167/P103)</f>
        <v/>
      </c>
      <c r="R39" s="2"/>
      <c r="S39" s="2"/>
    </row>
    <row r="40" customFormat="false" ht="15" hidden="false" customHeight="false" outlineLevel="0" collapsed="false">
      <c r="A40" s="26" t="str">
        <f aca="false">IF(Team!$A39="","",Team!$A39)</f>
        <v/>
      </c>
      <c r="B40" s="26" t="str">
        <f aca="false">IF(Team!$A39="","",Team!$B39)</f>
        <v/>
      </c>
      <c r="C40" s="26" t="str">
        <f aca="false">IF(Team!$A39="","",Team!$C39)</f>
        <v/>
      </c>
      <c r="D40" s="21" t="str">
        <f aca="false">IF($A40="","",IF(N(D104)=0,IF(N(D168)&gt;0,9.99,""),D168/D104))</f>
        <v/>
      </c>
      <c r="E40" s="21" t="str">
        <f aca="false">IF($A40="","",IF(N(E104)=0,IF(N(E168)&gt;0,9.99,""),E168/E104))</f>
        <v/>
      </c>
      <c r="F40" s="21" t="str">
        <f aca="false">IF($A40="","",IF(N(F104)=0,IF(N(F168)&gt;0,9.99,""),F168/F104))</f>
        <v/>
      </c>
      <c r="G40" s="21" t="str">
        <f aca="false">IF($A40="","",IF(N(G104)=0,IF(N(G168)&gt;0,9.99,""),G168/G104))</f>
        <v/>
      </c>
      <c r="H40" s="21" t="str">
        <f aca="false">IF($A40="","",IF(N(H104)=0,IF(N(H168)&gt;0,9.99,""),H168/H104))</f>
        <v/>
      </c>
      <c r="I40" s="21" t="str">
        <f aca="false">IF($A40="","",IF(N(I104)=0,IF(N(I168)&gt;0,9.99,""),I168/I104))</f>
        <v/>
      </c>
      <c r="J40" s="21" t="str">
        <f aca="false">IF($A40="","",IF(N(J104)=0,IF(N(J168)&gt;0,9.99,""),J168/J104))</f>
        <v/>
      </c>
      <c r="K40" s="21" t="str">
        <f aca="false">IF($A40="","",IF(N(K104)=0,IF(N(K168)&gt;0,9.99,""),K168/K104))</f>
        <v/>
      </c>
      <c r="L40" s="21" t="str">
        <f aca="false">IF($A40="","",IF(N(L104)=0,IF(N(L168)&gt;0,9.99,""),L168/L104))</f>
        <v/>
      </c>
      <c r="M40" s="21" t="str">
        <f aca="false">IF($A40="","",IF(N(M104)=0,IF(N(M168)&gt;0,9.99,""),M168/M104))</f>
        <v/>
      </c>
      <c r="N40" s="21" t="str">
        <f aca="false">IF($A40="","",IF(N(N104)=0,IF(N(N168)&gt;0,9.99,""),N168/N104))</f>
        <v/>
      </c>
      <c r="O40" s="21" t="str">
        <f aca="false">IF($A40="","",IF(N(O104)=0,IF(N(O168)&gt;0,9.99,""),O168/O104))</f>
        <v/>
      </c>
      <c r="P40" s="21" t="str">
        <f aca="false">IF($A40="","",MAX(D40:O40))</f>
        <v/>
      </c>
      <c r="Q40" s="21" t="str">
        <f aca="false">IF(OR($A40="",N(P104)=0),"",P168/P104)</f>
        <v/>
      </c>
      <c r="R40" s="2"/>
      <c r="S40" s="2"/>
    </row>
    <row r="41" customFormat="false" ht="15" hidden="false" customHeight="false" outlineLevel="0" collapsed="false">
      <c r="A41" s="26" t="str">
        <f aca="false">IF(Team!$A40="","",Team!$A40)</f>
        <v/>
      </c>
      <c r="B41" s="26" t="str">
        <f aca="false">IF(Team!$A40="","",Team!$B40)</f>
        <v/>
      </c>
      <c r="C41" s="26" t="str">
        <f aca="false">IF(Team!$A40="","",Team!$C40)</f>
        <v/>
      </c>
      <c r="D41" s="21" t="str">
        <f aca="false">IF($A41="","",IF(N(D105)=0,IF(N(D169)&gt;0,9.99,""),D169/D105))</f>
        <v/>
      </c>
      <c r="E41" s="21" t="str">
        <f aca="false">IF($A41="","",IF(N(E105)=0,IF(N(E169)&gt;0,9.99,""),E169/E105))</f>
        <v/>
      </c>
      <c r="F41" s="21" t="str">
        <f aca="false">IF($A41="","",IF(N(F105)=0,IF(N(F169)&gt;0,9.99,""),F169/F105))</f>
        <v/>
      </c>
      <c r="G41" s="21" t="str">
        <f aca="false">IF($A41="","",IF(N(G105)=0,IF(N(G169)&gt;0,9.99,""),G169/G105))</f>
        <v/>
      </c>
      <c r="H41" s="21" t="str">
        <f aca="false">IF($A41="","",IF(N(H105)=0,IF(N(H169)&gt;0,9.99,""),H169/H105))</f>
        <v/>
      </c>
      <c r="I41" s="21" t="str">
        <f aca="false">IF($A41="","",IF(N(I105)=0,IF(N(I169)&gt;0,9.99,""),I169/I105))</f>
        <v/>
      </c>
      <c r="J41" s="21" t="str">
        <f aca="false">IF($A41="","",IF(N(J105)=0,IF(N(J169)&gt;0,9.99,""),J169/J105))</f>
        <v/>
      </c>
      <c r="K41" s="21" t="str">
        <f aca="false">IF($A41="","",IF(N(K105)=0,IF(N(K169)&gt;0,9.99,""),K169/K105))</f>
        <v/>
      </c>
      <c r="L41" s="21" t="str">
        <f aca="false">IF($A41="","",IF(N(L105)=0,IF(N(L169)&gt;0,9.99,""),L169/L105))</f>
        <v/>
      </c>
      <c r="M41" s="21" t="str">
        <f aca="false">IF($A41="","",IF(N(M105)=0,IF(N(M169)&gt;0,9.99,""),M169/M105))</f>
        <v/>
      </c>
      <c r="N41" s="21" t="str">
        <f aca="false">IF($A41="","",IF(N(N105)=0,IF(N(N169)&gt;0,9.99,""),N169/N105))</f>
        <v/>
      </c>
      <c r="O41" s="21" t="str">
        <f aca="false">IF($A41="","",IF(N(O105)=0,IF(N(O169)&gt;0,9.99,""),O169/O105))</f>
        <v/>
      </c>
      <c r="P41" s="21" t="str">
        <f aca="false">IF($A41="","",MAX(D41:O41))</f>
        <v/>
      </c>
      <c r="Q41" s="21" t="str">
        <f aca="false">IF(OR($A41="",N(P105)=0),"",P169/P105)</f>
        <v/>
      </c>
      <c r="R41" s="2"/>
      <c r="S41" s="2"/>
    </row>
    <row r="42" customFormat="false" ht="15" hidden="false" customHeight="false" outlineLevel="0" collapsed="false">
      <c r="A42" s="26" t="str">
        <f aca="false">IF(Team!$A41="","",Team!$A41)</f>
        <v/>
      </c>
      <c r="B42" s="26" t="str">
        <f aca="false">IF(Team!$A41="","",Team!$B41)</f>
        <v/>
      </c>
      <c r="C42" s="26" t="str">
        <f aca="false">IF(Team!$A41="","",Team!$C41)</f>
        <v/>
      </c>
      <c r="D42" s="21" t="str">
        <f aca="false">IF($A42="","",IF(N(D106)=0,IF(N(D170)&gt;0,9.99,""),D170/D106))</f>
        <v/>
      </c>
      <c r="E42" s="21" t="str">
        <f aca="false">IF($A42="","",IF(N(E106)=0,IF(N(E170)&gt;0,9.99,""),E170/E106))</f>
        <v/>
      </c>
      <c r="F42" s="21" t="str">
        <f aca="false">IF($A42="","",IF(N(F106)=0,IF(N(F170)&gt;0,9.99,""),F170/F106))</f>
        <v/>
      </c>
      <c r="G42" s="21" t="str">
        <f aca="false">IF($A42="","",IF(N(G106)=0,IF(N(G170)&gt;0,9.99,""),G170/G106))</f>
        <v/>
      </c>
      <c r="H42" s="21" t="str">
        <f aca="false">IF($A42="","",IF(N(H106)=0,IF(N(H170)&gt;0,9.99,""),H170/H106))</f>
        <v/>
      </c>
      <c r="I42" s="21" t="str">
        <f aca="false">IF($A42="","",IF(N(I106)=0,IF(N(I170)&gt;0,9.99,""),I170/I106))</f>
        <v/>
      </c>
      <c r="J42" s="21" t="str">
        <f aca="false">IF($A42="","",IF(N(J106)=0,IF(N(J170)&gt;0,9.99,""),J170/J106))</f>
        <v/>
      </c>
      <c r="K42" s="21" t="str">
        <f aca="false">IF($A42="","",IF(N(K106)=0,IF(N(K170)&gt;0,9.99,""),K170/K106))</f>
        <v/>
      </c>
      <c r="L42" s="21" t="str">
        <f aca="false">IF($A42="","",IF(N(L106)=0,IF(N(L170)&gt;0,9.99,""),L170/L106))</f>
        <v/>
      </c>
      <c r="M42" s="21" t="str">
        <f aca="false">IF($A42="","",IF(N(M106)=0,IF(N(M170)&gt;0,9.99,""),M170/M106))</f>
        <v/>
      </c>
      <c r="N42" s="21" t="str">
        <f aca="false">IF($A42="","",IF(N(N106)=0,IF(N(N170)&gt;0,9.99,""),N170/N106))</f>
        <v/>
      </c>
      <c r="O42" s="21" t="str">
        <f aca="false">IF($A42="","",IF(N(O106)=0,IF(N(O170)&gt;0,9.99,""),O170/O106))</f>
        <v/>
      </c>
      <c r="P42" s="21" t="str">
        <f aca="false">IF($A42="","",MAX(D42:O42))</f>
        <v/>
      </c>
      <c r="Q42" s="21" t="str">
        <f aca="false">IF(OR($A42="",N(P106)=0),"",P170/P106)</f>
        <v/>
      </c>
      <c r="R42" s="2"/>
      <c r="S42" s="2"/>
    </row>
    <row r="43" customFormat="false" ht="15" hidden="false" customHeight="false" outlineLevel="0" collapsed="false">
      <c r="A43" s="26" t="str">
        <f aca="false">IF(Team!$A42="","",Team!$A42)</f>
        <v/>
      </c>
      <c r="B43" s="26" t="str">
        <f aca="false">IF(Team!$A42="","",Team!$B42)</f>
        <v/>
      </c>
      <c r="C43" s="26" t="str">
        <f aca="false">IF(Team!$A42="","",Team!$C42)</f>
        <v/>
      </c>
      <c r="D43" s="21" t="str">
        <f aca="false">IF($A43="","",IF(N(D107)=0,IF(N(D171)&gt;0,9.99,""),D171/D107))</f>
        <v/>
      </c>
      <c r="E43" s="21" t="str">
        <f aca="false">IF($A43="","",IF(N(E107)=0,IF(N(E171)&gt;0,9.99,""),E171/E107))</f>
        <v/>
      </c>
      <c r="F43" s="21" t="str">
        <f aca="false">IF($A43="","",IF(N(F107)=0,IF(N(F171)&gt;0,9.99,""),F171/F107))</f>
        <v/>
      </c>
      <c r="G43" s="21" t="str">
        <f aca="false">IF($A43="","",IF(N(G107)=0,IF(N(G171)&gt;0,9.99,""),G171/G107))</f>
        <v/>
      </c>
      <c r="H43" s="21" t="str">
        <f aca="false">IF($A43="","",IF(N(H107)=0,IF(N(H171)&gt;0,9.99,""),H171/H107))</f>
        <v/>
      </c>
      <c r="I43" s="21" t="str">
        <f aca="false">IF($A43="","",IF(N(I107)=0,IF(N(I171)&gt;0,9.99,""),I171/I107))</f>
        <v/>
      </c>
      <c r="J43" s="21" t="str">
        <f aca="false">IF($A43="","",IF(N(J107)=0,IF(N(J171)&gt;0,9.99,""),J171/J107))</f>
        <v/>
      </c>
      <c r="K43" s="21" t="str">
        <f aca="false">IF($A43="","",IF(N(K107)=0,IF(N(K171)&gt;0,9.99,""),K171/K107))</f>
        <v/>
      </c>
      <c r="L43" s="21" t="str">
        <f aca="false">IF($A43="","",IF(N(L107)=0,IF(N(L171)&gt;0,9.99,""),L171/L107))</f>
        <v/>
      </c>
      <c r="M43" s="21" t="str">
        <f aca="false">IF($A43="","",IF(N(M107)=0,IF(N(M171)&gt;0,9.99,""),M171/M107))</f>
        <v/>
      </c>
      <c r="N43" s="21" t="str">
        <f aca="false">IF($A43="","",IF(N(N107)=0,IF(N(N171)&gt;0,9.99,""),N171/N107))</f>
        <v/>
      </c>
      <c r="O43" s="21" t="str">
        <f aca="false">IF($A43="","",IF(N(O107)=0,IF(N(O171)&gt;0,9.99,""),O171/O107))</f>
        <v/>
      </c>
      <c r="P43" s="21" t="str">
        <f aca="false">IF($A43="","",MAX(D43:O43))</f>
        <v/>
      </c>
      <c r="Q43" s="21" t="str">
        <f aca="false">IF(OR($A43="",N(P107)=0),"",P171/P107)</f>
        <v/>
      </c>
      <c r="R43" s="2"/>
      <c r="S43" s="2"/>
    </row>
    <row r="44" customFormat="false" ht="15" hidden="false" customHeight="false" outlineLevel="0" collapsed="false">
      <c r="A44" s="26" t="str">
        <f aca="false">IF(Team!$A43="","",Team!$A43)</f>
        <v/>
      </c>
      <c r="B44" s="26" t="str">
        <f aca="false">IF(Team!$A43="","",Team!$B43)</f>
        <v/>
      </c>
      <c r="C44" s="26" t="str">
        <f aca="false">IF(Team!$A43="","",Team!$C43)</f>
        <v/>
      </c>
      <c r="D44" s="21" t="str">
        <f aca="false">IF($A44="","",IF(N(D108)=0,IF(N(D172)&gt;0,9.99,""),D172/D108))</f>
        <v/>
      </c>
      <c r="E44" s="21" t="str">
        <f aca="false">IF($A44="","",IF(N(E108)=0,IF(N(E172)&gt;0,9.99,""),E172/E108))</f>
        <v/>
      </c>
      <c r="F44" s="21" t="str">
        <f aca="false">IF($A44="","",IF(N(F108)=0,IF(N(F172)&gt;0,9.99,""),F172/F108))</f>
        <v/>
      </c>
      <c r="G44" s="21" t="str">
        <f aca="false">IF($A44="","",IF(N(G108)=0,IF(N(G172)&gt;0,9.99,""),G172/G108))</f>
        <v/>
      </c>
      <c r="H44" s="21" t="str">
        <f aca="false">IF($A44="","",IF(N(H108)=0,IF(N(H172)&gt;0,9.99,""),H172/H108))</f>
        <v/>
      </c>
      <c r="I44" s="21" t="str">
        <f aca="false">IF($A44="","",IF(N(I108)=0,IF(N(I172)&gt;0,9.99,""),I172/I108))</f>
        <v/>
      </c>
      <c r="J44" s="21" t="str">
        <f aca="false">IF($A44="","",IF(N(J108)=0,IF(N(J172)&gt;0,9.99,""),J172/J108))</f>
        <v/>
      </c>
      <c r="K44" s="21" t="str">
        <f aca="false">IF($A44="","",IF(N(K108)=0,IF(N(K172)&gt;0,9.99,""),K172/K108))</f>
        <v/>
      </c>
      <c r="L44" s="21" t="str">
        <f aca="false">IF($A44="","",IF(N(L108)=0,IF(N(L172)&gt;0,9.99,""),L172/L108))</f>
        <v/>
      </c>
      <c r="M44" s="21" t="str">
        <f aca="false">IF($A44="","",IF(N(M108)=0,IF(N(M172)&gt;0,9.99,""),M172/M108))</f>
        <v/>
      </c>
      <c r="N44" s="21" t="str">
        <f aca="false">IF($A44="","",IF(N(N108)=0,IF(N(N172)&gt;0,9.99,""),N172/N108))</f>
        <v/>
      </c>
      <c r="O44" s="21" t="str">
        <f aca="false">IF($A44="","",IF(N(O108)=0,IF(N(O172)&gt;0,9.99,""),O172/O108))</f>
        <v/>
      </c>
      <c r="P44" s="21" t="str">
        <f aca="false">IF($A44="","",MAX(D44:O44))</f>
        <v/>
      </c>
      <c r="Q44" s="21" t="str">
        <f aca="false">IF(OR($A44="",N(P108)=0),"",P172/P108)</f>
        <v/>
      </c>
      <c r="R44" s="2"/>
      <c r="S44" s="2"/>
    </row>
    <row r="45" customFormat="false" ht="15" hidden="false" customHeight="false" outlineLevel="0" collapsed="false">
      <c r="A45" s="26" t="str">
        <f aca="false">IF(Team!$A44="","",Team!$A44)</f>
        <v/>
      </c>
      <c r="B45" s="26" t="str">
        <f aca="false">IF(Team!$A44="","",Team!$B44)</f>
        <v/>
      </c>
      <c r="C45" s="26" t="str">
        <f aca="false">IF(Team!$A44="","",Team!$C44)</f>
        <v/>
      </c>
      <c r="D45" s="21" t="str">
        <f aca="false">IF($A45="","",IF(N(D109)=0,IF(N(D173)&gt;0,9.99,""),D173/D109))</f>
        <v/>
      </c>
      <c r="E45" s="21" t="str">
        <f aca="false">IF($A45="","",IF(N(E109)=0,IF(N(E173)&gt;0,9.99,""),E173/E109))</f>
        <v/>
      </c>
      <c r="F45" s="21" t="str">
        <f aca="false">IF($A45="","",IF(N(F109)=0,IF(N(F173)&gt;0,9.99,""),F173/F109))</f>
        <v/>
      </c>
      <c r="G45" s="21" t="str">
        <f aca="false">IF($A45="","",IF(N(G109)=0,IF(N(G173)&gt;0,9.99,""),G173/G109))</f>
        <v/>
      </c>
      <c r="H45" s="21" t="str">
        <f aca="false">IF($A45="","",IF(N(H109)=0,IF(N(H173)&gt;0,9.99,""),H173/H109))</f>
        <v/>
      </c>
      <c r="I45" s="21" t="str">
        <f aca="false">IF($A45="","",IF(N(I109)=0,IF(N(I173)&gt;0,9.99,""),I173/I109))</f>
        <v/>
      </c>
      <c r="J45" s="21" t="str">
        <f aca="false">IF($A45="","",IF(N(J109)=0,IF(N(J173)&gt;0,9.99,""),J173/J109))</f>
        <v/>
      </c>
      <c r="K45" s="21" t="str">
        <f aca="false">IF($A45="","",IF(N(K109)=0,IF(N(K173)&gt;0,9.99,""),K173/K109))</f>
        <v/>
      </c>
      <c r="L45" s="21" t="str">
        <f aca="false">IF($A45="","",IF(N(L109)=0,IF(N(L173)&gt;0,9.99,""),L173/L109))</f>
        <v/>
      </c>
      <c r="M45" s="21" t="str">
        <f aca="false">IF($A45="","",IF(N(M109)=0,IF(N(M173)&gt;0,9.99,""),M173/M109))</f>
        <v/>
      </c>
      <c r="N45" s="21" t="str">
        <f aca="false">IF($A45="","",IF(N(N109)=0,IF(N(N173)&gt;0,9.99,""),N173/N109))</f>
        <v/>
      </c>
      <c r="O45" s="21" t="str">
        <f aca="false">IF($A45="","",IF(N(O109)=0,IF(N(O173)&gt;0,9.99,""),O173/O109))</f>
        <v/>
      </c>
      <c r="P45" s="21" t="str">
        <f aca="false">IF($A45="","",MAX(D45:O45))</f>
        <v/>
      </c>
      <c r="Q45" s="21" t="str">
        <f aca="false">IF(OR($A45="",N(P109)=0),"",P173/P109)</f>
        <v/>
      </c>
      <c r="R45" s="2"/>
      <c r="S45" s="2"/>
    </row>
    <row r="46" customFormat="false" ht="15" hidden="false" customHeight="false" outlineLevel="0" collapsed="false">
      <c r="A46" s="26" t="str">
        <f aca="false">IF(Team!$A45="","",Team!$A45)</f>
        <v/>
      </c>
      <c r="B46" s="26" t="str">
        <f aca="false">IF(Team!$A45="","",Team!$B45)</f>
        <v/>
      </c>
      <c r="C46" s="26" t="str">
        <f aca="false">IF(Team!$A45="","",Team!$C45)</f>
        <v/>
      </c>
      <c r="D46" s="21" t="str">
        <f aca="false">IF($A46="","",IF(N(D110)=0,IF(N(D174)&gt;0,9.99,""),D174/D110))</f>
        <v/>
      </c>
      <c r="E46" s="21" t="str">
        <f aca="false">IF($A46="","",IF(N(E110)=0,IF(N(E174)&gt;0,9.99,""),E174/E110))</f>
        <v/>
      </c>
      <c r="F46" s="21" t="str">
        <f aca="false">IF($A46="","",IF(N(F110)=0,IF(N(F174)&gt;0,9.99,""),F174/F110))</f>
        <v/>
      </c>
      <c r="G46" s="21" t="str">
        <f aca="false">IF($A46="","",IF(N(G110)=0,IF(N(G174)&gt;0,9.99,""),G174/G110))</f>
        <v/>
      </c>
      <c r="H46" s="21" t="str">
        <f aca="false">IF($A46="","",IF(N(H110)=0,IF(N(H174)&gt;0,9.99,""),H174/H110))</f>
        <v/>
      </c>
      <c r="I46" s="21" t="str">
        <f aca="false">IF($A46="","",IF(N(I110)=0,IF(N(I174)&gt;0,9.99,""),I174/I110))</f>
        <v/>
      </c>
      <c r="J46" s="21" t="str">
        <f aca="false">IF($A46="","",IF(N(J110)=0,IF(N(J174)&gt;0,9.99,""),J174/J110))</f>
        <v/>
      </c>
      <c r="K46" s="21" t="str">
        <f aca="false">IF($A46="","",IF(N(K110)=0,IF(N(K174)&gt;0,9.99,""),K174/K110))</f>
        <v/>
      </c>
      <c r="L46" s="21" t="str">
        <f aca="false">IF($A46="","",IF(N(L110)=0,IF(N(L174)&gt;0,9.99,""),L174/L110))</f>
        <v/>
      </c>
      <c r="M46" s="21" t="str">
        <f aca="false">IF($A46="","",IF(N(M110)=0,IF(N(M174)&gt;0,9.99,""),M174/M110))</f>
        <v/>
      </c>
      <c r="N46" s="21" t="str">
        <f aca="false">IF($A46="","",IF(N(N110)=0,IF(N(N174)&gt;0,9.99,""),N174/N110))</f>
        <v/>
      </c>
      <c r="O46" s="21" t="str">
        <f aca="false">IF($A46="","",IF(N(O110)=0,IF(N(O174)&gt;0,9.99,""),O174/O110))</f>
        <v/>
      </c>
      <c r="P46" s="21" t="str">
        <f aca="false">IF($A46="","",MAX(D46:O46))</f>
        <v/>
      </c>
      <c r="Q46" s="21" t="str">
        <f aca="false">IF(OR($A46="",N(P110)=0),"",P174/P110)</f>
        <v/>
      </c>
      <c r="R46" s="2"/>
      <c r="S46" s="2"/>
    </row>
    <row r="47" customFormat="false" ht="15" hidden="false" customHeight="false" outlineLevel="0" collapsed="false">
      <c r="A47" s="26" t="str">
        <f aca="false">IF(Team!$A46="","",Team!$A46)</f>
        <v/>
      </c>
      <c r="B47" s="26" t="str">
        <f aca="false">IF(Team!$A46="","",Team!$B46)</f>
        <v/>
      </c>
      <c r="C47" s="26" t="str">
        <f aca="false">IF(Team!$A46="","",Team!$C46)</f>
        <v/>
      </c>
      <c r="D47" s="21" t="str">
        <f aca="false">IF($A47="","",IF(N(D111)=0,IF(N(D175)&gt;0,9.99,""),D175/D111))</f>
        <v/>
      </c>
      <c r="E47" s="21" t="str">
        <f aca="false">IF($A47="","",IF(N(E111)=0,IF(N(E175)&gt;0,9.99,""),E175/E111))</f>
        <v/>
      </c>
      <c r="F47" s="21" t="str">
        <f aca="false">IF($A47="","",IF(N(F111)=0,IF(N(F175)&gt;0,9.99,""),F175/F111))</f>
        <v/>
      </c>
      <c r="G47" s="21" t="str">
        <f aca="false">IF($A47="","",IF(N(G111)=0,IF(N(G175)&gt;0,9.99,""),G175/G111))</f>
        <v/>
      </c>
      <c r="H47" s="21" t="str">
        <f aca="false">IF($A47="","",IF(N(H111)=0,IF(N(H175)&gt;0,9.99,""),H175/H111))</f>
        <v/>
      </c>
      <c r="I47" s="21" t="str">
        <f aca="false">IF($A47="","",IF(N(I111)=0,IF(N(I175)&gt;0,9.99,""),I175/I111))</f>
        <v/>
      </c>
      <c r="J47" s="21" t="str">
        <f aca="false">IF($A47="","",IF(N(J111)=0,IF(N(J175)&gt;0,9.99,""),J175/J111))</f>
        <v/>
      </c>
      <c r="K47" s="21" t="str">
        <f aca="false">IF($A47="","",IF(N(K111)=0,IF(N(K175)&gt;0,9.99,""),K175/K111))</f>
        <v/>
      </c>
      <c r="L47" s="21" t="str">
        <f aca="false">IF($A47="","",IF(N(L111)=0,IF(N(L175)&gt;0,9.99,""),L175/L111))</f>
        <v/>
      </c>
      <c r="M47" s="21" t="str">
        <f aca="false">IF($A47="","",IF(N(M111)=0,IF(N(M175)&gt;0,9.99,""),M175/M111))</f>
        <v/>
      </c>
      <c r="N47" s="21" t="str">
        <f aca="false">IF($A47="","",IF(N(N111)=0,IF(N(N175)&gt;0,9.99,""),N175/N111))</f>
        <v/>
      </c>
      <c r="O47" s="21" t="str">
        <f aca="false">IF($A47="","",IF(N(O111)=0,IF(N(O175)&gt;0,9.99,""),O175/O111))</f>
        <v/>
      </c>
      <c r="P47" s="21" t="str">
        <f aca="false">IF($A47="","",MAX(D47:O47))</f>
        <v/>
      </c>
      <c r="Q47" s="21" t="str">
        <f aca="false">IF(OR($A47="",N(P111)=0),"",P175/P111)</f>
        <v/>
      </c>
      <c r="R47" s="2"/>
      <c r="S47" s="2"/>
    </row>
    <row r="48" customFormat="false" ht="15" hidden="false" customHeight="false" outlineLevel="0" collapsed="false">
      <c r="A48" s="26" t="str">
        <f aca="false">IF(Team!$A47="","",Team!$A47)</f>
        <v/>
      </c>
      <c r="B48" s="26" t="str">
        <f aca="false">IF(Team!$A47="","",Team!$B47)</f>
        <v/>
      </c>
      <c r="C48" s="26" t="str">
        <f aca="false">IF(Team!$A47="","",Team!$C47)</f>
        <v/>
      </c>
      <c r="D48" s="21" t="str">
        <f aca="false">IF($A48="","",IF(N(D112)=0,IF(N(D176)&gt;0,9.99,""),D176/D112))</f>
        <v/>
      </c>
      <c r="E48" s="21" t="str">
        <f aca="false">IF($A48="","",IF(N(E112)=0,IF(N(E176)&gt;0,9.99,""),E176/E112))</f>
        <v/>
      </c>
      <c r="F48" s="21" t="str">
        <f aca="false">IF($A48="","",IF(N(F112)=0,IF(N(F176)&gt;0,9.99,""),F176/F112))</f>
        <v/>
      </c>
      <c r="G48" s="21" t="str">
        <f aca="false">IF($A48="","",IF(N(G112)=0,IF(N(G176)&gt;0,9.99,""),G176/G112))</f>
        <v/>
      </c>
      <c r="H48" s="21" t="str">
        <f aca="false">IF($A48="","",IF(N(H112)=0,IF(N(H176)&gt;0,9.99,""),H176/H112))</f>
        <v/>
      </c>
      <c r="I48" s="21" t="str">
        <f aca="false">IF($A48="","",IF(N(I112)=0,IF(N(I176)&gt;0,9.99,""),I176/I112))</f>
        <v/>
      </c>
      <c r="J48" s="21" t="str">
        <f aca="false">IF($A48="","",IF(N(J112)=0,IF(N(J176)&gt;0,9.99,""),J176/J112))</f>
        <v/>
      </c>
      <c r="K48" s="21" t="str">
        <f aca="false">IF($A48="","",IF(N(K112)=0,IF(N(K176)&gt;0,9.99,""),K176/K112))</f>
        <v/>
      </c>
      <c r="L48" s="21" t="str">
        <f aca="false">IF($A48="","",IF(N(L112)=0,IF(N(L176)&gt;0,9.99,""),L176/L112))</f>
        <v/>
      </c>
      <c r="M48" s="21" t="str">
        <f aca="false">IF($A48="","",IF(N(M112)=0,IF(N(M176)&gt;0,9.99,""),M176/M112))</f>
        <v/>
      </c>
      <c r="N48" s="21" t="str">
        <f aca="false">IF($A48="","",IF(N(N112)=0,IF(N(N176)&gt;0,9.99,""),N176/N112))</f>
        <v/>
      </c>
      <c r="O48" s="21" t="str">
        <f aca="false">IF($A48="","",IF(N(O112)=0,IF(N(O176)&gt;0,9.99,""),O176/O112))</f>
        <v/>
      </c>
      <c r="P48" s="21" t="str">
        <f aca="false">IF($A48="","",MAX(D48:O48))</f>
        <v/>
      </c>
      <c r="Q48" s="21" t="str">
        <f aca="false">IF(OR($A48="",N(P112)=0),"",P176/P112)</f>
        <v/>
      </c>
      <c r="R48" s="2"/>
      <c r="S48" s="2"/>
    </row>
    <row r="49" customFormat="false" ht="15" hidden="false" customHeight="false" outlineLevel="0" collapsed="false">
      <c r="A49" s="26" t="str">
        <f aca="false">IF(Team!$A48="","",Team!$A48)</f>
        <v/>
      </c>
      <c r="B49" s="26" t="str">
        <f aca="false">IF(Team!$A48="","",Team!$B48)</f>
        <v/>
      </c>
      <c r="C49" s="26" t="str">
        <f aca="false">IF(Team!$A48="","",Team!$C48)</f>
        <v/>
      </c>
      <c r="D49" s="21" t="str">
        <f aca="false">IF($A49="","",IF(N(D113)=0,IF(N(D177)&gt;0,9.99,""),D177/D113))</f>
        <v/>
      </c>
      <c r="E49" s="21" t="str">
        <f aca="false">IF($A49="","",IF(N(E113)=0,IF(N(E177)&gt;0,9.99,""),E177/E113))</f>
        <v/>
      </c>
      <c r="F49" s="21" t="str">
        <f aca="false">IF($A49="","",IF(N(F113)=0,IF(N(F177)&gt;0,9.99,""),F177/F113))</f>
        <v/>
      </c>
      <c r="G49" s="21" t="str">
        <f aca="false">IF($A49="","",IF(N(G113)=0,IF(N(G177)&gt;0,9.99,""),G177/G113))</f>
        <v/>
      </c>
      <c r="H49" s="21" t="str">
        <f aca="false">IF($A49="","",IF(N(H113)=0,IF(N(H177)&gt;0,9.99,""),H177/H113))</f>
        <v/>
      </c>
      <c r="I49" s="21" t="str">
        <f aca="false">IF($A49="","",IF(N(I113)=0,IF(N(I177)&gt;0,9.99,""),I177/I113))</f>
        <v/>
      </c>
      <c r="J49" s="21" t="str">
        <f aca="false">IF($A49="","",IF(N(J113)=0,IF(N(J177)&gt;0,9.99,""),J177/J113))</f>
        <v/>
      </c>
      <c r="K49" s="21" t="str">
        <f aca="false">IF($A49="","",IF(N(K113)=0,IF(N(K177)&gt;0,9.99,""),K177/K113))</f>
        <v/>
      </c>
      <c r="L49" s="21" t="str">
        <f aca="false">IF($A49="","",IF(N(L113)=0,IF(N(L177)&gt;0,9.99,""),L177/L113))</f>
        <v/>
      </c>
      <c r="M49" s="21" t="str">
        <f aca="false">IF($A49="","",IF(N(M113)=0,IF(N(M177)&gt;0,9.99,""),M177/M113))</f>
        <v/>
      </c>
      <c r="N49" s="21" t="str">
        <f aca="false">IF($A49="","",IF(N(N113)=0,IF(N(N177)&gt;0,9.99,""),N177/N113))</f>
        <v/>
      </c>
      <c r="O49" s="21" t="str">
        <f aca="false">IF($A49="","",IF(N(O113)=0,IF(N(O177)&gt;0,9.99,""),O177/O113))</f>
        <v/>
      </c>
      <c r="P49" s="21" t="str">
        <f aca="false">IF($A49="","",MAX(D49:O49))</f>
        <v/>
      </c>
      <c r="Q49" s="21" t="str">
        <f aca="false">IF(OR($A49="",N(P113)=0),"",P177/P113)</f>
        <v/>
      </c>
      <c r="R49" s="2"/>
      <c r="S49" s="2"/>
    </row>
    <row r="50" customFormat="false" ht="15" hidden="false" customHeight="false" outlineLevel="0" collapsed="false">
      <c r="A50" s="26" t="str">
        <f aca="false">IF(Team!$A49="","",Team!$A49)</f>
        <v/>
      </c>
      <c r="B50" s="26" t="str">
        <f aca="false">IF(Team!$A49="","",Team!$B49)</f>
        <v/>
      </c>
      <c r="C50" s="26" t="str">
        <f aca="false">IF(Team!$A49="","",Team!$C49)</f>
        <v/>
      </c>
      <c r="D50" s="21" t="str">
        <f aca="false">IF($A50="","",IF(N(D114)=0,IF(N(D178)&gt;0,9.99,""),D178/D114))</f>
        <v/>
      </c>
      <c r="E50" s="21" t="str">
        <f aca="false">IF($A50="","",IF(N(E114)=0,IF(N(E178)&gt;0,9.99,""),E178/E114))</f>
        <v/>
      </c>
      <c r="F50" s="21" t="str">
        <f aca="false">IF($A50="","",IF(N(F114)=0,IF(N(F178)&gt;0,9.99,""),F178/F114))</f>
        <v/>
      </c>
      <c r="G50" s="21" t="str">
        <f aca="false">IF($A50="","",IF(N(G114)=0,IF(N(G178)&gt;0,9.99,""),G178/G114))</f>
        <v/>
      </c>
      <c r="H50" s="21" t="str">
        <f aca="false">IF($A50="","",IF(N(H114)=0,IF(N(H178)&gt;0,9.99,""),H178/H114))</f>
        <v/>
      </c>
      <c r="I50" s="21" t="str">
        <f aca="false">IF($A50="","",IF(N(I114)=0,IF(N(I178)&gt;0,9.99,""),I178/I114))</f>
        <v/>
      </c>
      <c r="J50" s="21" t="str">
        <f aca="false">IF($A50="","",IF(N(J114)=0,IF(N(J178)&gt;0,9.99,""),J178/J114))</f>
        <v/>
      </c>
      <c r="K50" s="21" t="str">
        <f aca="false">IF($A50="","",IF(N(K114)=0,IF(N(K178)&gt;0,9.99,""),K178/K114))</f>
        <v/>
      </c>
      <c r="L50" s="21" t="str">
        <f aca="false">IF($A50="","",IF(N(L114)=0,IF(N(L178)&gt;0,9.99,""),L178/L114))</f>
        <v/>
      </c>
      <c r="M50" s="21" t="str">
        <f aca="false">IF($A50="","",IF(N(M114)=0,IF(N(M178)&gt;0,9.99,""),M178/M114))</f>
        <v/>
      </c>
      <c r="N50" s="21" t="str">
        <f aca="false">IF($A50="","",IF(N(N114)=0,IF(N(N178)&gt;0,9.99,""),N178/N114))</f>
        <v/>
      </c>
      <c r="O50" s="21" t="str">
        <f aca="false">IF($A50="","",IF(N(O114)=0,IF(N(O178)&gt;0,9.99,""),O178/O114))</f>
        <v/>
      </c>
      <c r="P50" s="21" t="str">
        <f aca="false">IF($A50="","",MAX(D50:O50))</f>
        <v/>
      </c>
      <c r="Q50" s="21" t="str">
        <f aca="false">IF(OR($A50="",N(P114)=0),"",P178/P114)</f>
        <v/>
      </c>
      <c r="R50" s="2"/>
      <c r="S50" s="2"/>
    </row>
    <row r="51" customFormat="false" ht="15" hidden="false" customHeight="false" outlineLevel="0" collapsed="false">
      <c r="A51" s="26" t="str">
        <f aca="false">IF(Team!$A50="","",Team!$A50)</f>
        <v/>
      </c>
      <c r="B51" s="26" t="str">
        <f aca="false">IF(Team!$A50="","",Team!$B50)</f>
        <v/>
      </c>
      <c r="C51" s="26" t="str">
        <f aca="false">IF(Team!$A50="","",Team!$C50)</f>
        <v/>
      </c>
      <c r="D51" s="21" t="str">
        <f aca="false">IF($A51="","",IF(N(D115)=0,IF(N(D179)&gt;0,9.99,""),D179/D115))</f>
        <v/>
      </c>
      <c r="E51" s="21" t="str">
        <f aca="false">IF($A51="","",IF(N(E115)=0,IF(N(E179)&gt;0,9.99,""),E179/E115))</f>
        <v/>
      </c>
      <c r="F51" s="21" t="str">
        <f aca="false">IF($A51="","",IF(N(F115)=0,IF(N(F179)&gt;0,9.99,""),F179/F115))</f>
        <v/>
      </c>
      <c r="G51" s="21" t="str">
        <f aca="false">IF($A51="","",IF(N(G115)=0,IF(N(G179)&gt;0,9.99,""),G179/G115))</f>
        <v/>
      </c>
      <c r="H51" s="21" t="str">
        <f aca="false">IF($A51="","",IF(N(H115)=0,IF(N(H179)&gt;0,9.99,""),H179/H115))</f>
        <v/>
      </c>
      <c r="I51" s="21" t="str">
        <f aca="false">IF($A51="","",IF(N(I115)=0,IF(N(I179)&gt;0,9.99,""),I179/I115))</f>
        <v/>
      </c>
      <c r="J51" s="21" t="str">
        <f aca="false">IF($A51="","",IF(N(J115)=0,IF(N(J179)&gt;0,9.99,""),J179/J115))</f>
        <v/>
      </c>
      <c r="K51" s="21" t="str">
        <f aca="false">IF($A51="","",IF(N(K115)=0,IF(N(K179)&gt;0,9.99,""),K179/K115))</f>
        <v/>
      </c>
      <c r="L51" s="21" t="str">
        <f aca="false">IF($A51="","",IF(N(L115)=0,IF(N(L179)&gt;0,9.99,""),L179/L115))</f>
        <v/>
      </c>
      <c r="M51" s="21" t="str">
        <f aca="false">IF($A51="","",IF(N(M115)=0,IF(N(M179)&gt;0,9.99,""),M179/M115))</f>
        <v/>
      </c>
      <c r="N51" s="21" t="str">
        <f aca="false">IF($A51="","",IF(N(N115)=0,IF(N(N179)&gt;0,9.99,""),N179/N115))</f>
        <v/>
      </c>
      <c r="O51" s="21" t="str">
        <f aca="false">IF($A51="","",IF(N(O115)=0,IF(N(O179)&gt;0,9.99,""),O179/O115))</f>
        <v/>
      </c>
      <c r="P51" s="21" t="str">
        <f aca="false">IF($A51="","",MAX(D51:O51))</f>
        <v/>
      </c>
      <c r="Q51" s="21" t="str">
        <f aca="false">IF(OR($A51="",N(P115)=0),"",P179/P115)</f>
        <v/>
      </c>
      <c r="R51" s="2"/>
      <c r="S51" s="2"/>
    </row>
    <row r="52" customFormat="false" ht="15" hidden="false" customHeight="false" outlineLevel="0" collapsed="false">
      <c r="A52" s="26" t="str">
        <f aca="false">IF(Team!$A51="","",Team!$A51)</f>
        <v/>
      </c>
      <c r="B52" s="26" t="str">
        <f aca="false">IF(Team!$A51="","",Team!$B51)</f>
        <v/>
      </c>
      <c r="C52" s="26" t="str">
        <f aca="false">IF(Team!$A51="","",Team!$C51)</f>
        <v/>
      </c>
      <c r="D52" s="21" t="str">
        <f aca="false">IF($A52="","",IF(N(D116)=0,IF(N(D180)&gt;0,9.99,""),D180/D116))</f>
        <v/>
      </c>
      <c r="E52" s="21" t="str">
        <f aca="false">IF($A52="","",IF(N(E116)=0,IF(N(E180)&gt;0,9.99,""),E180/E116))</f>
        <v/>
      </c>
      <c r="F52" s="21" t="str">
        <f aca="false">IF($A52="","",IF(N(F116)=0,IF(N(F180)&gt;0,9.99,""),F180/F116))</f>
        <v/>
      </c>
      <c r="G52" s="21" t="str">
        <f aca="false">IF($A52="","",IF(N(G116)=0,IF(N(G180)&gt;0,9.99,""),G180/G116))</f>
        <v/>
      </c>
      <c r="H52" s="21" t="str">
        <f aca="false">IF($A52="","",IF(N(H116)=0,IF(N(H180)&gt;0,9.99,""),H180/H116))</f>
        <v/>
      </c>
      <c r="I52" s="21" t="str">
        <f aca="false">IF($A52="","",IF(N(I116)=0,IF(N(I180)&gt;0,9.99,""),I180/I116))</f>
        <v/>
      </c>
      <c r="J52" s="21" t="str">
        <f aca="false">IF($A52="","",IF(N(J116)=0,IF(N(J180)&gt;0,9.99,""),J180/J116))</f>
        <v/>
      </c>
      <c r="K52" s="21" t="str">
        <f aca="false">IF($A52="","",IF(N(K116)=0,IF(N(K180)&gt;0,9.99,""),K180/K116))</f>
        <v/>
      </c>
      <c r="L52" s="21" t="str">
        <f aca="false">IF($A52="","",IF(N(L116)=0,IF(N(L180)&gt;0,9.99,""),L180/L116))</f>
        <v/>
      </c>
      <c r="M52" s="21" t="str">
        <f aca="false">IF($A52="","",IF(N(M116)=0,IF(N(M180)&gt;0,9.99,""),M180/M116))</f>
        <v/>
      </c>
      <c r="N52" s="21" t="str">
        <f aca="false">IF($A52="","",IF(N(N116)=0,IF(N(N180)&gt;0,9.99,""),N180/N116))</f>
        <v/>
      </c>
      <c r="O52" s="21" t="str">
        <f aca="false">IF($A52="","",IF(N(O116)=0,IF(N(O180)&gt;0,9.99,""),O180/O116))</f>
        <v/>
      </c>
      <c r="P52" s="21" t="str">
        <f aca="false">IF($A52="","",MAX(D52:O52))</f>
        <v/>
      </c>
      <c r="Q52" s="21" t="str">
        <f aca="false">IF(OR($A52="",N(P116)=0),"",P180/P116)</f>
        <v/>
      </c>
      <c r="R52" s="2"/>
      <c r="S52" s="2"/>
    </row>
    <row r="53" customFormat="false" ht="15" hidden="false" customHeight="false" outlineLevel="0" collapsed="false">
      <c r="A53" s="26" t="str">
        <f aca="false">IF(Team!$A52="","",Team!$A52)</f>
        <v/>
      </c>
      <c r="B53" s="26" t="str">
        <f aca="false">IF(Team!$A52="","",Team!$B52)</f>
        <v/>
      </c>
      <c r="C53" s="26" t="str">
        <f aca="false">IF(Team!$A52="","",Team!$C52)</f>
        <v/>
      </c>
      <c r="D53" s="21" t="str">
        <f aca="false">IF($A53="","",IF(N(D117)=0,IF(N(D181)&gt;0,9.99,""),D181/D117))</f>
        <v/>
      </c>
      <c r="E53" s="21" t="str">
        <f aca="false">IF($A53="","",IF(N(E117)=0,IF(N(E181)&gt;0,9.99,""),E181/E117))</f>
        <v/>
      </c>
      <c r="F53" s="21" t="str">
        <f aca="false">IF($A53="","",IF(N(F117)=0,IF(N(F181)&gt;0,9.99,""),F181/F117))</f>
        <v/>
      </c>
      <c r="G53" s="21" t="str">
        <f aca="false">IF($A53="","",IF(N(G117)=0,IF(N(G181)&gt;0,9.99,""),G181/G117))</f>
        <v/>
      </c>
      <c r="H53" s="21" t="str">
        <f aca="false">IF($A53="","",IF(N(H117)=0,IF(N(H181)&gt;0,9.99,""),H181/H117))</f>
        <v/>
      </c>
      <c r="I53" s="21" t="str">
        <f aca="false">IF($A53="","",IF(N(I117)=0,IF(N(I181)&gt;0,9.99,""),I181/I117))</f>
        <v/>
      </c>
      <c r="J53" s="21" t="str">
        <f aca="false">IF($A53="","",IF(N(J117)=0,IF(N(J181)&gt;0,9.99,""),J181/J117))</f>
        <v/>
      </c>
      <c r="K53" s="21" t="str">
        <f aca="false">IF($A53="","",IF(N(K117)=0,IF(N(K181)&gt;0,9.99,""),K181/K117))</f>
        <v/>
      </c>
      <c r="L53" s="21" t="str">
        <f aca="false">IF($A53="","",IF(N(L117)=0,IF(N(L181)&gt;0,9.99,""),L181/L117))</f>
        <v/>
      </c>
      <c r="M53" s="21" t="str">
        <f aca="false">IF($A53="","",IF(N(M117)=0,IF(N(M181)&gt;0,9.99,""),M181/M117))</f>
        <v/>
      </c>
      <c r="N53" s="21" t="str">
        <f aca="false">IF($A53="","",IF(N(N117)=0,IF(N(N181)&gt;0,9.99,""),N181/N117))</f>
        <v/>
      </c>
      <c r="O53" s="21" t="str">
        <f aca="false">IF($A53="","",IF(N(O117)=0,IF(N(O181)&gt;0,9.99,""),O181/O117))</f>
        <v/>
      </c>
      <c r="P53" s="21" t="str">
        <f aca="false">IF($A53="","",MAX(D53:O53))</f>
        <v/>
      </c>
      <c r="Q53" s="21" t="str">
        <f aca="false">IF(OR($A53="",N(P117)=0),"",P181/P117)</f>
        <v/>
      </c>
      <c r="R53" s="2"/>
      <c r="S53" s="2"/>
    </row>
    <row r="54" customFormat="false" ht="15" hidden="false" customHeight="false" outlineLevel="0" collapsed="false">
      <c r="A54" s="26" t="str">
        <f aca="false">IF(Team!$A53="","",Team!$A53)</f>
        <v/>
      </c>
      <c r="B54" s="26" t="str">
        <f aca="false">IF(Team!$A53="","",Team!$B53)</f>
        <v/>
      </c>
      <c r="C54" s="26" t="str">
        <f aca="false">IF(Team!$A53="","",Team!$C53)</f>
        <v/>
      </c>
      <c r="D54" s="21" t="str">
        <f aca="false">IF($A54="","",IF(N(D118)=0,IF(N(D182)&gt;0,9.99,""),D182/D118))</f>
        <v/>
      </c>
      <c r="E54" s="21" t="str">
        <f aca="false">IF($A54="","",IF(N(E118)=0,IF(N(E182)&gt;0,9.99,""),E182/E118))</f>
        <v/>
      </c>
      <c r="F54" s="21" t="str">
        <f aca="false">IF($A54="","",IF(N(F118)=0,IF(N(F182)&gt;0,9.99,""),F182/F118))</f>
        <v/>
      </c>
      <c r="G54" s="21" t="str">
        <f aca="false">IF($A54="","",IF(N(G118)=0,IF(N(G182)&gt;0,9.99,""),G182/G118))</f>
        <v/>
      </c>
      <c r="H54" s="21" t="str">
        <f aca="false">IF($A54="","",IF(N(H118)=0,IF(N(H182)&gt;0,9.99,""),H182/H118))</f>
        <v/>
      </c>
      <c r="I54" s="21" t="str">
        <f aca="false">IF($A54="","",IF(N(I118)=0,IF(N(I182)&gt;0,9.99,""),I182/I118))</f>
        <v/>
      </c>
      <c r="J54" s="21" t="str">
        <f aca="false">IF($A54="","",IF(N(J118)=0,IF(N(J182)&gt;0,9.99,""),J182/J118))</f>
        <v/>
      </c>
      <c r="K54" s="21" t="str">
        <f aca="false">IF($A54="","",IF(N(K118)=0,IF(N(K182)&gt;0,9.99,""),K182/K118))</f>
        <v/>
      </c>
      <c r="L54" s="21" t="str">
        <f aca="false">IF($A54="","",IF(N(L118)=0,IF(N(L182)&gt;0,9.99,""),L182/L118))</f>
        <v/>
      </c>
      <c r="M54" s="21" t="str">
        <f aca="false">IF($A54="","",IF(N(M118)=0,IF(N(M182)&gt;0,9.99,""),M182/M118))</f>
        <v/>
      </c>
      <c r="N54" s="21" t="str">
        <f aca="false">IF($A54="","",IF(N(N118)=0,IF(N(N182)&gt;0,9.99,""),N182/N118))</f>
        <v/>
      </c>
      <c r="O54" s="21" t="str">
        <f aca="false">IF($A54="","",IF(N(O118)=0,IF(N(O182)&gt;0,9.99,""),O182/O118))</f>
        <v/>
      </c>
      <c r="P54" s="21" t="str">
        <f aca="false">IF($A54="","",MAX(D54:O54))</f>
        <v/>
      </c>
      <c r="Q54" s="21" t="str">
        <f aca="false">IF(OR($A54="",N(P118)=0),"",P182/P118)</f>
        <v/>
      </c>
      <c r="R54" s="2"/>
      <c r="S54" s="2"/>
    </row>
    <row r="55" customFormat="false" ht="15" hidden="false" customHeight="false" outlineLevel="0" collapsed="false">
      <c r="A55" s="26" t="str">
        <f aca="false">IF(Team!$A54="","",Team!$A54)</f>
        <v/>
      </c>
      <c r="B55" s="26" t="str">
        <f aca="false">IF(Team!$A54="","",Team!$B54)</f>
        <v/>
      </c>
      <c r="C55" s="26" t="str">
        <f aca="false">IF(Team!$A54="","",Team!$C54)</f>
        <v/>
      </c>
      <c r="D55" s="21" t="str">
        <f aca="false">IF($A55="","",IF(N(D119)=0,IF(N(D183)&gt;0,9.99,""),D183/D119))</f>
        <v/>
      </c>
      <c r="E55" s="21" t="str">
        <f aca="false">IF($A55="","",IF(N(E119)=0,IF(N(E183)&gt;0,9.99,""),E183/E119))</f>
        <v/>
      </c>
      <c r="F55" s="21" t="str">
        <f aca="false">IF($A55="","",IF(N(F119)=0,IF(N(F183)&gt;0,9.99,""),F183/F119))</f>
        <v/>
      </c>
      <c r="G55" s="21" t="str">
        <f aca="false">IF($A55="","",IF(N(G119)=0,IF(N(G183)&gt;0,9.99,""),G183/G119))</f>
        <v/>
      </c>
      <c r="H55" s="21" t="str">
        <f aca="false">IF($A55="","",IF(N(H119)=0,IF(N(H183)&gt;0,9.99,""),H183/H119))</f>
        <v/>
      </c>
      <c r="I55" s="21" t="str">
        <f aca="false">IF($A55="","",IF(N(I119)=0,IF(N(I183)&gt;0,9.99,""),I183/I119))</f>
        <v/>
      </c>
      <c r="J55" s="21" t="str">
        <f aca="false">IF($A55="","",IF(N(J119)=0,IF(N(J183)&gt;0,9.99,""),J183/J119))</f>
        <v/>
      </c>
      <c r="K55" s="21" t="str">
        <f aca="false">IF($A55="","",IF(N(K119)=0,IF(N(K183)&gt;0,9.99,""),K183/K119))</f>
        <v/>
      </c>
      <c r="L55" s="21" t="str">
        <f aca="false">IF($A55="","",IF(N(L119)=0,IF(N(L183)&gt;0,9.99,""),L183/L119))</f>
        <v/>
      </c>
      <c r="M55" s="21" t="str">
        <f aca="false">IF($A55="","",IF(N(M119)=0,IF(N(M183)&gt;0,9.99,""),M183/M119))</f>
        <v/>
      </c>
      <c r="N55" s="21" t="str">
        <f aca="false">IF($A55="","",IF(N(N119)=0,IF(N(N183)&gt;0,9.99,""),N183/N119))</f>
        <v/>
      </c>
      <c r="O55" s="21" t="str">
        <f aca="false">IF($A55="","",IF(N(O119)=0,IF(N(O183)&gt;0,9.99,""),O183/O119))</f>
        <v/>
      </c>
      <c r="P55" s="21" t="str">
        <f aca="false">IF($A55="","",MAX(D55:O55))</f>
        <v/>
      </c>
      <c r="Q55" s="21" t="str">
        <f aca="false">IF(OR($A55="",N(P119)=0),"",P183/P119)</f>
        <v/>
      </c>
      <c r="R55" s="2"/>
      <c r="S55" s="2"/>
    </row>
    <row r="56" customFormat="false" ht="15" hidden="false" customHeight="false" outlineLevel="0" collapsed="false">
      <c r="A56" s="26" t="str">
        <f aca="false">IF(Team!$A55="","",Team!$A55)</f>
        <v/>
      </c>
      <c r="B56" s="26" t="str">
        <f aca="false">IF(Team!$A55="","",Team!$B55)</f>
        <v/>
      </c>
      <c r="C56" s="26" t="str">
        <f aca="false">IF(Team!$A55="","",Team!$C55)</f>
        <v/>
      </c>
      <c r="D56" s="21" t="str">
        <f aca="false">IF($A56="","",IF(N(D120)=0,IF(N(D184)&gt;0,9.99,""),D184/D120))</f>
        <v/>
      </c>
      <c r="E56" s="21" t="str">
        <f aca="false">IF($A56="","",IF(N(E120)=0,IF(N(E184)&gt;0,9.99,""),E184/E120))</f>
        <v/>
      </c>
      <c r="F56" s="21" t="str">
        <f aca="false">IF($A56="","",IF(N(F120)=0,IF(N(F184)&gt;0,9.99,""),F184/F120))</f>
        <v/>
      </c>
      <c r="G56" s="21" t="str">
        <f aca="false">IF($A56="","",IF(N(G120)=0,IF(N(G184)&gt;0,9.99,""),G184/G120))</f>
        <v/>
      </c>
      <c r="H56" s="21" t="str">
        <f aca="false">IF($A56="","",IF(N(H120)=0,IF(N(H184)&gt;0,9.99,""),H184/H120))</f>
        <v/>
      </c>
      <c r="I56" s="21" t="str">
        <f aca="false">IF($A56="","",IF(N(I120)=0,IF(N(I184)&gt;0,9.99,""),I184/I120))</f>
        <v/>
      </c>
      <c r="J56" s="21" t="str">
        <f aca="false">IF($A56="","",IF(N(J120)=0,IF(N(J184)&gt;0,9.99,""),J184/J120))</f>
        <v/>
      </c>
      <c r="K56" s="21" t="str">
        <f aca="false">IF($A56="","",IF(N(K120)=0,IF(N(K184)&gt;0,9.99,""),K184/K120))</f>
        <v/>
      </c>
      <c r="L56" s="21" t="str">
        <f aca="false">IF($A56="","",IF(N(L120)=0,IF(N(L184)&gt;0,9.99,""),L184/L120))</f>
        <v/>
      </c>
      <c r="M56" s="21" t="str">
        <f aca="false">IF($A56="","",IF(N(M120)=0,IF(N(M184)&gt;0,9.99,""),M184/M120))</f>
        <v/>
      </c>
      <c r="N56" s="21" t="str">
        <f aca="false">IF($A56="","",IF(N(N120)=0,IF(N(N184)&gt;0,9.99,""),N184/N120))</f>
        <v/>
      </c>
      <c r="O56" s="21" t="str">
        <f aca="false">IF($A56="","",IF(N(O120)=0,IF(N(O184)&gt;0,9.99,""),O184/O120))</f>
        <v/>
      </c>
      <c r="P56" s="21" t="str">
        <f aca="false">IF($A56="","",MAX(D56:O56))</f>
        <v/>
      </c>
      <c r="Q56" s="21" t="str">
        <f aca="false">IF(OR($A56="",N(P120)=0),"",P184/P120)</f>
        <v/>
      </c>
      <c r="R56" s="2"/>
      <c r="S56" s="2"/>
    </row>
    <row r="57" customFormat="false" ht="15" hidden="false" customHeight="false" outlineLevel="0" collapsed="false">
      <c r="A57" s="26" t="str">
        <f aca="false">IF(Team!$A56="","",Team!$A56)</f>
        <v/>
      </c>
      <c r="B57" s="26" t="str">
        <f aca="false">IF(Team!$A56="","",Team!$B56)</f>
        <v/>
      </c>
      <c r="C57" s="26" t="str">
        <f aca="false">IF(Team!$A56="","",Team!$C56)</f>
        <v/>
      </c>
      <c r="D57" s="21" t="str">
        <f aca="false">IF($A57="","",IF(N(D121)=0,IF(N(D185)&gt;0,9.99,""),D185/D121))</f>
        <v/>
      </c>
      <c r="E57" s="21" t="str">
        <f aca="false">IF($A57="","",IF(N(E121)=0,IF(N(E185)&gt;0,9.99,""),E185/E121))</f>
        <v/>
      </c>
      <c r="F57" s="21" t="str">
        <f aca="false">IF($A57="","",IF(N(F121)=0,IF(N(F185)&gt;0,9.99,""),F185/F121))</f>
        <v/>
      </c>
      <c r="G57" s="21" t="str">
        <f aca="false">IF($A57="","",IF(N(G121)=0,IF(N(G185)&gt;0,9.99,""),G185/G121))</f>
        <v/>
      </c>
      <c r="H57" s="21" t="str">
        <f aca="false">IF($A57="","",IF(N(H121)=0,IF(N(H185)&gt;0,9.99,""),H185/H121))</f>
        <v/>
      </c>
      <c r="I57" s="21" t="str">
        <f aca="false">IF($A57="","",IF(N(I121)=0,IF(N(I185)&gt;0,9.99,""),I185/I121))</f>
        <v/>
      </c>
      <c r="J57" s="21" t="str">
        <f aca="false">IF($A57="","",IF(N(J121)=0,IF(N(J185)&gt;0,9.99,""),J185/J121))</f>
        <v/>
      </c>
      <c r="K57" s="21" t="str">
        <f aca="false">IF($A57="","",IF(N(K121)=0,IF(N(K185)&gt;0,9.99,""),K185/K121))</f>
        <v/>
      </c>
      <c r="L57" s="21" t="str">
        <f aca="false">IF($A57="","",IF(N(L121)=0,IF(N(L185)&gt;0,9.99,""),L185/L121))</f>
        <v/>
      </c>
      <c r="M57" s="21" t="str">
        <f aca="false">IF($A57="","",IF(N(M121)=0,IF(N(M185)&gt;0,9.99,""),M185/M121))</f>
        <v/>
      </c>
      <c r="N57" s="21" t="str">
        <f aca="false">IF($A57="","",IF(N(N121)=0,IF(N(N185)&gt;0,9.99,""),N185/N121))</f>
        <v/>
      </c>
      <c r="O57" s="21" t="str">
        <f aca="false">IF($A57="","",IF(N(O121)=0,IF(N(O185)&gt;0,9.99,""),O185/O121))</f>
        <v/>
      </c>
      <c r="P57" s="21" t="str">
        <f aca="false">IF($A57="","",MAX(D57:O57))</f>
        <v/>
      </c>
      <c r="Q57" s="21" t="str">
        <f aca="false">IF(OR($A57="",N(P121)=0),"",P185/P121)</f>
        <v/>
      </c>
      <c r="R57" s="2"/>
      <c r="S57" s="2"/>
    </row>
    <row r="58" customFormat="false" ht="15" hidden="false" customHeight="false" outlineLevel="0" collapsed="false">
      <c r="A58" s="26" t="str">
        <f aca="false">IF(Team!$A57="","",Team!$A57)</f>
        <v/>
      </c>
      <c r="B58" s="26" t="str">
        <f aca="false">IF(Team!$A57="","",Team!$B57)</f>
        <v/>
      </c>
      <c r="C58" s="26" t="str">
        <f aca="false">IF(Team!$A57="","",Team!$C57)</f>
        <v/>
      </c>
      <c r="D58" s="21" t="str">
        <f aca="false">IF($A58="","",IF(N(D122)=0,IF(N(D186)&gt;0,9.99,""),D186/D122))</f>
        <v/>
      </c>
      <c r="E58" s="21" t="str">
        <f aca="false">IF($A58="","",IF(N(E122)=0,IF(N(E186)&gt;0,9.99,""),E186/E122))</f>
        <v/>
      </c>
      <c r="F58" s="21" t="str">
        <f aca="false">IF($A58="","",IF(N(F122)=0,IF(N(F186)&gt;0,9.99,""),F186/F122))</f>
        <v/>
      </c>
      <c r="G58" s="21" t="str">
        <f aca="false">IF($A58="","",IF(N(G122)=0,IF(N(G186)&gt;0,9.99,""),G186/G122))</f>
        <v/>
      </c>
      <c r="H58" s="21" t="str">
        <f aca="false">IF($A58="","",IF(N(H122)=0,IF(N(H186)&gt;0,9.99,""),H186/H122))</f>
        <v/>
      </c>
      <c r="I58" s="21" t="str">
        <f aca="false">IF($A58="","",IF(N(I122)=0,IF(N(I186)&gt;0,9.99,""),I186/I122))</f>
        <v/>
      </c>
      <c r="J58" s="21" t="str">
        <f aca="false">IF($A58="","",IF(N(J122)=0,IF(N(J186)&gt;0,9.99,""),J186/J122))</f>
        <v/>
      </c>
      <c r="K58" s="21" t="str">
        <f aca="false">IF($A58="","",IF(N(K122)=0,IF(N(K186)&gt;0,9.99,""),K186/K122))</f>
        <v/>
      </c>
      <c r="L58" s="21" t="str">
        <f aca="false">IF($A58="","",IF(N(L122)=0,IF(N(L186)&gt;0,9.99,""),L186/L122))</f>
        <v/>
      </c>
      <c r="M58" s="21" t="str">
        <f aca="false">IF($A58="","",IF(N(M122)=0,IF(N(M186)&gt;0,9.99,""),M186/M122))</f>
        <v/>
      </c>
      <c r="N58" s="21" t="str">
        <f aca="false">IF($A58="","",IF(N(N122)=0,IF(N(N186)&gt;0,9.99,""),N186/N122))</f>
        <v/>
      </c>
      <c r="O58" s="21" t="str">
        <f aca="false">IF($A58="","",IF(N(O122)=0,IF(N(O186)&gt;0,9.99,""),O186/O122))</f>
        <v/>
      </c>
      <c r="P58" s="21" t="str">
        <f aca="false">IF($A58="","",MAX(D58:O58))</f>
        <v/>
      </c>
      <c r="Q58" s="21" t="str">
        <f aca="false">IF(OR($A58="",N(P122)=0),"",P186/P122)</f>
        <v/>
      </c>
      <c r="R58" s="2"/>
      <c r="S58" s="2"/>
    </row>
    <row r="59" customFormat="false" ht="15" hidden="false" customHeight="false" outlineLevel="0" collapsed="false">
      <c r="A59" s="26" t="str">
        <f aca="false">IF(Team!$A58="","",Team!$A58)</f>
        <v/>
      </c>
      <c r="B59" s="26" t="str">
        <f aca="false">IF(Team!$A58="","",Team!$B58)</f>
        <v/>
      </c>
      <c r="C59" s="26" t="str">
        <f aca="false">IF(Team!$A58="","",Team!$C58)</f>
        <v/>
      </c>
      <c r="D59" s="21" t="str">
        <f aca="false">IF($A59="","",IF(N(D123)=0,IF(N(D187)&gt;0,9.99,""),D187/D123))</f>
        <v/>
      </c>
      <c r="E59" s="21" t="str">
        <f aca="false">IF($A59="","",IF(N(E123)=0,IF(N(E187)&gt;0,9.99,""),E187/E123))</f>
        <v/>
      </c>
      <c r="F59" s="21" t="str">
        <f aca="false">IF($A59="","",IF(N(F123)=0,IF(N(F187)&gt;0,9.99,""),F187/F123))</f>
        <v/>
      </c>
      <c r="G59" s="21" t="str">
        <f aca="false">IF($A59="","",IF(N(G123)=0,IF(N(G187)&gt;0,9.99,""),G187/G123))</f>
        <v/>
      </c>
      <c r="H59" s="21" t="str">
        <f aca="false">IF($A59="","",IF(N(H123)=0,IF(N(H187)&gt;0,9.99,""),H187/H123))</f>
        <v/>
      </c>
      <c r="I59" s="21" t="str">
        <f aca="false">IF($A59="","",IF(N(I123)=0,IF(N(I187)&gt;0,9.99,""),I187/I123))</f>
        <v/>
      </c>
      <c r="J59" s="21" t="str">
        <f aca="false">IF($A59="","",IF(N(J123)=0,IF(N(J187)&gt;0,9.99,""),J187/J123))</f>
        <v/>
      </c>
      <c r="K59" s="21" t="str">
        <f aca="false">IF($A59="","",IF(N(K123)=0,IF(N(K187)&gt;0,9.99,""),K187/K123))</f>
        <v/>
      </c>
      <c r="L59" s="21" t="str">
        <f aca="false">IF($A59="","",IF(N(L123)=0,IF(N(L187)&gt;0,9.99,""),L187/L123))</f>
        <v/>
      </c>
      <c r="M59" s="21" t="str">
        <f aca="false">IF($A59="","",IF(N(M123)=0,IF(N(M187)&gt;0,9.99,""),M187/M123))</f>
        <v/>
      </c>
      <c r="N59" s="21" t="str">
        <f aca="false">IF($A59="","",IF(N(N123)=0,IF(N(N187)&gt;0,9.99,""),N187/N123))</f>
        <v/>
      </c>
      <c r="O59" s="21" t="str">
        <f aca="false">IF($A59="","",IF(N(O123)=0,IF(N(O187)&gt;0,9.99,""),O187/O123))</f>
        <v/>
      </c>
      <c r="P59" s="21" t="str">
        <f aca="false">IF($A59="","",MAX(D59:O59))</f>
        <v/>
      </c>
      <c r="Q59" s="21" t="str">
        <f aca="false">IF(OR($A59="",N(P123)=0),"",P187/P123)</f>
        <v/>
      </c>
      <c r="R59" s="2"/>
      <c r="S59" s="2"/>
    </row>
    <row r="60" customFormat="false" ht="15" hidden="false" customHeight="false" outlineLevel="0" collapsed="false">
      <c r="A60" s="26" t="str">
        <f aca="false">IF(Team!$A59="","",Team!$A59)</f>
        <v/>
      </c>
      <c r="B60" s="26" t="str">
        <f aca="false">IF(Team!$A59="","",Team!$B59)</f>
        <v/>
      </c>
      <c r="C60" s="26" t="str">
        <f aca="false">IF(Team!$A59="","",Team!$C59)</f>
        <v/>
      </c>
      <c r="D60" s="21" t="str">
        <f aca="false">IF($A60="","",IF(N(D124)=0,IF(N(D188)&gt;0,9.99,""),D188/D124))</f>
        <v/>
      </c>
      <c r="E60" s="21" t="str">
        <f aca="false">IF($A60="","",IF(N(E124)=0,IF(N(E188)&gt;0,9.99,""),E188/E124))</f>
        <v/>
      </c>
      <c r="F60" s="21" t="str">
        <f aca="false">IF($A60="","",IF(N(F124)=0,IF(N(F188)&gt;0,9.99,""),F188/F124))</f>
        <v/>
      </c>
      <c r="G60" s="21" t="str">
        <f aca="false">IF($A60="","",IF(N(G124)=0,IF(N(G188)&gt;0,9.99,""),G188/G124))</f>
        <v/>
      </c>
      <c r="H60" s="21" t="str">
        <f aca="false">IF($A60="","",IF(N(H124)=0,IF(N(H188)&gt;0,9.99,""),H188/H124))</f>
        <v/>
      </c>
      <c r="I60" s="21" t="str">
        <f aca="false">IF($A60="","",IF(N(I124)=0,IF(N(I188)&gt;0,9.99,""),I188/I124))</f>
        <v/>
      </c>
      <c r="J60" s="21" t="str">
        <f aca="false">IF($A60="","",IF(N(J124)=0,IF(N(J188)&gt;0,9.99,""),J188/J124))</f>
        <v/>
      </c>
      <c r="K60" s="21" t="str">
        <f aca="false">IF($A60="","",IF(N(K124)=0,IF(N(K188)&gt;0,9.99,""),K188/K124))</f>
        <v/>
      </c>
      <c r="L60" s="21" t="str">
        <f aca="false">IF($A60="","",IF(N(L124)=0,IF(N(L188)&gt;0,9.99,""),L188/L124))</f>
        <v/>
      </c>
      <c r="M60" s="21" t="str">
        <f aca="false">IF($A60="","",IF(N(M124)=0,IF(N(M188)&gt;0,9.99,""),M188/M124))</f>
        <v/>
      </c>
      <c r="N60" s="21" t="str">
        <f aca="false">IF($A60="","",IF(N(N124)=0,IF(N(N188)&gt;0,9.99,""),N188/N124))</f>
        <v/>
      </c>
      <c r="O60" s="21" t="str">
        <f aca="false">IF($A60="","",IF(N(O124)=0,IF(N(O188)&gt;0,9.99,""),O188/O124))</f>
        <v/>
      </c>
      <c r="P60" s="21" t="str">
        <f aca="false">IF($A60="","",MAX(D60:O60))</f>
        <v/>
      </c>
      <c r="Q60" s="21" t="str">
        <f aca="false">IF(OR($A60="",N(P124)=0),"",P188/P124)</f>
        <v/>
      </c>
      <c r="R60" s="2"/>
      <c r="S60" s="2"/>
    </row>
    <row r="61" customFormat="false" ht="15" hidden="false" customHeight="false" outlineLevel="0" collapsed="false">
      <c r="A61" s="26" t="str">
        <f aca="false">IF(Team!$A60="","",Team!$A60)</f>
        <v/>
      </c>
      <c r="B61" s="26" t="str">
        <f aca="false">IF(Team!$A60="","",Team!$B60)</f>
        <v/>
      </c>
      <c r="C61" s="26" t="str">
        <f aca="false">IF(Team!$A60="","",Team!$C60)</f>
        <v/>
      </c>
      <c r="D61" s="21" t="str">
        <f aca="false">IF($A61="","",IF(N(D125)=0,IF(N(D189)&gt;0,9.99,""),D189/D125))</f>
        <v/>
      </c>
      <c r="E61" s="21" t="str">
        <f aca="false">IF($A61="","",IF(N(E125)=0,IF(N(E189)&gt;0,9.99,""),E189/E125))</f>
        <v/>
      </c>
      <c r="F61" s="21" t="str">
        <f aca="false">IF($A61="","",IF(N(F125)=0,IF(N(F189)&gt;0,9.99,""),F189/F125))</f>
        <v/>
      </c>
      <c r="G61" s="21" t="str">
        <f aca="false">IF($A61="","",IF(N(G125)=0,IF(N(G189)&gt;0,9.99,""),G189/G125))</f>
        <v/>
      </c>
      <c r="H61" s="21" t="str">
        <f aca="false">IF($A61="","",IF(N(H125)=0,IF(N(H189)&gt;0,9.99,""),H189/H125))</f>
        <v/>
      </c>
      <c r="I61" s="21" t="str">
        <f aca="false">IF($A61="","",IF(N(I125)=0,IF(N(I189)&gt;0,9.99,""),I189/I125))</f>
        <v/>
      </c>
      <c r="J61" s="21" t="str">
        <f aca="false">IF($A61="","",IF(N(J125)=0,IF(N(J189)&gt;0,9.99,""),J189/J125))</f>
        <v/>
      </c>
      <c r="K61" s="21" t="str">
        <f aca="false">IF($A61="","",IF(N(K125)=0,IF(N(K189)&gt;0,9.99,""),K189/K125))</f>
        <v/>
      </c>
      <c r="L61" s="21" t="str">
        <f aca="false">IF($A61="","",IF(N(L125)=0,IF(N(L189)&gt;0,9.99,""),L189/L125))</f>
        <v/>
      </c>
      <c r="M61" s="21" t="str">
        <f aca="false">IF($A61="","",IF(N(M125)=0,IF(N(M189)&gt;0,9.99,""),M189/M125))</f>
        <v/>
      </c>
      <c r="N61" s="21" t="str">
        <f aca="false">IF($A61="","",IF(N(N125)=0,IF(N(N189)&gt;0,9.99,""),N189/N125))</f>
        <v/>
      </c>
      <c r="O61" s="21" t="str">
        <f aca="false">IF($A61="","",IF(N(O125)=0,IF(N(O189)&gt;0,9.99,""),O189/O125))</f>
        <v/>
      </c>
      <c r="P61" s="21" t="str">
        <f aca="false">IF($A61="","",MAX(D61:O61))</f>
        <v/>
      </c>
      <c r="Q61" s="21" t="str">
        <f aca="false">IF(OR($A61="",N(P125)=0),"",P189/P125)</f>
        <v/>
      </c>
      <c r="R61" s="2"/>
      <c r="S61" s="2"/>
    </row>
    <row r="62" customFormat="false" ht="15" hidden="false" customHeight="false" outlineLevel="0" collapsed="false">
      <c r="A62" s="26" t="str">
        <f aca="false">IF(Team!$A61="","",Team!$A61)</f>
        <v/>
      </c>
      <c r="B62" s="26" t="str">
        <f aca="false">IF(Team!$A61="","",Team!$B61)</f>
        <v/>
      </c>
      <c r="C62" s="26" t="str">
        <f aca="false">IF(Team!$A61="","",Team!$C61)</f>
        <v/>
      </c>
      <c r="D62" s="21" t="str">
        <f aca="false">IF($A62="","",IF(N(D126)=0,IF(N(D190)&gt;0,9.99,""),D190/D126))</f>
        <v/>
      </c>
      <c r="E62" s="21" t="str">
        <f aca="false">IF($A62="","",IF(N(E126)=0,IF(N(E190)&gt;0,9.99,""),E190/E126))</f>
        <v/>
      </c>
      <c r="F62" s="21" t="str">
        <f aca="false">IF($A62="","",IF(N(F126)=0,IF(N(F190)&gt;0,9.99,""),F190/F126))</f>
        <v/>
      </c>
      <c r="G62" s="21" t="str">
        <f aca="false">IF($A62="","",IF(N(G126)=0,IF(N(G190)&gt;0,9.99,""),G190/G126))</f>
        <v/>
      </c>
      <c r="H62" s="21" t="str">
        <f aca="false">IF($A62="","",IF(N(H126)=0,IF(N(H190)&gt;0,9.99,""),H190/H126))</f>
        <v/>
      </c>
      <c r="I62" s="21" t="str">
        <f aca="false">IF($A62="","",IF(N(I126)=0,IF(N(I190)&gt;0,9.99,""),I190/I126))</f>
        <v/>
      </c>
      <c r="J62" s="21" t="str">
        <f aca="false">IF($A62="","",IF(N(J126)=0,IF(N(J190)&gt;0,9.99,""),J190/J126))</f>
        <v/>
      </c>
      <c r="K62" s="21" t="str">
        <f aca="false">IF($A62="","",IF(N(K126)=0,IF(N(K190)&gt;0,9.99,""),K190/K126))</f>
        <v/>
      </c>
      <c r="L62" s="21" t="str">
        <f aca="false">IF($A62="","",IF(N(L126)=0,IF(N(L190)&gt;0,9.99,""),L190/L126))</f>
        <v/>
      </c>
      <c r="M62" s="21" t="str">
        <f aca="false">IF($A62="","",IF(N(M126)=0,IF(N(M190)&gt;0,9.99,""),M190/M126))</f>
        <v/>
      </c>
      <c r="N62" s="21" t="str">
        <f aca="false">IF($A62="","",IF(N(N126)=0,IF(N(N190)&gt;0,9.99,""),N190/N126))</f>
        <v/>
      </c>
      <c r="O62" s="21" t="str">
        <f aca="false">IF($A62="","",IF(N(O126)=0,IF(N(O190)&gt;0,9.99,""),O190/O126))</f>
        <v/>
      </c>
      <c r="P62" s="21" t="str">
        <f aca="false">IF($A62="","",MAX(D62:O62))</f>
        <v/>
      </c>
      <c r="Q62" s="21" t="str">
        <f aca="false">IF(OR($A62="",N(P126)=0),"",P190/P126)</f>
        <v/>
      </c>
      <c r="R62" s="2"/>
      <c r="S62" s="2"/>
    </row>
    <row r="63" customFormat="false" ht="15" hidden="false" customHeight="false" outlineLevel="0" collapsed="false">
      <c r="A63" s="26" t="str">
        <f aca="false">IF(Team!$A62="","",Team!$A62)</f>
        <v/>
      </c>
      <c r="B63" s="26" t="str">
        <f aca="false">IF(Team!$A62="","",Team!$B62)</f>
        <v/>
      </c>
      <c r="C63" s="26" t="str">
        <f aca="false">IF(Team!$A62="","",Team!$C62)</f>
        <v/>
      </c>
      <c r="D63" s="21" t="str">
        <f aca="false">IF($A63="","",IF(N(D127)=0,IF(N(D191)&gt;0,9.99,""),D191/D127))</f>
        <v/>
      </c>
      <c r="E63" s="21" t="str">
        <f aca="false">IF($A63="","",IF(N(E127)=0,IF(N(E191)&gt;0,9.99,""),E191/E127))</f>
        <v/>
      </c>
      <c r="F63" s="21" t="str">
        <f aca="false">IF($A63="","",IF(N(F127)=0,IF(N(F191)&gt;0,9.99,""),F191/F127))</f>
        <v/>
      </c>
      <c r="G63" s="21" t="str">
        <f aca="false">IF($A63="","",IF(N(G127)=0,IF(N(G191)&gt;0,9.99,""),G191/G127))</f>
        <v/>
      </c>
      <c r="H63" s="21" t="str">
        <f aca="false">IF($A63="","",IF(N(H127)=0,IF(N(H191)&gt;0,9.99,""),H191/H127))</f>
        <v/>
      </c>
      <c r="I63" s="21" t="str">
        <f aca="false">IF($A63="","",IF(N(I127)=0,IF(N(I191)&gt;0,9.99,""),I191/I127))</f>
        <v/>
      </c>
      <c r="J63" s="21" t="str">
        <f aca="false">IF($A63="","",IF(N(J127)=0,IF(N(J191)&gt;0,9.99,""),J191/J127))</f>
        <v/>
      </c>
      <c r="K63" s="21" t="str">
        <f aca="false">IF($A63="","",IF(N(K127)=0,IF(N(K191)&gt;0,9.99,""),K191/K127))</f>
        <v/>
      </c>
      <c r="L63" s="21" t="str">
        <f aca="false">IF($A63="","",IF(N(L127)=0,IF(N(L191)&gt;0,9.99,""),L191/L127))</f>
        <v/>
      </c>
      <c r="M63" s="21" t="str">
        <f aca="false">IF($A63="","",IF(N(M127)=0,IF(N(M191)&gt;0,9.99,""),M191/M127))</f>
        <v/>
      </c>
      <c r="N63" s="21" t="str">
        <f aca="false">IF($A63="","",IF(N(N127)=0,IF(N(N191)&gt;0,9.99,""),N191/N127))</f>
        <v/>
      </c>
      <c r="O63" s="21" t="str">
        <f aca="false">IF($A63="","",IF(N(O127)=0,IF(N(O191)&gt;0,9.99,""),O191/O127))</f>
        <v/>
      </c>
      <c r="P63" s="21" t="str">
        <f aca="false">IF($A63="","",MAX(D63:O63))</f>
        <v/>
      </c>
      <c r="Q63" s="21" t="str">
        <f aca="false">IF(OR($A63="",N(P127)=0),"",P191/P127)</f>
        <v/>
      </c>
      <c r="R63" s="2"/>
      <c r="S63" s="2"/>
    </row>
    <row r="64" customFormat="false" ht="15" hidden="false" customHeight="false" outlineLevel="0" collapsed="false">
      <c r="A64" s="26" t="str">
        <f aca="false">IF(Team!$A63="","",Team!$A63)</f>
        <v/>
      </c>
      <c r="B64" s="26" t="str">
        <f aca="false">IF(Team!$A63="","",Team!$B63)</f>
        <v/>
      </c>
      <c r="C64" s="26" t="str">
        <f aca="false">IF(Team!$A63="","",Team!$C63)</f>
        <v/>
      </c>
      <c r="D64" s="21" t="str">
        <f aca="false">IF($A64="","",IF(N(D128)=0,IF(N(D192)&gt;0,9.99,""),D192/D128))</f>
        <v/>
      </c>
      <c r="E64" s="21" t="str">
        <f aca="false">IF($A64="","",IF(N(E128)=0,IF(N(E192)&gt;0,9.99,""),E192/E128))</f>
        <v/>
      </c>
      <c r="F64" s="21" t="str">
        <f aca="false">IF($A64="","",IF(N(F128)=0,IF(N(F192)&gt;0,9.99,""),F192/F128))</f>
        <v/>
      </c>
      <c r="G64" s="21" t="str">
        <f aca="false">IF($A64="","",IF(N(G128)=0,IF(N(G192)&gt;0,9.99,""),G192/G128))</f>
        <v/>
      </c>
      <c r="H64" s="21" t="str">
        <f aca="false">IF($A64="","",IF(N(H128)=0,IF(N(H192)&gt;0,9.99,""),H192/H128))</f>
        <v/>
      </c>
      <c r="I64" s="21" t="str">
        <f aca="false">IF($A64="","",IF(N(I128)=0,IF(N(I192)&gt;0,9.99,""),I192/I128))</f>
        <v/>
      </c>
      <c r="J64" s="21" t="str">
        <f aca="false">IF($A64="","",IF(N(J128)=0,IF(N(J192)&gt;0,9.99,""),J192/J128))</f>
        <v/>
      </c>
      <c r="K64" s="21" t="str">
        <f aca="false">IF($A64="","",IF(N(K128)=0,IF(N(K192)&gt;0,9.99,""),K192/K128))</f>
        <v/>
      </c>
      <c r="L64" s="21" t="str">
        <f aca="false">IF($A64="","",IF(N(L128)=0,IF(N(L192)&gt;0,9.99,""),L192/L128))</f>
        <v/>
      </c>
      <c r="M64" s="21" t="str">
        <f aca="false">IF($A64="","",IF(N(M128)=0,IF(N(M192)&gt;0,9.99,""),M192/M128))</f>
        <v/>
      </c>
      <c r="N64" s="21" t="str">
        <f aca="false">IF($A64="","",IF(N(N128)=0,IF(N(N192)&gt;0,9.99,""),N192/N128))</f>
        <v/>
      </c>
      <c r="O64" s="21" t="str">
        <f aca="false">IF($A64="","",IF(N(O128)=0,IF(N(O192)&gt;0,9.99,""),O192/O128))</f>
        <v/>
      </c>
      <c r="P64" s="21" t="str">
        <f aca="false">IF($A64="","",MAX(D64:O64))</f>
        <v/>
      </c>
      <c r="Q64" s="21" t="str">
        <f aca="false">IF(OR($A64="",N(P128)=0),"",P192/P128)</f>
        <v/>
      </c>
      <c r="R64" s="2"/>
      <c r="S64" s="2"/>
    </row>
    <row r="65" customFormat="false" ht="15" hidden="false" customHeight="false" outlineLevel="0" collapsed="false">
      <c r="A65" s="26" t="str">
        <f aca="false">IF(Team!$A64="","",Team!$A64)</f>
        <v/>
      </c>
      <c r="B65" s="26" t="str">
        <f aca="false">IF(Team!$A64="","",Team!$B64)</f>
        <v/>
      </c>
      <c r="C65" s="26" t="str">
        <f aca="false">IF(Team!$A64="","",Team!$C64)</f>
        <v/>
      </c>
      <c r="D65" s="21" t="str">
        <f aca="false">IF($A65="","",IF(N(D129)=0,IF(N(D193)&gt;0,9.99,""),D193/D129))</f>
        <v/>
      </c>
      <c r="E65" s="21" t="str">
        <f aca="false">IF($A65="","",IF(N(E129)=0,IF(N(E193)&gt;0,9.99,""),E193/E129))</f>
        <v/>
      </c>
      <c r="F65" s="21" t="str">
        <f aca="false">IF($A65="","",IF(N(F129)=0,IF(N(F193)&gt;0,9.99,""),F193/F129))</f>
        <v/>
      </c>
      <c r="G65" s="21" t="str">
        <f aca="false">IF($A65="","",IF(N(G129)=0,IF(N(G193)&gt;0,9.99,""),G193/G129))</f>
        <v/>
      </c>
      <c r="H65" s="21" t="str">
        <f aca="false">IF($A65="","",IF(N(H129)=0,IF(N(H193)&gt;0,9.99,""),H193/H129))</f>
        <v/>
      </c>
      <c r="I65" s="21" t="str">
        <f aca="false">IF($A65="","",IF(N(I129)=0,IF(N(I193)&gt;0,9.99,""),I193/I129))</f>
        <v/>
      </c>
      <c r="J65" s="21" t="str">
        <f aca="false">IF($A65="","",IF(N(J129)=0,IF(N(J193)&gt;0,9.99,""),J193/J129))</f>
        <v/>
      </c>
      <c r="K65" s="21" t="str">
        <f aca="false">IF($A65="","",IF(N(K129)=0,IF(N(K193)&gt;0,9.99,""),K193/K129))</f>
        <v/>
      </c>
      <c r="L65" s="21" t="str">
        <f aca="false">IF($A65="","",IF(N(L129)=0,IF(N(L193)&gt;0,9.99,""),L193/L129))</f>
        <v/>
      </c>
      <c r="M65" s="21" t="str">
        <f aca="false">IF($A65="","",IF(N(M129)=0,IF(N(M193)&gt;0,9.99,""),M193/M129))</f>
        <v/>
      </c>
      <c r="N65" s="21" t="str">
        <f aca="false">IF($A65="","",IF(N(N129)=0,IF(N(N193)&gt;0,9.99,""),N193/N129))</f>
        <v/>
      </c>
      <c r="O65" s="21" t="str">
        <f aca="false">IF($A65="","",IF(N(O129)=0,IF(N(O193)&gt;0,9.99,""),O193/O129))</f>
        <v/>
      </c>
      <c r="P65" s="21" t="str">
        <f aca="false">IF($A65="","",MAX(D65:O65))</f>
        <v/>
      </c>
      <c r="Q65" s="21" t="str">
        <f aca="false">IF(OR($A65="",N(P129)=0),"",P193/P129)</f>
        <v/>
      </c>
      <c r="R65" s="2"/>
      <c r="S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customFormat="false" ht="15" hidden="false" customHeight="false" outlineLevel="0" collapsed="false">
      <c r="A68" s="16" t="s">
        <v>198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customFormat="false" ht="30" hidden="false" customHeight="true" outlineLevel="0" collapsed="false">
      <c r="A69" s="17" t="s">
        <v>136</v>
      </c>
      <c r="B69" s="17" t="s">
        <v>59</v>
      </c>
      <c r="C69" s="17" t="s">
        <v>137</v>
      </c>
      <c r="D69" s="34" t="n">
        <f aca="false">Settings!$A$8</f>
        <v>46388</v>
      </c>
      <c r="E69" s="34" t="n">
        <f aca="false">Settings!$A$9</f>
        <v>46419</v>
      </c>
      <c r="F69" s="34" t="n">
        <f aca="false">Settings!$A$10</f>
        <v>46447</v>
      </c>
      <c r="G69" s="34" t="n">
        <f aca="false">Settings!$A$11</f>
        <v>46478</v>
      </c>
      <c r="H69" s="34" t="n">
        <f aca="false">Settings!$A$12</f>
        <v>46508</v>
      </c>
      <c r="I69" s="34" t="n">
        <f aca="false">Settings!$A$13</f>
        <v>46539</v>
      </c>
      <c r="J69" s="34" t="n">
        <f aca="false">Settings!$A$14</f>
        <v>46569</v>
      </c>
      <c r="K69" s="34" t="n">
        <f aca="false">Settings!$A$15</f>
        <v>46600</v>
      </c>
      <c r="L69" s="34" t="n">
        <f aca="false">Settings!$A$16</f>
        <v>46631</v>
      </c>
      <c r="M69" s="34" t="n">
        <f aca="false">Settings!$A$17</f>
        <v>46661</v>
      </c>
      <c r="N69" s="34" t="n">
        <f aca="false">Settings!$A$18</f>
        <v>46692</v>
      </c>
      <c r="O69" s="34" t="n">
        <f aca="false">Settings!$A$19</f>
        <v>46722</v>
      </c>
      <c r="P69" s="17" t="s">
        <v>199</v>
      </c>
      <c r="Q69" s="2"/>
      <c r="R69" s="2"/>
      <c r="S69" s="2"/>
    </row>
    <row r="70" customFormat="false" ht="15" hidden="false" customHeight="false" outlineLevel="0" collapsed="false">
      <c r="A70" s="26" t="str">
        <f aca="false">IF(Team!$A5="","",Team!$A5)</f>
        <v>Tech Lead 1</v>
      </c>
      <c r="B70" s="26" t="str">
        <f aca="false">IF(Team!$A5="","",Team!$B5)</f>
        <v>Tech Lead</v>
      </c>
      <c r="C70" s="26" t="str">
        <f aca="false">IF(Team!$A5="","",Team!$C5)</f>
        <v>FTE</v>
      </c>
      <c r="D70" s="43" t="n">
        <f aca="false">IF($A70="","",IF(AND(IF(Team!$I5="",DATE(Settings!$B$3,1,1),Team!$I5)&lt;=EOMONTH(D$69,0),IF(Team!$J5="",DATE(Settings!$B$3,12,31),Team!$J5)&gt;=D$69),IF(Team!$G5="",Settings!$B$4,Team!$G5)*(1-N(Team!$H5)/12/Settings!$B$8),0))</f>
        <v>0.729824561403509</v>
      </c>
      <c r="E70" s="43" t="n">
        <f aca="false">IF($A70="","",IF(AND(IF(Team!$I5="",DATE(Settings!$B$3,1,1),Team!$I5)&lt;=EOMONTH(E$69,0),IF(Team!$J5="",DATE(Settings!$B$3,12,31),Team!$J5)&gt;=E$69),IF(Team!$G5="",Settings!$B$4,Team!$G5)*(1-N(Team!$H5)/12/Settings!$B$9),0))</f>
        <v>0.729824561403509</v>
      </c>
      <c r="F70" s="43" t="n">
        <f aca="false">IF($A70="","",IF(AND(IF(Team!$I5="",DATE(Settings!$B$3,1,1),Team!$I5)&lt;=EOMONTH(F$69,0),IF(Team!$J5="",DATE(Settings!$B$3,12,31),Team!$J5)&gt;=F$69),IF(Team!$G5="",Settings!$B$4,Team!$G5)*(1-N(Team!$H5)/12/Settings!$B$10),0))</f>
        <v>0.739393939393939</v>
      </c>
      <c r="G70" s="43" t="n">
        <f aca="false">IF($A70="","",IF(AND(IF(Team!$I5="",DATE(Settings!$B$3,1,1),Team!$I5)&lt;=EOMONTH(G$69,0),IF(Team!$J5="",DATE(Settings!$B$3,12,31),Team!$J5)&gt;=G$69),IF(Team!$G5="",Settings!$B$4,Team!$G5)*(1-N(Team!$H5)/12/Settings!$B$11),0))</f>
        <v>0.739393939393939</v>
      </c>
      <c r="H70" s="43" t="n">
        <f aca="false">IF($A70="","",IF(AND(IF(Team!$I5="",DATE(Settings!$B$3,1,1),Team!$I5)&lt;=EOMONTH(H$69,0),IF(Team!$J5="",DATE(Settings!$B$3,12,31),Team!$J5)&gt;=H$69),IF(Team!$G5="",Settings!$B$4,Team!$G5)*(1-N(Team!$H5)/12/Settings!$B$12),0))</f>
        <v>0.733333333333333</v>
      </c>
      <c r="I70" s="43" t="n">
        <f aca="false">IF($A70="","",IF(AND(IF(Team!$I5="",DATE(Settings!$B$3,1,1),Team!$I5)&lt;=EOMONTH(I$69,0),IF(Team!$J5="",DATE(Settings!$B$3,12,31),Team!$J5)&gt;=I$69),IF(Team!$G5="",Settings!$B$4,Team!$G5)*(1-N(Team!$H5)/12/Settings!$B$13),0))</f>
        <v>0.736507936507937</v>
      </c>
      <c r="J70" s="43" t="n">
        <f aca="false">IF($A70="","",IF(AND(IF(Team!$I5="",DATE(Settings!$B$3,1,1),Team!$I5)&lt;=EOMONTH(J$69,0),IF(Team!$J5="",DATE(Settings!$B$3,12,31),Team!$J5)&gt;=J$69),IF(Team!$G5="",Settings!$B$4,Team!$G5)*(1-N(Team!$H5)/12/Settings!$B$14),0))</f>
        <v>0.736507936507937</v>
      </c>
      <c r="K70" s="43" t="n">
        <f aca="false">IF($A70="","",IF(AND(IF(Team!$I5="",DATE(Settings!$B$3,1,1),Team!$I5)&lt;=EOMONTH(K$69,0),IF(Team!$J5="",DATE(Settings!$B$3,12,31),Team!$J5)&gt;=K$69),IF(Team!$G5="",Settings!$B$4,Team!$G5)*(1-N(Team!$H5)/12/Settings!$B$15),0))</f>
        <v>0.739393939393939</v>
      </c>
      <c r="L70" s="43" t="n">
        <f aca="false">IF($A70="","",IF(AND(IF(Team!$I5="",DATE(Settings!$B$3,1,1),Team!$I5)&lt;=EOMONTH(L$69,0),IF(Team!$J5="",DATE(Settings!$B$3,12,31),Team!$J5)&gt;=L$69),IF(Team!$G5="",Settings!$B$4,Team!$G5)*(1-N(Team!$H5)/12/Settings!$B$16),0))</f>
        <v>0.736507936507937</v>
      </c>
      <c r="M70" s="43" t="n">
        <f aca="false">IF($A70="","",IF(AND(IF(Team!$I5="",DATE(Settings!$B$3,1,1),Team!$I5)&lt;=EOMONTH(M$69,0),IF(Team!$J5="",DATE(Settings!$B$3,12,31),Team!$J5)&gt;=M$69),IF(Team!$G5="",Settings!$B$4,Team!$G5)*(1-N(Team!$H5)/12/Settings!$B$17),0))</f>
        <v>0.736507936507937</v>
      </c>
      <c r="N70" s="43" t="n">
        <f aca="false">IF($A70="","",IF(AND(IF(Team!$I5="",DATE(Settings!$B$3,1,1),Team!$I5)&lt;=EOMONTH(N$69,0),IF(Team!$J5="",DATE(Settings!$B$3,12,31),Team!$J5)&gt;=N$69),IF(Team!$G5="",Settings!$B$4,Team!$G5)*(1-N(Team!$H5)/12/Settings!$B$18),0))</f>
        <v>0.733333333333333</v>
      </c>
      <c r="O70" s="43" t="n">
        <f aca="false">IF($A70="","",IF(AND(IF(Team!$I5="",DATE(Settings!$B$3,1,1),Team!$I5)&lt;=EOMONTH(O$69,0),IF(Team!$J5="",DATE(Settings!$B$3,12,31),Team!$J5)&gt;=O$69),IF(Team!$G5="",Settings!$B$4,Team!$G5)*(1-N(Team!$H5)/12/Settings!$B$19),0))</f>
        <v>0.739393939393939</v>
      </c>
      <c r="P70" s="19" t="n">
        <f aca="false">IF($A70="","",SUM(D70:O70))</f>
        <v>8.82992329308119</v>
      </c>
      <c r="Q70" s="2"/>
      <c r="R70" s="2"/>
      <c r="S70" s="2"/>
    </row>
    <row r="71" customFormat="false" ht="15" hidden="false" customHeight="false" outlineLevel="0" collapsed="false">
      <c r="A71" s="26" t="str">
        <f aca="false">IF(Team!$A6="","",Team!$A6)</f>
        <v>Java Dev 1</v>
      </c>
      <c r="B71" s="26" t="str">
        <f aca="false">IF(Team!$A6="","",Team!$B6)</f>
        <v>Backend Developer</v>
      </c>
      <c r="C71" s="26" t="str">
        <f aca="false">IF(Team!$A6="","",Team!$C6)</f>
        <v>FTE</v>
      </c>
      <c r="D71" s="43" t="n">
        <f aca="false">IF($A71="","",IF(AND(IF(Team!$I6="",DATE(Settings!$B$3,1,1),Team!$I6)&lt;=EOMONTH(D$69,0),IF(Team!$J6="",DATE(Settings!$B$3,12,31),Team!$J6)&gt;=D$69),IF(Team!$G6="",Settings!$B$4,Team!$G6)*(1-N(Team!$H6)/12/Settings!$B$8),0))</f>
        <v>0.775438596491228</v>
      </c>
      <c r="E71" s="43" t="n">
        <f aca="false">IF($A71="","",IF(AND(IF(Team!$I6="",DATE(Settings!$B$3,1,1),Team!$I6)&lt;=EOMONTH(E$69,0),IF(Team!$J6="",DATE(Settings!$B$3,12,31),Team!$J6)&gt;=E$69),IF(Team!$G6="",Settings!$B$4,Team!$G6)*(1-N(Team!$H6)/12/Settings!$B$9),0))</f>
        <v>0.775438596491228</v>
      </c>
      <c r="F71" s="43" t="n">
        <f aca="false">IF($A71="","",IF(AND(IF(Team!$I6="",DATE(Settings!$B$3,1,1),Team!$I6)&lt;=EOMONTH(F$69,0),IF(Team!$J6="",DATE(Settings!$B$3,12,31),Team!$J6)&gt;=F$69),IF(Team!$G6="",Settings!$B$4,Team!$G6)*(1-N(Team!$H6)/12/Settings!$B$10),0))</f>
        <v>0.785606060606061</v>
      </c>
      <c r="G71" s="43" t="n">
        <f aca="false">IF($A71="","",IF(AND(IF(Team!$I6="",DATE(Settings!$B$3,1,1),Team!$I6)&lt;=EOMONTH(G$69,0),IF(Team!$J6="",DATE(Settings!$B$3,12,31),Team!$J6)&gt;=G$69),IF(Team!$G6="",Settings!$B$4,Team!$G6)*(1-N(Team!$H6)/12/Settings!$B$11),0))</f>
        <v>0.785606060606061</v>
      </c>
      <c r="H71" s="43" t="n">
        <f aca="false">IF($A71="","",IF(AND(IF(Team!$I6="",DATE(Settings!$B$3,1,1),Team!$I6)&lt;=EOMONTH(H$69,0),IF(Team!$J6="",DATE(Settings!$B$3,12,31),Team!$J6)&gt;=H$69),IF(Team!$G6="",Settings!$B$4,Team!$G6)*(1-N(Team!$H6)/12/Settings!$B$12),0))</f>
        <v>0.779166666666667</v>
      </c>
      <c r="I71" s="43" t="n">
        <f aca="false">IF($A71="","",IF(AND(IF(Team!$I6="",DATE(Settings!$B$3,1,1),Team!$I6)&lt;=EOMONTH(I$69,0),IF(Team!$J6="",DATE(Settings!$B$3,12,31),Team!$J6)&gt;=I$69),IF(Team!$G6="",Settings!$B$4,Team!$G6)*(1-N(Team!$H6)/12/Settings!$B$13),0))</f>
        <v>0.782539682539682</v>
      </c>
      <c r="J71" s="43" t="n">
        <f aca="false">IF($A71="","",IF(AND(IF(Team!$I6="",DATE(Settings!$B$3,1,1),Team!$I6)&lt;=EOMONTH(J$69,0),IF(Team!$J6="",DATE(Settings!$B$3,12,31),Team!$J6)&gt;=J$69),IF(Team!$G6="",Settings!$B$4,Team!$G6)*(1-N(Team!$H6)/12/Settings!$B$14),0))</f>
        <v>0.782539682539682</v>
      </c>
      <c r="K71" s="43" t="n">
        <f aca="false">IF($A71="","",IF(AND(IF(Team!$I6="",DATE(Settings!$B$3,1,1),Team!$I6)&lt;=EOMONTH(K$69,0),IF(Team!$J6="",DATE(Settings!$B$3,12,31),Team!$J6)&gt;=K$69),IF(Team!$G6="",Settings!$B$4,Team!$G6)*(1-N(Team!$H6)/12/Settings!$B$15),0))</f>
        <v>0.785606060606061</v>
      </c>
      <c r="L71" s="43" t="n">
        <f aca="false">IF($A71="","",IF(AND(IF(Team!$I6="",DATE(Settings!$B$3,1,1),Team!$I6)&lt;=EOMONTH(L$69,0),IF(Team!$J6="",DATE(Settings!$B$3,12,31),Team!$J6)&gt;=L$69),IF(Team!$G6="",Settings!$B$4,Team!$G6)*(1-N(Team!$H6)/12/Settings!$B$16),0))</f>
        <v>0.782539682539682</v>
      </c>
      <c r="M71" s="43" t="n">
        <f aca="false">IF($A71="","",IF(AND(IF(Team!$I6="",DATE(Settings!$B$3,1,1),Team!$I6)&lt;=EOMONTH(M$69,0),IF(Team!$J6="",DATE(Settings!$B$3,12,31),Team!$J6)&gt;=M$69),IF(Team!$G6="",Settings!$B$4,Team!$G6)*(1-N(Team!$H6)/12/Settings!$B$17),0))</f>
        <v>0.782539682539682</v>
      </c>
      <c r="N71" s="43" t="n">
        <f aca="false">IF($A71="","",IF(AND(IF(Team!$I6="",DATE(Settings!$B$3,1,1),Team!$I6)&lt;=EOMONTH(N$69,0),IF(Team!$J6="",DATE(Settings!$B$3,12,31),Team!$J6)&gt;=N$69),IF(Team!$G6="",Settings!$B$4,Team!$G6)*(1-N(Team!$H6)/12/Settings!$B$18),0))</f>
        <v>0.779166666666667</v>
      </c>
      <c r="O71" s="43" t="n">
        <f aca="false">IF($A71="","",IF(AND(IF(Team!$I6="",DATE(Settings!$B$3,1,1),Team!$I6)&lt;=EOMONTH(O$69,0),IF(Team!$J6="",DATE(Settings!$B$3,12,31),Team!$J6)&gt;=O$69),IF(Team!$G6="",Settings!$B$4,Team!$G6)*(1-N(Team!$H6)/12/Settings!$B$19),0))</f>
        <v>0.785606060606061</v>
      </c>
      <c r="P71" s="19" t="n">
        <f aca="false">IF($A71="","",SUM(D71:O71))</f>
        <v>9.38179349889876</v>
      </c>
      <c r="Q71" s="2"/>
      <c r="R71" s="2"/>
      <c r="S71" s="2"/>
    </row>
    <row r="72" customFormat="false" ht="15" hidden="false" customHeight="false" outlineLevel="0" collapsed="false">
      <c r="A72" s="26" t="str">
        <f aca="false">IF(Team!$A7="","",Team!$A7)</f>
        <v>Angular Dev 1</v>
      </c>
      <c r="B72" s="26" t="str">
        <f aca="false">IF(Team!$A7="","",Team!$B7)</f>
        <v>Frontend Developer</v>
      </c>
      <c r="C72" s="26" t="str">
        <f aca="false">IF(Team!$A7="","",Team!$C7)</f>
        <v>Contractor</v>
      </c>
      <c r="D72" s="43" t="n">
        <f aca="false">IF($A72="","",IF(AND(IF(Team!$I7="",DATE(Settings!$B$3,1,1),Team!$I7)&lt;=EOMONTH(D$69,0),IF(Team!$J7="",DATE(Settings!$B$3,12,31),Team!$J7)&gt;=D$69),IF(Team!$G7="",Settings!$B$4,Team!$G7)*(1-N(Team!$H7)/12/Settings!$B$8),0))</f>
        <v>0.860526315789474</v>
      </c>
      <c r="E72" s="43" t="n">
        <f aca="false">IF($A72="","",IF(AND(IF(Team!$I7="",DATE(Settings!$B$3,1,1),Team!$I7)&lt;=EOMONTH(E$69,0),IF(Team!$J7="",DATE(Settings!$B$3,12,31),Team!$J7)&gt;=E$69),IF(Team!$G7="",Settings!$B$4,Team!$G7)*(1-N(Team!$H7)/12/Settings!$B$9),0))</f>
        <v>0.860526315789474</v>
      </c>
      <c r="F72" s="43" t="n">
        <f aca="false">IF($A72="","",IF(AND(IF(Team!$I7="",DATE(Settings!$B$3,1,1),Team!$I7)&lt;=EOMONTH(F$69,0),IF(Team!$J7="",DATE(Settings!$B$3,12,31),Team!$J7)&gt;=F$69),IF(Team!$G7="",Settings!$B$4,Team!$G7)*(1-N(Team!$H7)/12/Settings!$B$10),0))</f>
        <v>0.865909090909091</v>
      </c>
      <c r="G72" s="43" t="n">
        <f aca="false">IF($A72="","",IF(AND(IF(Team!$I7="",DATE(Settings!$B$3,1,1),Team!$I7)&lt;=EOMONTH(G$69,0),IF(Team!$J7="",DATE(Settings!$B$3,12,31),Team!$J7)&gt;=G$69),IF(Team!$G7="",Settings!$B$4,Team!$G7)*(1-N(Team!$H7)/12/Settings!$B$11),0))</f>
        <v>0.865909090909091</v>
      </c>
      <c r="H72" s="43" t="n">
        <f aca="false">IF($A72="","",IF(AND(IF(Team!$I7="",DATE(Settings!$B$3,1,1),Team!$I7)&lt;=EOMONTH(H$69,0),IF(Team!$J7="",DATE(Settings!$B$3,12,31),Team!$J7)&gt;=H$69),IF(Team!$G7="",Settings!$B$4,Team!$G7)*(1-N(Team!$H7)/12/Settings!$B$12),0))</f>
        <v>0.8625</v>
      </c>
      <c r="I72" s="43" t="n">
        <f aca="false">IF($A72="","",IF(AND(IF(Team!$I7="",DATE(Settings!$B$3,1,1),Team!$I7)&lt;=EOMONTH(I$69,0),IF(Team!$J7="",DATE(Settings!$B$3,12,31),Team!$J7)&gt;=I$69),IF(Team!$G7="",Settings!$B$4,Team!$G7)*(1-N(Team!$H7)/12/Settings!$B$13),0))</f>
        <v>0.864285714285714</v>
      </c>
      <c r="J72" s="43" t="n">
        <f aca="false">IF($A72="","",IF(AND(IF(Team!$I7="",DATE(Settings!$B$3,1,1),Team!$I7)&lt;=EOMONTH(J$69,0),IF(Team!$J7="",DATE(Settings!$B$3,12,31),Team!$J7)&gt;=J$69),IF(Team!$G7="",Settings!$B$4,Team!$G7)*(1-N(Team!$H7)/12/Settings!$B$14),0))</f>
        <v>0.864285714285714</v>
      </c>
      <c r="K72" s="43" t="n">
        <f aca="false">IF($A72="","",IF(AND(IF(Team!$I7="",DATE(Settings!$B$3,1,1),Team!$I7)&lt;=EOMONTH(K$69,0),IF(Team!$J7="",DATE(Settings!$B$3,12,31),Team!$J7)&gt;=K$69),IF(Team!$G7="",Settings!$B$4,Team!$G7)*(1-N(Team!$H7)/12/Settings!$B$15),0))</f>
        <v>0.865909090909091</v>
      </c>
      <c r="L72" s="43" t="n">
        <f aca="false">IF($A72="","",IF(AND(IF(Team!$I7="",DATE(Settings!$B$3,1,1),Team!$I7)&lt;=EOMONTH(L$69,0),IF(Team!$J7="",DATE(Settings!$B$3,12,31),Team!$J7)&gt;=L$69),IF(Team!$G7="",Settings!$B$4,Team!$G7)*(1-N(Team!$H7)/12/Settings!$B$16),0))</f>
        <v>0.864285714285714</v>
      </c>
      <c r="M72" s="43" t="n">
        <f aca="false">IF($A72="","",IF(AND(IF(Team!$I7="",DATE(Settings!$B$3,1,1),Team!$I7)&lt;=EOMONTH(M$69,0),IF(Team!$J7="",DATE(Settings!$B$3,12,31),Team!$J7)&gt;=M$69),IF(Team!$G7="",Settings!$B$4,Team!$G7)*(1-N(Team!$H7)/12/Settings!$B$17),0))</f>
        <v>0.864285714285714</v>
      </c>
      <c r="N72" s="43" t="n">
        <f aca="false">IF($A72="","",IF(AND(IF(Team!$I7="",DATE(Settings!$B$3,1,1),Team!$I7)&lt;=EOMONTH(N$69,0),IF(Team!$J7="",DATE(Settings!$B$3,12,31),Team!$J7)&gt;=N$69),IF(Team!$G7="",Settings!$B$4,Team!$G7)*(1-N(Team!$H7)/12/Settings!$B$18),0))</f>
        <v>0.8625</v>
      </c>
      <c r="O72" s="43" t="n">
        <f aca="false">IF($A72="","",IF(AND(IF(Team!$I7="",DATE(Settings!$B$3,1,1),Team!$I7)&lt;=EOMONTH(O$69,0),IF(Team!$J7="",DATE(Settings!$B$3,12,31),Team!$J7)&gt;=O$69),IF(Team!$G7="",Settings!$B$4,Team!$G7)*(1-N(Team!$H7)/12/Settings!$B$19),0))</f>
        <v>0.865909090909091</v>
      </c>
      <c r="P72" s="19" t="n">
        <f aca="false">IF($A72="","",SUM(D72:O72))</f>
        <v>10.3668318523582</v>
      </c>
      <c r="Q72" s="2"/>
      <c r="R72" s="2"/>
      <c r="S72" s="2"/>
    </row>
    <row r="73" customFormat="false" ht="15" hidden="false" customHeight="false" outlineLevel="0" collapsed="false">
      <c r="A73" s="26" t="str">
        <f aca="false">IF(Team!$A8="","",Team!$A8)</f>
        <v>Angular Dev 2</v>
      </c>
      <c r="B73" s="26" t="str">
        <f aca="false">IF(Team!$A8="","",Team!$B8)</f>
        <v>Full-stack Developer</v>
      </c>
      <c r="C73" s="26" t="str">
        <f aca="false">IF(Team!$A8="","",Team!$C8)</f>
        <v>Contractor</v>
      </c>
      <c r="D73" s="43" t="n">
        <f aca="false">IF($A73="","",IF(AND(IF(Team!$I8="",DATE(Settings!$B$3,1,1),Team!$I8)&lt;=EOMONTH(D$69,0),IF(Team!$J8="",DATE(Settings!$B$3,12,31),Team!$J8)&gt;=D$69),IF(Team!$G8="",Settings!$B$4,Team!$G8)*(1-N(Team!$H8)/12/Settings!$B$8),0))</f>
        <v>0.860526315789474</v>
      </c>
      <c r="E73" s="43" t="n">
        <f aca="false">IF($A73="","",IF(AND(IF(Team!$I8="",DATE(Settings!$B$3,1,1),Team!$I8)&lt;=EOMONTH(E$69,0),IF(Team!$J8="",DATE(Settings!$B$3,12,31),Team!$J8)&gt;=E$69),IF(Team!$G8="",Settings!$B$4,Team!$G8)*(1-N(Team!$H8)/12/Settings!$B$9),0))</f>
        <v>0.860526315789474</v>
      </c>
      <c r="F73" s="43" t="n">
        <f aca="false">IF($A73="","",IF(AND(IF(Team!$I8="",DATE(Settings!$B$3,1,1),Team!$I8)&lt;=EOMONTH(F$69,0),IF(Team!$J8="",DATE(Settings!$B$3,12,31),Team!$J8)&gt;=F$69),IF(Team!$G8="",Settings!$B$4,Team!$G8)*(1-N(Team!$H8)/12/Settings!$B$10),0))</f>
        <v>0.865909090909091</v>
      </c>
      <c r="G73" s="43" t="n">
        <f aca="false">IF($A73="","",IF(AND(IF(Team!$I8="",DATE(Settings!$B$3,1,1),Team!$I8)&lt;=EOMONTH(G$69,0),IF(Team!$J8="",DATE(Settings!$B$3,12,31),Team!$J8)&gt;=G$69),IF(Team!$G8="",Settings!$B$4,Team!$G8)*(1-N(Team!$H8)/12/Settings!$B$11),0))</f>
        <v>0.865909090909091</v>
      </c>
      <c r="H73" s="43" t="n">
        <f aca="false">IF($A73="","",IF(AND(IF(Team!$I8="",DATE(Settings!$B$3,1,1),Team!$I8)&lt;=EOMONTH(H$69,0),IF(Team!$J8="",DATE(Settings!$B$3,12,31),Team!$J8)&gt;=H$69),IF(Team!$G8="",Settings!$B$4,Team!$G8)*(1-N(Team!$H8)/12/Settings!$B$12),0))</f>
        <v>0.8625</v>
      </c>
      <c r="I73" s="43" t="n">
        <f aca="false">IF($A73="","",IF(AND(IF(Team!$I8="",DATE(Settings!$B$3,1,1),Team!$I8)&lt;=EOMONTH(I$69,0),IF(Team!$J8="",DATE(Settings!$B$3,12,31),Team!$J8)&gt;=I$69),IF(Team!$G8="",Settings!$B$4,Team!$G8)*(1-N(Team!$H8)/12/Settings!$B$13),0))</f>
        <v>0.864285714285714</v>
      </c>
      <c r="J73" s="43" t="n">
        <f aca="false">IF($A73="","",IF(AND(IF(Team!$I8="",DATE(Settings!$B$3,1,1),Team!$I8)&lt;=EOMONTH(J$69,0),IF(Team!$J8="",DATE(Settings!$B$3,12,31),Team!$J8)&gt;=J$69),IF(Team!$G8="",Settings!$B$4,Team!$G8)*(1-N(Team!$H8)/12/Settings!$B$14),0))</f>
        <v>0.864285714285714</v>
      </c>
      <c r="K73" s="43" t="n">
        <f aca="false">IF($A73="","",IF(AND(IF(Team!$I8="",DATE(Settings!$B$3,1,1),Team!$I8)&lt;=EOMONTH(K$69,0),IF(Team!$J8="",DATE(Settings!$B$3,12,31),Team!$J8)&gt;=K$69),IF(Team!$G8="",Settings!$B$4,Team!$G8)*(1-N(Team!$H8)/12/Settings!$B$15),0))</f>
        <v>0.865909090909091</v>
      </c>
      <c r="L73" s="43" t="n">
        <f aca="false">IF($A73="","",IF(AND(IF(Team!$I8="",DATE(Settings!$B$3,1,1),Team!$I8)&lt;=EOMONTH(L$69,0),IF(Team!$J8="",DATE(Settings!$B$3,12,31),Team!$J8)&gt;=L$69),IF(Team!$G8="",Settings!$B$4,Team!$G8)*(1-N(Team!$H8)/12/Settings!$B$16),0))</f>
        <v>0.864285714285714</v>
      </c>
      <c r="M73" s="43" t="n">
        <f aca="false">IF($A73="","",IF(AND(IF(Team!$I8="",DATE(Settings!$B$3,1,1),Team!$I8)&lt;=EOMONTH(M$69,0),IF(Team!$J8="",DATE(Settings!$B$3,12,31),Team!$J8)&gt;=M$69),IF(Team!$G8="",Settings!$B$4,Team!$G8)*(1-N(Team!$H8)/12/Settings!$B$17),0))</f>
        <v>0.864285714285714</v>
      </c>
      <c r="N73" s="43" t="n">
        <f aca="false">IF($A73="","",IF(AND(IF(Team!$I8="",DATE(Settings!$B$3,1,1),Team!$I8)&lt;=EOMONTH(N$69,0),IF(Team!$J8="",DATE(Settings!$B$3,12,31),Team!$J8)&gt;=N$69),IF(Team!$G8="",Settings!$B$4,Team!$G8)*(1-N(Team!$H8)/12/Settings!$B$18),0))</f>
        <v>0.8625</v>
      </c>
      <c r="O73" s="43" t="n">
        <f aca="false">IF($A73="","",IF(AND(IF(Team!$I8="",DATE(Settings!$B$3,1,1),Team!$I8)&lt;=EOMONTH(O$69,0),IF(Team!$J8="",DATE(Settings!$B$3,12,31),Team!$J8)&gt;=O$69),IF(Team!$G8="",Settings!$B$4,Team!$G8)*(1-N(Team!$H8)/12/Settings!$B$19),0))</f>
        <v>0.865909090909091</v>
      </c>
      <c r="P73" s="19" t="n">
        <f aca="false">IF($A73="","",SUM(D73:O73))</f>
        <v>10.3668318523582</v>
      </c>
      <c r="Q73" s="2"/>
      <c r="R73" s="2"/>
      <c r="S73" s="2"/>
    </row>
    <row r="74" customFormat="false" ht="15" hidden="false" customHeight="false" outlineLevel="0" collapsed="false">
      <c r="A74" s="26" t="str">
        <f aca="false">IF(Team!$A9="","",Team!$A9)</f>
        <v>QA Engineer 1</v>
      </c>
      <c r="B74" s="26" t="str">
        <f aca="false">IF(Team!$A9="","",Team!$B9)</f>
        <v>QA / SDET</v>
      </c>
      <c r="C74" s="26" t="str">
        <f aca="false">IF(Team!$A9="","",Team!$C9)</f>
        <v>Contractor</v>
      </c>
      <c r="D74" s="43" t="n">
        <f aca="false">IF($A74="","",IF(AND(IF(Team!$I9="",DATE(Settings!$B$3,1,1),Team!$I9)&lt;=EOMONTH(D$69,0),IF(Team!$J9="",DATE(Settings!$B$3,12,31),Team!$J9)&gt;=D$69),IF(Team!$G9="",Settings!$B$4,Team!$G9)*(1-N(Team!$H9)/12/Settings!$B$8),0))</f>
        <v>0.860526315789474</v>
      </c>
      <c r="E74" s="43" t="n">
        <f aca="false">IF($A74="","",IF(AND(IF(Team!$I9="",DATE(Settings!$B$3,1,1),Team!$I9)&lt;=EOMONTH(E$69,0),IF(Team!$J9="",DATE(Settings!$B$3,12,31),Team!$J9)&gt;=E$69),IF(Team!$G9="",Settings!$B$4,Team!$G9)*(1-N(Team!$H9)/12/Settings!$B$9),0))</f>
        <v>0.860526315789474</v>
      </c>
      <c r="F74" s="43" t="n">
        <f aca="false">IF($A74="","",IF(AND(IF(Team!$I9="",DATE(Settings!$B$3,1,1),Team!$I9)&lt;=EOMONTH(F$69,0),IF(Team!$J9="",DATE(Settings!$B$3,12,31),Team!$J9)&gt;=F$69),IF(Team!$G9="",Settings!$B$4,Team!$G9)*(1-N(Team!$H9)/12/Settings!$B$10),0))</f>
        <v>0.865909090909091</v>
      </c>
      <c r="G74" s="43" t="n">
        <f aca="false">IF($A74="","",IF(AND(IF(Team!$I9="",DATE(Settings!$B$3,1,1),Team!$I9)&lt;=EOMONTH(G$69,0),IF(Team!$J9="",DATE(Settings!$B$3,12,31),Team!$J9)&gt;=G$69),IF(Team!$G9="",Settings!$B$4,Team!$G9)*(1-N(Team!$H9)/12/Settings!$B$11),0))</f>
        <v>0.865909090909091</v>
      </c>
      <c r="H74" s="43" t="n">
        <f aca="false">IF($A74="","",IF(AND(IF(Team!$I9="",DATE(Settings!$B$3,1,1),Team!$I9)&lt;=EOMONTH(H$69,0),IF(Team!$J9="",DATE(Settings!$B$3,12,31),Team!$J9)&gt;=H$69),IF(Team!$G9="",Settings!$B$4,Team!$G9)*(1-N(Team!$H9)/12/Settings!$B$12),0))</f>
        <v>0.8625</v>
      </c>
      <c r="I74" s="43" t="n">
        <f aca="false">IF($A74="","",IF(AND(IF(Team!$I9="",DATE(Settings!$B$3,1,1),Team!$I9)&lt;=EOMONTH(I$69,0),IF(Team!$J9="",DATE(Settings!$B$3,12,31),Team!$J9)&gt;=I$69),IF(Team!$G9="",Settings!$B$4,Team!$G9)*(1-N(Team!$H9)/12/Settings!$B$13),0))</f>
        <v>0.864285714285714</v>
      </c>
      <c r="J74" s="43" t="n">
        <f aca="false">IF($A74="","",IF(AND(IF(Team!$I9="",DATE(Settings!$B$3,1,1),Team!$I9)&lt;=EOMONTH(J$69,0),IF(Team!$J9="",DATE(Settings!$B$3,12,31),Team!$J9)&gt;=J$69),IF(Team!$G9="",Settings!$B$4,Team!$G9)*(1-N(Team!$H9)/12/Settings!$B$14),0))</f>
        <v>0.864285714285714</v>
      </c>
      <c r="K74" s="43" t="n">
        <f aca="false">IF($A74="","",IF(AND(IF(Team!$I9="",DATE(Settings!$B$3,1,1),Team!$I9)&lt;=EOMONTH(K$69,0),IF(Team!$J9="",DATE(Settings!$B$3,12,31),Team!$J9)&gt;=K$69),IF(Team!$G9="",Settings!$B$4,Team!$G9)*(1-N(Team!$H9)/12/Settings!$B$15),0))</f>
        <v>0.865909090909091</v>
      </c>
      <c r="L74" s="43" t="n">
        <f aca="false">IF($A74="","",IF(AND(IF(Team!$I9="",DATE(Settings!$B$3,1,1),Team!$I9)&lt;=EOMONTH(L$69,0),IF(Team!$J9="",DATE(Settings!$B$3,12,31),Team!$J9)&gt;=L$69),IF(Team!$G9="",Settings!$B$4,Team!$G9)*(1-N(Team!$H9)/12/Settings!$B$16),0))</f>
        <v>0.864285714285714</v>
      </c>
      <c r="M74" s="43" t="n">
        <f aca="false">IF($A74="","",IF(AND(IF(Team!$I9="",DATE(Settings!$B$3,1,1),Team!$I9)&lt;=EOMONTH(M$69,0),IF(Team!$J9="",DATE(Settings!$B$3,12,31),Team!$J9)&gt;=M$69),IF(Team!$G9="",Settings!$B$4,Team!$G9)*(1-N(Team!$H9)/12/Settings!$B$17),0))</f>
        <v>0.864285714285714</v>
      </c>
      <c r="N74" s="43" t="n">
        <f aca="false">IF($A74="","",IF(AND(IF(Team!$I9="",DATE(Settings!$B$3,1,1),Team!$I9)&lt;=EOMONTH(N$69,0),IF(Team!$J9="",DATE(Settings!$B$3,12,31),Team!$J9)&gt;=N$69),IF(Team!$G9="",Settings!$B$4,Team!$G9)*(1-N(Team!$H9)/12/Settings!$B$18),0))</f>
        <v>0.8625</v>
      </c>
      <c r="O74" s="43" t="n">
        <f aca="false">IF($A74="","",IF(AND(IF(Team!$I9="",DATE(Settings!$B$3,1,1),Team!$I9)&lt;=EOMONTH(O$69,0),IF(Team!$J9="",DATE(Settings!$B$3,12,31),Team!$J9)&gt;=O$69),IF(Team!$G9="",Settings!$B$4,Team!$G9)*(1-N(Team!$H9)/12/Settings!$B$19),0))</f>
        <v>0.865909090909091</v>
      </c>
      <c r="P74" s="19" t="n">
        <f aca="false">IF($A74="","",SUM(D74:O74))</f>
        <v>10.3668318523582</v>
      </c>
      <c r="Q74" s="2"/>
      <c r="R74" s="2"/>
      <c r="S74" s="2"/>
    </row>
    <row r="75" customFormat="false" ht="15" hidden="false" customHeight="false" outlineLevel="0" collapsed="false">
      <c r="A75" s="26" t="str">
        <f aca="false">IF(Team!$A10="","",Team!$A10)</f>
        <v>TBH Angular Dev</v>
      </c>
      <c r="B75" s="26" t="str">
        <f aca="false">IF(Team!$A10="","",Team!$B10)</f>
        <v>Frontend Developer</v>
      </c>
      <c r="C75" s="26" t="str">
        <f aca="false">IF(Team!$A10="","",Team!$C10)</f>
        <v>Open Req</v>
      </c>
      <c r="D75" s="43" t="n">
        <f aca="false">IF($A75="","",IF(AND(IF(Team!$I10="",DATE(Settings!$B$3,1,1),Team!$I10)&lt;=EOMONTH(D$69,0),IF(Team!$J10="",DATE(Settings!$B$3,12,31),Team!$J10)&gt;=D$69),IF(Team!$G10="",Settings!$B$4,Team!$G10)*(1-N(Team!$H10)/12/Settings!$B$8),0))</f>
        <v>0</v>
      </c>
      <c r="E75" s="43" t="n">
        <f aca="false">IF($A75="","",IF(AND(IF(Team!$I10="",DATE(Settings!$B$3,1,1),Team!$I10)&lt;=EOMONTH(E$69,0),IF(Team!$J10="",DATE(Settings!$B$3,12,31),Team!$J10)&gt;=E$69),IF(Team!$G10="",Settings!$B$4,Team!$G10)*(1-N(Team!$H10)/12/Settings!$B$9),0))</f>
        <v>0</v>
      </c>
      <c r="F75" s="43" t="n">
        <f aca="false">IF($A75="","",IF(AND(IF(Team!$I10="",DATE(Settings!$B$3,1,1),Team!$I10)&lt;=EOMONTH(F$69,0),IF(Team!$J10="",DATE(Settings!$B$3,12,31),Team!$J10)&gt;=F$69),IF(Team!$G10="",Settings!$B$4,Team!$G10)*(1-N(Team!$H10)/12/Settings!$B$10),0))</f>
        <v>0</v>
      </c>
      <c r="G75" s="43" t="n">
        <f aca="false">IF($A75="","",IF(AND(IF(Team!$I10="",DATE(Settings!$B$3,1,1),Team!$I10)&lt;=EOMONTH(G$69,0),IF(Team!$J10="",DATE(Settings!$B$3,12,31),Team!$J10)&gt;=G$69),IF(Team!$G10="",Settings!$B$4,Team!$G10)*(1-N(Team!$H10)/12/Settings!$B$11),0))</f>
        <v>0.801704545454546</v>
      </c>
      <c r="H75" s="43" t="n">
        <f aca="false">IF($A75="","",IF(AND(IF(Team!$I10="",DATE(Settings!$B$3,1,1),Team!$I10)&lt;=EOMONTH(H$69,0),IF(Team!$J10="",DATE(Settings!$B$3,12,31),Team!$J10)&gt;=H$69),IF(Team!$G10="",Settings!$B$4,Team!$G10)*(1-N(Team!$H10)/12/Settings!$B$12),0))</f>
        <v>0.796875</v>
      </c>
      <c r="I75" s="43" t="n">
        <f aca="false">IF($A75="","",IF(AND(IF(Team!$I10="",DATE(Settings!$B$3,1,1),Team!$I10)&lt;=EOMONTH(I$69,0),IF(Team!$J10="",DATE(Settings!$B$3,12,31),Team!$J10)&gt;=I$69),IF(Team!$G10="",Settings!$B$4,Team!$G10)*(1-N(Team!$H10)/12/Settings!$B$13),0))</f>
        <v>0.799404761904762</v>
      </c>
      <c r="J75" s="43" t="n">
        <f aca="false">IF($A75="","",IF(AND(IF(Team!$I10="",DATE(Settings!$B$3,1,1),Team!$I10)&lt;=EOMONTH(J$69,0),IF(Team!$J10="",DATE(Settings!$B$3,12,31),Team!$J10)&gt;=J$69),IF(Team!$G10="",Settings!$B$4,Team!$G10)*(1-N(Team!$H10)/12/Settings!$B$14),0))</f>
        <v>0.799404761904762</v>
      </c>
      <c r="K75" s="43" t="n">
        <f aca="false">IF($A75="","",IF(AND(IF(Team!$I10="",DATE(Settings!$B$3,1,1),Team!$I10)&lt;=EOMONTH(K$69,0),IF(Team!$J10="",DATE(Settings!$B$3,12,31),Team!$J10)&gt;=K$69),IF(Team!$G10="",Settings!$B$4,Team!$G10)*(1-N(Team!$H10)/12/Settings!$B$15),0))</f>
        <v>0.801704545454546</v>
      </c>
      <c r="L75" s="43" t="n">
        <f aca="false">IF($A75="","",IF(AND(IF(Team!$I10="",DATE(Settings!$B$3,1,1),Team!$I10)&lt;=EOMONTH(L$69,0),IF(Team!$J10="",DATE(Settings!$B$3,12,31),Team!$J10)&gt;=L$69),IF(Team!$G10="",Settings!$B$4,Team!$G10)*(1-N(Team!$H10)/12/Settings!$B$16),0))</f>
        <v>0.799404761904762</v>
      </c>
      <c r="M75" s="43" t="n">
        <f aca="false">IF($A75="","",IF(AND(IF(Team!$I10="",DATE(Settings!$B$3,1,1),Team!$I10)&lt;=EOMONTH(M$69,0),IF(Team!$J10="",DATE(Settings!$B$3,12,31),Team!$J10)&gt;=M$69),IF(Team!$G10="",Settings!$B$4,Team!$G10)*(1-N(Team!$H10)/12/Settings!$B$17),0))</f>
        <v>0.799404761904762</v>
      </c>
      <c r="N75" s="43" t="n">
        <f aca="false">IF($A75="","",IF(AND(IF(Team!$I10="",DATE(Settings!$B$3,1,1),Team!$I10)&lt;=EOMONTH(N$69,0),IF(Team!$J10="",DATE(Settings!$B$3,12,31),Team!$J10)&gt;=N$69),IF(Team!$G10="",Settings!$B$4,Team!$G10)*(1-N(Team!$H10)/12/Settings!$B$18),0))</f>
        <v>0.796875</v>
      </c>
      <c r="O75" s="43" t="n">
        <f aca="false">IF($A75="","",IF(AND(IF(Team!$I10="",DATE(Settings!$B$3,1,1),Team!$I10)&lt;=EOMONTH(O$69,0),IF(Team!$J10="",DATE(Settings!$B$3,12,31),Team!$J10)&gt;=O$69),IF(Team!$G10="",Settings!$B$4,Team!$G10)*(1-N(Team!$H10)/12/Settings!$B$19),0))</f>
        <v>0.801704545454546</v>
      </c>
      <c r="P75" s="19" t="n">
        <f aca="false">IF($A75="","",SUM(D75:O75))</f>
        <v>7.19648268398268</v>
      </c>
      <c r="Q75" s="2"/>
      <c r="R75" s="2"/>
      <c r="S75" s="2"/>
    </row>
    <row r="76" customFormat="false" ht="15" hidden="false" customHeight="false" outlineLevel="0" collapsed="false">
      <c r="A76" s="26" t="str">
        <f aca="false">IF(Team!$A11="","",Team!$A11)</f>
        <v/>
      </c>
      <c r="B76" s="26" t="str">
        <f aca="false">IF(Team!$A11="","",Team!$B11)</f>
        <v/>
      </c>
      <c r="C76" s="26" t="str">
        <f aca="false">IF(Team!$A11="","",Team!$C11)</f>
        <v/>
      </c>
      <c r="D76" s="43" t="str">
        <f aca="false">IF($A76="","",IF(AND(IF(Team!$I11="",DATE(Settings!$B$3,1,1),Team!$I11)&lt;=EOMONTH(D$69,0),IF(Team!$J11="",DATE(Settings!$B$3,12,31),Team!$J11)&gt;=D$69),IF(Team!$G11="",Settings!$B$4,Team!$G11)*(1-N(Team!$H11)/12/Settings!$B$8),0))</f>
        <v/>
      </c>
      <c r="E76" s="43" t="str">
        <f aca="false">IF($A76="","",IF(AND(IF(Team!$I11="",DATE(Settings!$B$3,1,1),Team!$I11)&lt;=EOMONTH(E$69,0),IF(Team!$J11="",DATE(Settings!$B$3,12,31),Team!$J11)&gt;=E$69),IF(Team!$G11="",Settings!$B$4,Team!$G11)*(1-N(Team!$H11)/12/Settings!$B$9),0))</f>
        <v/>
      </c>
      <c r="F76" s="43" t="str">
        <f aca="false">IF($A76="","",IF(AND(IF(Team!$I11="",DATE(Settings!$B$3,1,1),Team!$I11)&lt;=EOMONTH(F$69,0),IF(Team!$J11="",DATE(Settings!$B$3,12,31),Team!$J11)&gt;=F$69),IF(Team!$G11="",Settings!$B$4,Team!$G11)*(1-N(Team!$H11)/12/Settings!$B$10),0))</f>
        <v/>
      </c>
      <c r="G76" s="43" t="str">
        <f aca="false">IF($A76="","",IF(AND(IF(Team!$I11="",DATE(Settings!$B$3,1,1),Team!$I11)&lt;=EOMONTH(G$69,0),IF(Team!$J11="",DATE(Settings!$B$3,12,31),Team!$J11)&gt;=G$69),IF(Team!$G11="",Settings!$B$4,Team!$G11)*(1-N(Team!$H11)/12/Settings!$B$11),0))</f>
        <v/>
      </c>
      <c r="H76" s="43" t="str">
        <f aca="false">IF($A76="","",IF(AND(IF(Team!$I11="",DATE(Settings!$B$3,1,1),Team!$I11)&lt;=EOMONTH(H$69,0),IF(Team!$J11="",DATE(Settings!$B$3,12,31),Team!$J11)&gt;=H$69),IF(Team!$G11="",Settings!$B$4,Team!$G11)*(1-N(Team!$H11)/12/Settings!$B$12),0))</f>
        <v/>
      </c>
      <c r="I76" s="43" t="str">
        <f aca="false">IF($A76="","",IF(AND(IF(Team!$I11="",DATE(Settings!$B$3,1,1),Team!$I11)&lt;=EOMONTH(I$69,0),IF(Team!$J11="",DATE(Settings!$B$3,12,31),Team!$J11)&gt;=I$69),IF(Team!$G11="",Settings!$B$4,Team!$G11)*(1-N(Team!$H11)/12/Settings!$B$13),0))</f>
        <v/>
      </c>
      <c r="J76" s="43" t="str">
        <f aca="false">IF($A76="","",IF(AND(IF(Team!$I11="",DATE(Settings!$B$3,1,1),Team!$I11)&lt;=EOMONTH(J$69,0),IF(Team!$J11="",DATE(Settings!$B$3,12,31),Team!$J11)&gt;=J$69),IF(Team!$G11="",Settings!$B$4,Team!$G11)*(1-N(Team!$H11)/12/Settings!$B$14),0))</f>
        <v/>
      </c>
      <c r="K76" s="43" t="str">
        <f aca="false">IF($A76="","",IF(AND(IF(Team!$I11="",DATE(Settings!$B$3,1,1),Team!$I11)&lt;=EOMONTH(K$69,0),IF(Team!$J11="",DATE(Settings!$B$3,12,31),Team!$J11)&gt;=K$69),IF(Team!$G11="",Settings!$B$4,Team!$G11)*(1-N(Team!$H11)/12/Settings!$B$15),0))</f>
        <v/>
      </c>
      <c r="L76" s="43" t="str">
        <f aca="false">IF($A76="","",IF(AND(IF(Team!$I11="",DATE(Settings!$B$3,1,1),Team!$I11)&lt;=EOMONTH(L$69,0),IF(Team!$J11="",DATE(Settings!$B$3,12,31),Team!$J11)&gt;=L$69),IF(Team!$G11="",Settings!$B$4,Team!$G11)*(1-N(Team!$H11)/12/Settings!$B$16),0))</f>
        <v/>
      </c>
      <c r="M76" s="43" t="str">
        <f aca="false">IF($A76="","",IF(AND(IF(Team!$I11="",DATE(Settings!$B$3,1,1),Team!$I11)&lt;=EOMONTH(M$69,0),IF(Team!$J11="",DATE(Settings!$B$3,12,31),Team!$J11)&gt;=M$69),IF(Team!$G11="",Settings!$B$4,Team!$G11)*(1-N(Team!$H11)/12/Settings!$B$17),0))</f>
        <v/>
      </c>
      <c r="N76" s="43" t="str">
        <f aca="false">IF($A76="","",IF(AND(IF(Team!$I11="",DATE(Settings!$B$3,1,1),Team!$I11)&lt;=EOMONTH(N$69,0),IF(Team!$J11="",DATE(Settings!$B$3,12,31),Team!$J11)&gt;=N$69),IF(Team!$G11="",Settings!$B$4,Team!$G11)*(1-N(Team!$H11)/12/Settings!$B$18),0))</f>
        <v/>
      </c>
      <c r="O76" s="43" t="str">
        <f aca="false">IF($A76="","",IF(AND(IF(Team!$I11="",DATE(Settings!$B$3,1,1),Team!$I11)&lt;=EOMONTH(O$69,0),IF(Team!$J11="",DATE(Settings!$B$3,12,31),Team!$J11)&gt;=O$69),IF(Team!$G11="",Settings!$B$4,Team!$G11)*(1-N(Team!$H11)/12/Settings!$B$19),0))</f>
        <v/>
      </c>
      <c r="P76" s="19" t="str">
        <f aca="false">IF($A76="","",SUM(D76:O76))</f>
        <v/>
      </c>
      <c r="Q76" s="2"/>
      <c r="R76" s="2"/>
      <c r="S76" s="2"/>
    </row>
    <row r="77" customFormat="false" ht="15" hidden="false" customHeight="false" outlineLevel="0" collapsed="false">
      <c r="A77" s="26" t="str">
        <f aca="false">IF(Team!$A12="","",Team!$A12)</f>
        <v/>
      </c>
      <c r="B77" s="26" t="str">
        <f aca="false">IF(Team!$A12="","",Team!$B12)</f>
        <v/>
      </c>
      <c r="C77" s="26" t="str">
        <f aca="false">IF(Team!$A12="","",Team!$C12)</f>
        <v/>
      </c>
      <c r="D77" s="43" t="str">
        <f aca="false">IF($A77="","",IF(AND(IF(Team!$I12="",DATE(Settings!$B$3,1,1),Team!$I12)&lt;=EOMONTH(D$69,0),IF(Team!$J12="",DATE(Settings!$B$3,12,31),Team!$J12)&gt;=D$69),IF(Team!$G12="",Settings!$B$4,Team!$G12)*(1-N(Team!$H12)/12/Settings!$B$8),0))</f>
        <v/>
      </c>
      <c r="E77" s="43" t="str">
        <f aca="false">IF($A77="","",IF(AND(IF(Team!$I12="",DATE(Settings!$B$3,1,1),Team!$I12)&lt;=EOMONTH(E$69,0),IF(Team!$J12="",DATE(Settings!$B$3,12,31),Team!$J12)&gt;=E$69),IF(Team!$G12="",Settings!$B$4,Team!$G12)*(1-N(Team!$H12)/12/Settings!$B$9),0))</f>
        <v/>
      </c>
      <c r="F77" s="43" t="str">
        <f aca="false">IF($A77="","",IF(AND(IF(Team!$I12="",DATE(Settings!$B$3,1,1),Team!$I12)&lt;=EOMONTH(F$69,0),IF(Team!$J12="",DATE(Settings!$B$3,12,31),Team!$J12)&gt;=F$69),IF(Team!$G12="",Settings!$B$4,Team!$G12)*(1-N(Team!$H12)/12/Settings!$B$10),0))</f>
        <v/>
      </c>
      <c r="G77" s="43" t="str">
        <f aca="false">IF($A77="","",IF(AND(IF(Team!$I12="",DATE(Settings!$B$3,1,1),Team!$I12)&lt;=EOMONTH(G$69,0),IF(Team!$J12="",DATE(Settings!$B$3,12,31),Team!$J12)&gt;=G$69),IF(Team!$G12="",Settings!$B$4,Team!$G12)*(1-N(Team!$H12)/12/Settings!$B$11),0))</f>
        <v/>
      </c>
      <c r="H77" s="43" t="str">
        <f aca="false">IF($A77="","",IF(AND(IF(Team!$I12="",DATE(Settings!$B$3,1,1),Team!$I12)&lt;=EOMONTH(H$69,0),IF(Team!$J12="",DATE(Settings!$B$3,12,31),Team!$J12)&gt;=H$69),IF(Team!$G12="",Settings!$B$4,Team!$G12)*(1-N(Team!$H12)/12/Settings!$B$12),0))</f>
        <v/>
      </c>
      <c r="I77" s="43" t="str">
        <f aca="false">IF($A77="","",IF(AND(IF(Team!$I12="",DATE(Settings!$B$3,1,1),Team!$I12)&lt;=EOMONTH(I$69,0),IF(Team!$J12="",DATE(Settings!$B$3,12,31),Team!$J12)&gt;=I$69),IF(Team!$G12="",Settings!$B$4,Team!$G12)*(1-N(Team!$H12)/12/Settings!$B$13),0))</f>
        <v/>
      </c>
      <c r="J77" s="43" t="str">
        <f aca="false">IF($A77="","",IF(AND(IF(Team!$I12="",DATE(Settings!$B$3,1,1),Team!$I12)&lt;=EOMONTH(J$69,0),IF(Team!$J12="",DATE(Settings!$B$3,12,31),Team!$J12)&gt;=J$69),IF(Team!$G12="",Settings!$B$4,Team!$G12)*(1-N(Team!$H12)/12/Settings!$B$14),0))</f>
        <v/>
      </c>
      <c r="K77" s="43" t="str">
        <f aca="false">IF($A77="","",IF(AND(IF(Team!$I12="",DATE(Settings!$B$3,1,1),Team!$I12)&lt;=EOMONTH(K$69,0),IF(Team!$J12="",DATE(Settings!$B$3,12,31),Team!$J12)&gt;=K$69),IF(Team!$G12="",Settings!$B$4,Team!$G12)*(1-N(Team!$H12)/12/Settings!$B$15),0))</f>
        <v/>
      </c>
      <c r="L77" s="43" t="str">
        <f aca="false">IF($A77="","",IF(AND(IF(Team!$I12="",DATE(Settings!$B$3,1,1),Team!$I12)&lt;=EOMONTH(L$69,0),IF(Team!$J12="",DATE(Settings!$B$3,12,31),Team!$J12)&gt;=L$69),IF(Team!$G12="",Settings!$B$4,Team!$G12)*(1-N(Team!$H12)/12/Settings!$B$16),0))</f>
        <v/>
      </c>
      <c r="M77" s="43" t="str">
        <f aca="false">IF($A77="","",IF(AND(IF(Team!$I12="",DATE(Settings!$B$3,1,1),Team!$I12)&lt;=EOMONTH(M$69,0),IF(Team!$J12="",DATE(Settings!$B$3,12,31),Team!$J12)&gt;=M$69),IF(Team!$G12="",Settings!$B$4,Team!$G12)*(1-N(Team!$H12)/12/Settings!$B$17),0))</f>
        <v/>
      </c>
      <c r="N77" s="43" t="str">
        <f aca="false">IF($A77="","",IF(AND(IF(Team!$I12="",DATE(Settings!$B$3,1,1),Team!$I12)&lt;=EOMONTH(N$69,0),IF(Team!$J12="",DATE(Settings!$B$3,12,31),Team!$J12)&gt;=N$69),IF(Team!$G12="",Settings!$B$4,Team!$G12)*(1-N(Team!$H12)/12/Settings!$B$18),0))</f>
        <v/>
      </c>
      <c r="O77" s="43" t="str">
        <f aca="false">IF($A77="","",IF(AND(IF(Team!$I12="",DATE(Settings!$B$3,1,1),Team!$I12)&lt;=EOMONTH(O$69,0),IF(Team!$J12="",DATE(Settings!$B$3,12,31),Team!$J12)&gt;=O$69),IF(Team!$G12="",Settings!$B$4,Team!$G12)*(1-N(Team!$H12)/12/Settings!$B$19),0))</f>
        <v/>
      </c>
      <c r="P77" s="19" t="str">
        <f aca="false">IF($A77="","",SUM(D77:O77))</f>
        <v/>
      </c>
      <c r="Q77" s="2"/>
      <c r="R77" s="2"/>
      <c r="S77" s="2"/>
    </row>
    <row r="78" customFormat="false" ht="15" hidden="false" customHeight="false" outlineLevel="0" collapsed="false">
      <c r="A78" s="26" t="str">
        <f aca="false">IF(Team!$A13="","",Team!$A13)</f>
        <v/>
      </c>
      <c r="B78" s="26" t="str">
        <f aca="false">IF(Team!$A13="","",Team!$B13)</f>
        <v/>
      </c>
      <c r="C78" s="26" t="str">
        <f aca="false">IF(Team!$A13="","",Team!$C13)</f>
        <v/>
      </c>
      <c r="D78" s="43" t="str">
        <f aca="false">IF($A78="","",IF(AND(IF(Team!$I13="",DATE(Settings!$B$3,1,1),Team!$I13)&lt;=EOMONTH(D$69,0),IF(Team!$J13="",DATE(Settings!$B$3,12,31),Team!$J13)&gt;=D$69),IF(Team!$G13="",Settings!$B$4,Team!$G13)*(1-N(Team!$H13)/12/Settings!$B$8),0))</f>
        <v/>
      </c>
      <c r="E78" s="43" t="str">
        <f aca="false">IF($A78="","",IF(AND(IF(Team!$I13="",DATE(Settings!$B$3,1,1),Team!$I13)&lt;=EOMONTH(E$69,0),IF(Team!$J13="",DATE(Settings!$B$3,12,31),Team!$J13)&gt;=E$69),IF(Team!$G13="",Settings!$B$4,Team!$G13)*(1-N(Team!$H13)/12/Settings!$B$9),0))</f>
        <v/>
      </c>
      <c r="F78" s="43" t="str">
        <f aca="false">IF($A78="","",IF(AND(IF(Team!$I13="",DATE(Settings!$B$3,1,1),Team!$I13)&lt;=EOMONTH(F$69,0),IF(Team!$J13="",DATE(Settings!$B$3,12,31),Team!$J13)&gt;=F$69),IF(Team!$G13="",Settings!$B$4,Team!$G13)*(1-N(Team!$H13)/12/Settings!$B$10),0))</f>
        <v/>
      </c>
      <c r="G78" s="43" t="str">
        <f aca="false">IF($A78="","",IF(AND(IF(Team!$I13="",DATE(Settings!$B$3,1,1),Team!$I13)&lt;=EOMONTH(G$69,0),IF(Team!$J13="",DATE(Settings!$B$3,12,31),Team!$J13)&gt;=G$69),IF(Team!$G13="",Settings!$B$4,Team!$G13)*(1-N(Team!$H13)/12/Settings!$B$11),0))</f>
        <v/>
      </c>
      <c r="H78" s="43" t="str">
        <f aca="false">IF($A78="","",IF(AND(IF(Team!$I13="",DATE(Settings!$B$3,1,1),Team!$I13)&lt;=EOMONTH(H$69,0),IF(Team!$J13="",DATE(Settings!$B$3,12,31),Team!$J13)&gt;=H$69),IF(Team!$G13="",Settings!$B$4,Team!$G13)*(1-N(Team!$H13)/12/Settings!$B$12),0))</f>
        <v/>
      </c>
      <c r="I78" s="43" t="str">
        <f aca="false">IF($A78="","",IF(AND(IF(Team!$I13="",DATE(Settings!$B$3,1,1),Team!$I13)&lt;=EOMONTH(I$69,0),IF(Team!$J13="",DATE(Settings!$B$3,12,31),Team!$J13)&gt;=I$69),IF(Team!$G13="",Settings!$B$4,Team!$G13)*(1-N(Team!$H13)/12/Settings!$B$13),0))</f>
        <v/>
      </c>
      <c r="J78" s="43" t="str">
        <f aca="false">IF($A78="","",IF(AND(IF(Team!$I13="",DATE(Settings!$B$3,1,1),Team!$I13)&lt;=EOMONTH(J$69,0),IF(Team!$J13="",DATE(Settings!$B$3,12,31),Team!$J13)&gt;=J$69),IF(Team!$G13="",Settings!$B$4,Team!$G13)*(1-N(Team!$H13)/12/Settings!$B$14),0))</f>
        <v/>
      </c>
      <c r="K78" s="43" t="str">
        <f aca="false">IF($A78="","",IF(AND(IF(Team!$I13="",DATE(Settings!$B$3,1,1),Team!$I13)&lt;=EOMONTH(K$69,0),IF(Team!$J13="",DATE(Settings!$B$3,12,31),Team!$J13)&gt;=K$69),IF(Team!$G13="",Settings!$B$4,Team!$G13)*(1-N(Team!$H13)/12/Settings!$B$15),0))</f>
        <v/>
      </c>
      <c r="L78" s="43" t="str">
        <f aca="false">IF($A78="","",IF(AND(IF(Team!$I13="",DATE(Settings!$B$3,1,1),Team!$I13)&lt;=EOMONTH(L$69,0),IF(Team!$J13="",DATE(Settings!$B$3,12,31),Team!$J13)&gt;=L$69),IF(Team!$G13="",Settings!$B$4,Team!$G13)*(1-N(Team!$H13)/12/Settings!$B$16),0))</f>
        <v/>
      </c>
      <c r="M78" s="43" t="str">
        <f aca="false">IF($A78="","",IF(AND(IF(Team!$I13="",DATE(Settings!$B$3,1,1),Team!$I13)&lt;=EOMONTH(M$69,0),IF(Team!$J13="",DATE(Settings!$B$3,12,31),Team!$J13)&gt;=M$69),IF(Team!$G13="",Settings!$B$4,Team!$G13)*(1-N(Team!$H13)/12/Settings!$B$17),0))</f>
        <v/>
      </c>
      <c r="N78" s="43" t="str">
        <f aca="false">IF($A78="","",IF(AND(IF(Team!$I13="",DATE(Settings!$B$3,1,1),Team!$I13)&lt;=EOMONTH(N$69,0),IF(Team!$J13="",DATE(Settings!$B$3,12,31),Team!$J13)&gt;=N$69),IF(Team!$G13="",Settings!$B$4,Team!$G13)*(1-N(Team!$H13)/12/Settings!$B$18),0))</f>
        <v/>
      </c>
      <c r="O78" s="43" t="str">
        <f aca="false">IF($A78="","",IF(AND(IF(Team!$I13="",DATE(Settings!$B$3,1,1),Team!$I13)&lt;=EOMONTH(O$69,0),IF(Team!$J13="",DATE(Settings!$B$3,12,31),Team!$J13)&gt;=O$69),IF(Team!$G13="",Settings!$B$4,Team!$G13)*(1-N(Team!$H13)/12/Settings!$B$19),0))</f>
        <v/>
      </c>
      <c r="P78" s="19" t="str">
        <f aca="false">IF($A78="","",SUM(D78:O78))</f>
        <v/>
      </c>
      <c r="Q78" s="2"/>
      <c r="R78" s="2"/>
      <c r="S78" s="2"/>
    </row>
    <row r="79" customFormat="false" ht="15" hidden="false" customHeight="false" outlineLevel="0" collapsed="false">
      <c r="A79" s="26" t="str">
        <f aca="false">IF(Team!$A14="","",Team!$A14)</f>
        <v/>
      </c>
      <c r="B79" s="26" t="str">
        <f aca="false">IF(Team!$A14="","",Team!$B14)</f>
        <v/>
      </c>
      <c r="C79" s="26" t="str">
        <f aca="false">IF(Team!$A14="","",Team!$C14)</f>
        <v/>
      </c>
      <c r="D79" s="43" t="str">
        <f aca="false">IF($A79="","",IF(AND(IF(Team!$I14="",DATE(Settings!$B$3,1,1),Team!$I14)&lt;=EOMONTH(D$69,0),IF(Team!$J14="",DATE(Settings!$B$3,12,31),Team!$J14)&gt;=D$69),IF(Team!$G14="",Settings!$B$4,Team!$G14)*(1-N(Team!$H14)/12/Settings!$B$8),0))</f>
        <v/>
      </c>
      <c r="E79" s="43" t="str">
        <f aca="false">IF($A79="","",IF(AND(IF(Team!$I14="",DATE(Settings!$B$3,1,1),Team!$I14)&lt;=EOMONTH(E$69,0),IF(Team!$J14="",DATE(Settings!$B$3,12,31),Team!$J14)&gt;=E$69),IF(Team!$G14="",Settings!$B$4,Team!$G14)*(1-N(Team!$H14)/12/Settings!$B$9),0))</f>
        <v/>
      </c>
      <c r="F79" s="43" t="str">
        <f aca="false">IF($A79="","",IF(AND(IF(Team!$I14="",DATE(Settings!$B$3,1,1),Team!$I14)&lt;=EOMONTH(F$69,0),IF(Team!$J14="",DATE(Settings!$B$3,12,31),Team!$J14)&gt;=F$69),IF(Team!$G14="",Settings!$B$4,Team!$G14)*(1-N(Team!$H14)/12/Settings!$B$10),0))</f>
        <v/>
      </c>
      <c r="G79" s="43" t="str">
        <f aca="false">IF($A79="","",IF(AND(IF(Team!$I14="",DATE(Settings!$B$3,1,1),Team!$I14)&lt;=EOMONTH(G$69,0),IF(Team!$J14="",DATE(Settings!$B$3,12,31),Team!$J14)&gt;=G$69),IF(Team!$G14="",Settings!$B$4,Team!$G14)*(1-N(Team!$H14)/12/Settings!$B$11),0))</f>
        <v/>
      </c>
      <c r="H79" s="43" t="str">
        <f aca="false">IF($A79="","",IF(AND(IF(Team!$I14="",DATE(Settings!$B$3,1,1),Team!$I14)&lt;=EOMONTH(H$69,0),IF(Team!$J14="",DATE(Settings!$B$3,12,31),Team!$J14)&gt;=H$69),IF(Team!$G14="",Settings!$B$4,Team!$G14)*(1-N(Team!$H14)/12/Settings!$B$12),0))</f>
        <v/>
      </c>
      <c r="I79" s="43" t="str">
        <f aca="false">IF($A79="","",IF(AND(IF(Team!$I14="",DATE(Settings!$B$3,1,1),Team!$I14)&lt;=EOMONTH(I$69,0),IF(Team!$J14="",DATE(Settings!$B$3,12,31),Team!$J14)&gt;=I$69),IF(Team!$G14="",Settings!$B$4,Team!$G14)*(1-N(Team!$H14)/12/Settings!$B$13),0))</f>
        <v/>
      </c>
      <c r="J79" s="43" t="str">
        <f aca="false">IF($A79="","",IF(AND(IF(Team!$I14="",DATE(Settings!$B$3,1,1),Team!$I14)&lt;=EOMONTH(J$69,0),IF(Team!$J14="",DATE(Settings!$B$3,12,31),Team!$J14)&gt;=J$69),IF(Team!$G14="",Settings!$B$4,Team!$G14)*(1-N(Team!$H14)/12/Settings!$B$14),0))</f>
        <v/>
      </c>
      <c r="K79" s="43" t="str">
        <f aca="false">IF($A79="","",IF(AND(IF(Team!$I14="",DATE(Settings!$B$3,1,1),Team!$I14)&lt;=EOMONTH(K$69,0),IF(Team!$J14="",DATE(Settings!$B$3,12,31),Team!$J14)&gt;=K$69),IF(Team!$G14="",Settings!$B$4,Team!$G14)*(1-N(Team!$H14)/12/Settings!$B$15),0))</f>
        <v/>
      </c>
      <c r="L79" s="43" t="str">
        <f aca="false">IF($A79="","",IF(AND(IF(Team!$I14="",DATE(Settings!$B$3,1,1),Team!$I14)&lt;=EOMONTH(L$69,0),IF(Team!$J14="",DATE(Settings!$B$3,12,31),Team!$J14)&gt;=L$69),IF(Team!$G14="",Settings!$B$4,Team!$G14)*(1-N(Team!$H14)/12/Settings!$B$16),0))</f>
        <v/>
      </c>
      <c r="M79" s="43" t="str">
        <f aca="false">IF($A79="","",IF(AND(IF(Team!$I14="",DATE(Settings!$B$3,1,1),Team!$I14)&lt;=EOMONTH(M$69,0),IF(Team!$J14="",DATE(Settings!$B$3,12,31),Team!$J14)&gt;=M$69),IF(Team!$G14="",Settings!$B$4,Team!$G14)*(1-N(Team!$H14)/12/Settings!$B$17),0))</f>
        <v/>
      </c>
      <c r="N79" s="43" t="str">
        <f aca="false">IF($A79="","",IF(AND(IF(Team!$I14="",DATE(Settings!$B$3,1,1),Team!$I14)&lt;=EOMONTH(N$69,0),IF(Team!$J14="",DATE(Settings!$B$3,12,31),Team!$J14)&gt;=N$69),IF(Team!$G14="",Settings!$B$4,Team!$G14)*(1-N(Team!$H14)/12/Settings!$B$18),0))</f>
        <v/>
      </c>
      <c r="O79" s="43" t="str">
        <f aca="false">IF($A79="","",IF(AND(IF(Team!$I14="",DATE(Settings!$B$3,1,1),Team!$I14)&lt;=EOMONTH(O$69,0),IF(Team!$J14="",DATE(Settings!$B$3,12,31),Team!$J14)&gt;=O$69),IF(Team!$G14="",Settings!$B$4,Team!$G14)*(1-N(Team!$H14)/12/Settings!$B$19),0))</f>
        <v/>
      </c>
      <c r="P79" s="19" t="str">
        <f aca="false">IF($A79="","",SUM(D79:O79))</f>
        <v/>
      </c>
      <c r="Q79" s="2"/>
      <c r="R79" s="2"/>
      <c r="S79" s="2"/>
    </row>
    <row r="80" customFormat="false" ht="15" hidden="false" customHeight="false" outlineLevel="0" collapsed="false">
      <c r="A80" s="26" t="str">
        <f aca="false">IF(Team!$A15="","",Team!$A15)</f>
        <v/>
      </c>
      <c r="B80" s="26" t="str">
        <f aca="false">IF(Team!$A15="","",Team!$B15)</f>
        <v/>
      </c>
      <c r="C80" s="26" t="str">
        <f aca="false">IF(Team!$A15="","",Team!$C15)</f>
        <v/>
      </c>
      <c r="D80" s="43" t="str">
        <f aca="false">IF($A80="","",IF(AND(IF(Team!$I15="",DATE(Settings!$B$3,1,1),Team!$I15)&lt;=EOMONTH(D$69,0),IF(Team!$J15="",DATE(Settings!$B$3,12,31),Team!$J15)&gt;=D$69),IF(Team!$G15="",Settings!$B$4,Team!$G15)*(1-N(Team!$H15)/12/Settings!$B$8),0))</f>
        <v/>
      </c>
      <c r="E80" s="43" t="str">
        <f aca="false">IF($A80="","",IF(AND(IF(Team!$I15="",DATE(Settings!$B$3,1,1),Team!$I15)&lt;=EOMONTH(E$69,0),IF(Team!$J15="",DATE(Settings!$B$3,12,31),Team!$J15)&gt;=E$69),IF(Team!$G15="",Settings!$B$4,Team!$G15)*(1-N(Team!$H15)/12/Settings!$B$9),0))</f>
        <v/>
      </c>
      <c r="F80" s="43" t="str">
        <f aca="false">IF($A80="","",IF(AND(IF(Team!$I15="",DATE(Settings!$B$3,1,1),Team!$I15)&lt;=EOMONTH(F$69,0),IF(Team!$J15="",DATE(Settings!$B$3,12,31),Team!$J15)&gt;=F$69),IF(Team!$G15="",Settings!$B$4,Team!$G15)*(1-N(Team!$H15)/12/Settings!$B$10),0))</f>
        <v/>
      </c>
      <c r="G80" s="43" t="str">
        <f aca="false">IF($A80="","",IF(AND(IF(Team!$I15="",DATE(Settings!$B$3,1,1),Team!$I15)&lt;=EOMONTH(G$69,0),IF(Team!$J15="",DATE(Settings!$B$3,12,31),Team!$J15)&gt;=G$69),IF(Team!$G15="",Settings!$B$4,Team!$G15)*(1-N(Team!$H15)/12/Settings!$B$11),0))</f>
        <v/>
      </c>
      <c r="H80" s="43" t="str">
        <f aca="false">IF($A80="","",IF(AND(IF(Team!$I15="",DATE(Settings!$B$3,1,1),Team!$I15)&lt;=EOMONTH(H$69,0),IF(Team!$J15="",DATE(Settings!$B$3,12,31),Team!$J15)&gt;=H$69),IF(Team!$G15="",Settings!$B$4,Team!$G15)*(1-N(Team!$H15)/12/Settings!$B$12),0))</f>
        <v/>
      </c>
      <c r="I80" s="43" t="str">
        <f aca="false">IF($A80="","",IF(AND(IF(Team!$I15="",DATE(Settings!$B$3,1,1),Team!$I15)&lt;=EOMONTH(I$69,0),IF(Team!$J15="",DATE(Settings!$B$3,12,31),Team!$J15)&gt;=I$69),IF(Team!$G15="",Settings!$B$4,Team!$G15)*(1-N(Team!$H15)/12/Settings!$B$13),0))</f>
        <v/>
      </c>
      <c r="J80" s="43" t="str">
        <f aca="false">IF($A80="","",IF(AND(IF(Team!$I15="",DATE(Settings!$B$3,1,1),Team!$I15)&lt;=EOMONTH(J$69,0),IF(Team!$J15="",DATE(Settings!$B$3,12,31),Team!$J15)&gt;=J$69),IF(Team!$G15="",Settings!$B$4,Team!$G15)*(1-N(Team!$H15)/12/Settings!$B$14),0))</f>
        <v/>
      </c>
      <c r="K80" s="43" t="str">
        <f aca="false">IF($A80="","",IF(AND(IF(Team!$I15="",DATE(Settings!$B$3,1,1),Team!$I15)&lt;=EOMONTH(K$69,0),IF(Team!$J15="",DATE(Settings!$B$3,12,31),Team!$J15)&gt;=K$69),IF(Team!$G15="",Settings!$B$4,Team!$G15)*(1-N(Team!$H15)/12/Settings!$B$15),0))</f>
        <v/>
      </c>
      <c r="L80" s="43" t="str">
        <f aca="false">IF($A80="","",IF(AND(IF(Team!$I15="",DATE(Settings!$B$3,1,1),Team!$I15)&lt;=EOMONTH(L$69,0),IF(Team!$J15="",DATE(Settings!$B$3,12,31),Team!$J15)&gt;=L$69),IF(Team!$G15="",Settings!$B$4,Team!$G15)*(1-N(Team!$H15)/12/Settings!$B$16),0))</f>
        <v/>
      </c>
      <c r="M80" s="43" t="str">
        <f aca="false">IF($A80="","",IF(AND(IF(Team!$I15="",DATE(Settings!$B$3,1,1),Team!$I15)&lt;=EOMONTH(M$69,0),IF(Team!$J15="",DATE(Settings!$B$3,12,31),Team!$J15)&gt;=M$69),IF(Team!$G15="",Settings!$B$4,Team!$G15)*(1-N(Team!$H15)/12/Settings!$B$17),0))</f>
        <v/>
      </c>
      <c r="N80" s="43" t="str">
        <f aca="false">IF($A80="","",IF(AND(IF(Team!$I15="",DATE(Settings!$B$3,1,1),Team!$I15)&lt;=EOMONTH(N$69,0),IF(Team!$J15="",DATE(Settings!$B$3,12,31),Team!$J15)&gt;=N$69),IF(Team!$G15="",Settings!$B$4,Team!$G15)*(1-N(Team!$H15)/12/Settings!$B$18),0))</f>
        <v/>
      </c>
      <c r="O80" s="43" t="str">
        <f aca="false">IF($A80="","",IF(AND(IF(Team!$I15="",DATE(Settings!$B$3,1,1),Team!$I15)&lt;=EOMONTH(O$69,0),IF(Team!$J15="",DATE(Settings!$B$3,12,31),Team!$J15)&gt;=O$69),IF(Team!$G15="",Settings!$B$4,Team!$G15)*(1-N(Team!$H15)/12/Settings!$B$19),0))</f>
        <v/>
      </c>
      <c r="P80" s="19" t="str">
        <f aca="false">IF($A80="","",SUM(D80:O80))</f>
        <v/>
      </c>
      <c r="Q80" s="2"/>
      <c r="R80" s="2"/>
      <c r="S80" s="2"/>
    </row>
    <row r="81" customFormat="false" ht="15" hidden="false" customHeight="false" outlineLevel="0" collapsed="false">
      <c r="A81" s="26" t="str">
        <f aca="false">IF(Team!$A16="","",Team!$A16)</f>
        <v/>
      </c>
      <c r="B81" s="26" t="str">
        <f aca="false">IF(Team!$A16="","",Team!$B16)</f>
        <v/>
      </c>
      <c r="C81" s="26" t="str">
        <f aca="false">IF(Team!$A16="","",Team!$C16)</f>
        <v/>
      </c>
      <c r="D81" s="43" t="str">
        <f aca="false">IF($A81="","",IF(AND(IF(Team!$I16="",DATE(Settings!$B$3,1,1),Team!$I16)&lt;=EOMONTH(D$69,0),IF(Team!$J16="",DATE(Settings!$B$3,12,31),Team!$J16)&gt;=D$69),IF(Team!$G16="",Settings!$B$4,Team!$G16)*(1-N(Team!$H16)/12/Settings!$B$8),0))</f>
        <v/>
      </c>
      <c r="E81" s="43" t="str">
        <f aca="false">IF($A81="","",IF(AND(IF(Team!$I16="",DATE(Settings!$B$3,1,1),Team!$I16)&lt;=EOMONTH(E$69,0),IF(Team!$J16="",DATE(Settings!$B$3,12,31),Team!$J16)&gt;=E$69),IF(Team!$G16="",Settings!$B$4,Team!$G16)*(1-N(Team!$H16)/12/Settings!$B$9),0))</f>
        <v/>
      </c>
      <c r="F81" s="43" t="str">
        <f aca="false">IF($A81="","",IF(AND(IF(Team!$I16="",DATE(Settings!$B$3,1,1),Team!$I16)&lt;=EOMONTH(F$69,0),IF(Team!$J16="",DATE(Settings!$B$3,12,31),Team!$J16)&gt;=F$69),IF(Team!$G16="",Settings!$B$4,Team!$G16)*(1-N(Team!$H16)/12/Settings!$B$10),0))</f>
        <v/>
      </c>
      <c r="G81" s="43" t="str">
        <f aca="false">IF($A81="","",IF(AND(IF(Team!$I16="",DATE(Settings!$B$3,1,1),Team!$I16)&lt;=EOMONTH(G$69,0),IF(Team!$J16="",DATE(Settings!$B$3,12,31),Team!$J16)&gt;=G$69),IF(Team!$G16="",Settings!$B$4,Team!$G16)*(1-N(Team!$H16)/12/Settings!$B$11),0))</f>
        <v/>
      </c>
      <c r="H81" s="43" t="str">
        <f aca="false">IF($A81="","",IF(AND(IF(Team!$I16="",DATE(Settings!$B$3,1,1),Team!$I16)&lt;=EOMONTH(H$69,0),IF(Team!$J16="",DATE(Settings!$B$3,12,31),Team!$J16)&gt;=H$69),IF(Team!$G16="",Settings!$B$4,Team!$G16)*(1-N(Team!$H16)/12/Settings!$B$12),0))</f>
        <v/>
      </c>
      <c r="I81" s="43" t="str">
        <f aca="false">IF($A81="","",IF(AND(IF(Team!$I16="",DATE(Settings!$B$3,1,1),Team!$I16)&lt;=EOMONTH(I$69,0),IF(Team!$J16="",DATE(Settings!$B$3,12,31),Team!$J16)&gt;=I$69),IF(Team!$G16="",Settings!$B$4,Team!$G16)*(1-N(Team!$H16)/12/Settings!$B$13),0))</f>
        <v/>
      </c>
      <c r="J81" s="43" t="str">
        <f aca="false">IF($A81="","",IF(AND(IF(Team!$I16="",DATE(Settings!$B$3,1,1),Team!$I16)&lt;=EOMONTH(J$69,0),IF(Team!$J16="",DATE(Settings!$B$3,12,31),Team!$J16)&gt;=J$69),IF(Team!$G16="",Settings!$B$4,Team!$G16)*(1-N(Team!$H16)/12/Settings!$B$14),0))</f>
        <v/>
      </c>
      <c r="K81" s="43" t="str">
        <f aca="false">IF($A81="","",IF(AND(IF(Team!$I16="",DATE(Settings!$B$3,1,1),Team!$I16)&lt;=EOMONTH(K$69,0),IF(Team!$J16="",DATE(Settings!$B$3,12,31),Team!$J16)&gt;=K$69),IF(Team!$G16="",Settings!$B$4,Team!$G16)*(1-N(Team!$H16)/12/Settings!$B$15),0))</f>
        <v/>
      </c>
      <c r="L81" s="43" t="str">
        <f aca="false">IF($A81="","",IF(AND(IF(Team!$I16="",DATE(Settings!$B$3,1,1),Team!$I16)&lt;=EOMONTH(L$69,0),IF(Team!$J16="",DATE(Settings!$B$3,12,31),Team!$J16)&gt;=L$69),IF(Team!$G16="",Settings!$B$4,Team!$G16)*(1-N(Team!$H16)/12/Settings!$B$16),0))</f>
        <v/>
      </c>
      <c r="M81" s="43" t="str">
        <f aca="false">IF($A81="","",IF(AND(IF(Team!$I16="",DATE(Settings!$B$3,1,1),Team!$I16)&lt;=EOMONTH(M$69,0),IF(Team!$J16="",DATE(Settings!$B$3,12,31),Team!$J16)&gt;=M$69),IF(Team!$G16="",Settings!$B$4,Team!$G16)*(1-N(Team!$H16)/12/Settings!$B$17),0))</f>
        <v/>
      </c>
      <c r="N81" s="43" t="str">
        <f aca="false">IF($A81="","",IF(AND(IF(Team!$I16="",DATE(Settings!$B$3,1,1),Team!$I16)&lt;=EOMONTH(N$69,0),IF(Team!$J16="",DATE(Settings!$B$3,12,31),Team!$J16)&gt;=N$69),IF(Team!$G16="",Settings!$B$4,Team!$G16)*(1-N(Team!$H16)/12/Settings!$B$18),0))</f>
        <v/>
      </c>
      <c r="O81" s="43" t="str">
        <f aca="false">IF($A81="","",IF(AND(IF(Team!$I16="",DATE(Settings!$B$3,1,1),Team!$I16)&lt;=EOMONTH(O$69,0),IF(Team!$J16="",DATE(Settings!$B$3,12,31),Team!$J16)&gt;=O$69),IF(Team!$G16="",Settings!$B$4,Team!$G16)*(1-N(Team!$H16)/12/Settings!$B$19),0))</f>
        <v/>
      </c>
      <c r="P81" s="19" t="str">
        <f aca="false">IF($A81="","",SUM(D81:O81))</f>
        <v/>
      </c>
      <c r="Q81" s="2"/>
      <c r="R81" s="2"/>
      <c r="S81" s="2"/>
    </row>
    <row r="82" customFormat="false" ht="15" hidden="false" customHeight="false" outlineLevel="0" collapsed="false">
      <c r="A82" s="26" t="str">
        <f aca="false">IF(Team!$A17="","",Team!$A17)</f>
        <v/>
      </c>
      <c r="B82" s="26" t="str">
        <f aca="false">IF(Team!$A17="","",Team!$B17)</f>
        <v/>
      </c>
      <c r="C82" s="26" t="str">
        <f aca="false">IF(Team!$A17="","",Team!$C17)</f>
        <v/>
      </c>
      <c r="D82" s="43" t="str">
        <f aca="false">IF($A82="","",IF(AND(IF(Team!$I17="",DATE(Settings!$B$3,1,1),Team!$I17)&lt;=EOMONTH(D$69,0),IF(Team!$J17="",DATE(Settings!$B$3,12,31),Team!$J17)&gt;=D$69),IF(Team!$G17="",Settings!$B$4,Team!$G17)*(1-N(Team!$H17)/12/Settings!$B$8),0))</f>
        <v/>
      </c>
      <c r="E82" s="43" t="str">
        <f aca="false">IF($A82="","",IF(AND(IF(Team!$I17="",DATE(Settings!$B$3,1,1),Team!$I17)&lt;=EOMONTH(E$69,0),IF(Team!$J17="",DATE(Settings!$B$3,12,31),Team!$J17)&gt;=E$69),IF(Team!$G17="",Settings!$B$4,Team!$G17)*(1-N(Team!$H17)/12/Settings!$B$9),0))</f>
        <v/>
      </c>
      <c r="F82" s="43" t="str">
        <f aca="false">IF($A82="","",IF(AND(IF(Team!$I17="",DATE(Settings!$B$3,1,1),Team!$I17)&lt;=EOMONTH(F$69,0),IF(Team!$J17="",DATE(Settings!$B$3,12,31),Team!$J17)&gt;=F$69),IF(Team!$G17="",Settings!$B$4,Team!$G17)*(1-N(Team!$H17)/12/Settings!$B$10),0))</f>
        <v/>
      </c>
      <c r="G82" s="43" t="str">
        <f aca="false">IF($A82="","",IF(AND(IF(Team!$I17="",DATE(Settings!$B$3,1,1),Team!$I17)&lt;=EOMONTH(G$69,0),IF(Team!$J17="",DATE(Settings!$B$3,12,31),Team!$J17)&gt;=G$69),IF(Team!$G17="",Settings!$B$4,Team!$G17)*(1-N(Team!$H17)/12/Settings!$B$11),0))</f>
        <v/>
      </c>
      <c r="H82" s="43" t="str">
        <f aca="false">IF($A82="","",IF(AND(IF(Team!$I17="",DATE(Settings!$B$3,1,1),Team!$I17)&lt;=EOMONTH(H$69,0),IF(Team!$J17="",DATE(Settings!$B$3,12,31),Team!$J17)&gt;=H$69),IF(Team!$G17="",Settings!$B$4,Team!$G17)*(1-N(Team!$H17)/12/Settings!$B$12),0))</f>
        <v/>
      </c>
      <c r="I82" s="43" t="str">
        <f aca="false">IF($A82="","",IF(AND(IF(Team!$I17="",DATE(Settings!$B$3,1,1),Team!$I17)&lt;=EOMONTH(I$69,0),IF(Team!$J17="",DATE(Settings!$B$3,12,31),Team!$J17)&gt;=I$69),IF(Team!$G17="",Settings!$B$4,Team!$G17)*(1-N(Team!$H17)/12/Settings!$B$13),0))</f>
        <v/>
      </c>
      <c r="J82" s="43" t="str">
        <f aca="false">IF($A82="","",IF(AND(IF(Team!$I17="",DATE(Settings!$B$3,1,1),Team!$I17)&lt;=EOMONTH(J$69,0),IF(Team!$J17="",DATE(Settings!$B$3,12,31),Team!$J17)&gt;=J$69),IF(Team!$G17="",Settings!$B$4,Team!$G17)*(1-N(Team!$H17)/12/Settings!$B$14),0))</f>
        <v/>
      </c>
      <c r="K82" s="43" t="str">
        <f aca="false">IF($A82="","",IF(AND(IF(Team!$I17="",DATE(Settings!$B$3,1,1),Team!$I17)&lt;=EOMONTH(K$69,0),IF(Team!$J17="",DATE(Settings!$B$3,12,31),Team!$J17)&gt;=K$69),IF(Team!$G17="",Settings!$B$4,Team!$G17)*(1-N(Team!$H17)/12/Settings!$B$15),0))</f>
        <v/>
      </c>
      <c r="L82" s="43" t="str">
        <f aca="false">IF($A82="","",IF(AND(IF(Team!$I17="",DATE(Settings!$B$3,1,1),Team!$I17)&lt;=EOMONTH(L$69,0),IF(Team!$J17="",DATE(Settings!$B$3,12,31),Team!$J17)&gt;=L$69),IF(Team!$G17="",Settings!$B$4,Team!$G17)*(1-N(Team!$H17)/12/Settings!$B$16),0))</f>
        <v/>
      </c>
      <c r="M82" s="43" t="str">
        <f aca="false">IF($A82="","",IF(AND(IF(Team!$I17="",DATE(Settings!$B$3,1,1),Team!$I17)&lt;=EOMONTH(M$69,0),IF(Team!$J17="",DATE(Settings!$B$3,12,31),Team!$J17)&gt;=M$69),IF(Team!$G17="",Settings!$B$4,Team!$G17)*(1-N(Team!$H17)/12/Settings!$B$17),0))</f>
        <v/>
      </c>
      <c r="N82" s="43" t="str">
        <f aca="false">IF($A82="","",IF(AND(IF(Team!$I17="",DATE(Settings!$B$3,1,1),Team!$I17)&lt;=EOMONTH(N$69,0),IF(Team!$J17="",DATE(Settings!$B$3,12,31),Team!$J17)&gt;=N$69),IF(Team!$G17="",Settings!$B$4,Team!$G17)*(1-N(Team!$H17)/12/Settings!$B$18),0))</f>
        <v/>
      </c>
      <c r="O82" s="43" t="str">
        <f aca="false">IF($A82="","",IF(AND(IF(Team!$I17="",DATE(Settings!$B$3,1,1),Team!$I17)&lt;=EOMONTH(O$69,0),IF(Team!$J17="",DATE(Settings!$B$3,12,31),Team!$J17)&gt;=O$69),IF(Team!$G17="",Settings!$B$4,Team!$G17)*(1-N(Team!$H17)/12/Settings!$B$19),0))</f>
        <v/>
      </c>
      <c r="P82" s="19" t="str">
        <f aca="false">IF($A82="","",SUM(D82:O82))</f>
        <v/>
      </c>
      <c r="Q82" s="2"/>
      <c r="R82" s="2"/>
      <c r="S82" s="2"/>
    </row>
    <row r="83" customFormat="false" ht="15" hidden="false" customHeight="false" outlineLevel="0" collapsed="false">
      <c r="A83" s="26" t="str">
        <f aca="false">IF(Team!$A18="","",Team!$A18)</f>
        <v/>
      </c>
      <c r="B83" s="26" t="str">
        <f aca="false">IF(Team!$A18="","",Team!$B18)</f>
        <v/>
      </c>
      <c r="C83" s="26" t="str">
        <f aca="false">IF(Team!$A18="","",Team!$C18)</f>
        <v/>
      </c>
      <c r="D83" s="43" t="str">
        <f aca="false">IF($A83="","",IF(AND(IF(Team!$I18="",DATE(Settings!$B$3,1,1),Team!$I18)&lt;=EOMONTH(D$69,0),IF(Team!$J18="",DATE(Settings!$B$3,12,31),Team!$J18)&gt;=D$69),IF(Team!$G18="",Settings!$B$4,Team!$G18)*(1-N(Team!$H18)/12/Settings!$B$8),0))</f>
        <v/>
      </c>
      <c r="E83" s="43" t="str">
        <f aca="false">IF($A83="","",IF(AND(IF(Team!$I18="",DATE(Settings!$B$3,1,1),Team!$I18)&lt;=EOMONTH(E$69,0),IF(Team!$J18="",DATE(Settings!$B$3,12,31),Team!$J18)&gt;=E$69),IF(Team!$G18="",Settings!$B$4,Team!$G18)*(1-N(Team!$H18)/12/Settings!$B$9),0))</f>
        <v/>
      </c>
      <c r="F83" s="43" t="str">
        <f aca="false">IF($A83="","",IF(AND(IF(Team!$I18="",DATE(Settings!$B$3,1,1),Team!$I18)&lt;=EOMONTH(F$69,0),IF(Team!$J18="",DATE(Settings!$B$3,12,31),Team!$J18)&gt;=F$69),IF(Team!$G18="",Settings!$B$4,Team!$G18)*(1-N(Team!$H18)/12/Settings!$B$10),0))</f>
        <v/>
      </c>
      <c r="G83" s="43" t="str">
        <f aca="false">IF($A83="","",IF(AND(IF(Team!$I18="",DATE(Settings!$B$3,1,1),Team!$I18)&lt;=EOMONTH(G$69,0),IF(Team!$J18="",DATE(Settings!$B$3,12,31),Team!$J18)&gt;=G$69),IF(Team!$G18="",Settings!$B$4,Team!$G18)*(1-N(Team!$H18)/12/Settings!$B$11),0))</f>
        <v/>
      </c>
      <c r="H83" s="43" t="str">
        <f aca="false">IF($A83="","",IF(AND(IF(Team!$I18="",DATE(Settings!$B$3,1,1),Team!$I18)&lt;=EOMONTH(H$69,0),IF(Team!$J18="",DATE(Settings!$B$3,12,31),Team!$J18)&gt;=H$69),IF(Team!$G18="",Settings!$B$4,Team!$G18)*(1-N(Team!$H18)/12/Settings!$B$12),0))</f>
        <v/>
      </c>
      <c r="I83" s="43" t="str">
        <f aca="false">IF($A83="","",IF(AND(IF(Team!$I18="",DATE(Settings!$B$3,1,1),Team!$I18)&lt;=EOMONTH(I$69,0),IF(Team!$J18="",DATE(Settings!$B$3,12,31),Team!$J18)&gt;=I$69),IF(Team!$G18="",Settings!$B$4,Team!$G18)*(1-N(Team!$H18)/12/Settings!$B$13),0))</f>
        <v/>
      </c>
      <c r="J83" s="43" t="str">
        <f aca="false">IF($A83="","",IF(AND(IF(Team!$I18="",DATE(Settings!$B$3,1,1),Team!$I18)&lt;=EOMONTH(J$69,0),IF(Team!$J18="",DATE(Settings!$B$3,12,31),Team!$J18)&gt;=J$69),IF(Team!$G18="",Settings!$B$4,Team!$G18)*(1-N(Team!$H18)/12/Settings!$B$14),0))</f>
        <v/>
      </c>
      <c r="K83" s="43" t="str">
        <f aca="false">IF($A83="","",IF(AND(IF(Team!$I18="",DATE(Settings!$B$3,1,1),Team!$I18)&lt;=EOMONTH(K$69,0),IF(Team!$J18="",DATE(Settings!$B$3,12,31),Team!$J18)&gt;=K$69),IF(Team!$G18="",Settings!$B$4,Team!$G18)*(1-N(Team!$H18)/12/Settings!$B$15),0))</f>
        <v/>
      </c>
      <c r="L83" s="43" t="str">
        <f aca="false">IF($A83="","",IF(AND(IF(Team!$I18="",DATE(Settings!$B$3,1,1),Team!$I18)&lt;=EOMONTH(L$69,0),IF(Team!$J18="",DATE(Settings!$B$3,12,31),Team!$J18)&gt;=L$69),IF(Team!$G18="",Settings!$B$4,Team!$G18)*(1-N(Team!$H18)/12/Settings!$B$16),0))</f>
        <v/>
      </c>
      <c r="M83" s="43" t="str">
        <f aca="false">IF($A83="","",IF(AND(IF(Team!$I18="",DATE(Settings!$B$3,1,1),Team!$I18)&lt;=EOMONTH(M$69,0),IF(Team!$J18="",DATE(Settings!$B$3,12,31),Team!$J18)&gt;=M$69),IF(Team!$G18="",Settings!$B$4,Team!$G18)*(1-N(Team!$H18)/12/Settings!$B$17),0))</f>
        <v/>
      </c>
      <c r="N83" s="43" t="str">
        <f aca="false">IF($A83="","",IF(AND(IF(Team!$I18="",DATE(Settings!$B$3,1,1),Team!$I18)&lt;=EOMONTH(N$69,0),IF(Team!$J18="",DATE(Settings!$B$3,12,31),Team!$J18)&gt;=N$69),IF(Team!$G18="",Settings!$B$4,Team!$G18)*(1-N(Team!$H18)/12/Settings!$B$18),0))</f>
        <v/>
      </c>
      <c r="O83" s="43" t="str">
        <f aca="false">IF($A83="","",IF(AND(IF(Team!$I18="",DATE(Settings!$B$3,1,1),Team!$I18)&lt;=EOMONTH(O$69,0),IF(Team!$J18="",DATE(Settings!$B$3,12,31),Team!$J18)&gt;=O$69),IF(Team!$G18="",Settings!$B$4,Team!$G18)*(1-N(Team!$H18)/12/Settings!$B$19),0))</f>
        <v/>
      </c>
      <c r="P83" s="19" t="str">
        <f aca="false">IF($A83="","",SUM(D83:O83))</f>
        <v/>
      </c>
      <c r="Q83" s="2"/>
      <c r="R83" s="2"/>
      <c r="S83" s="2"/>
    </row>
    <row r="84" customFormat="false" ht="15" hidden="false" customHeight="false" outlineLevel="0" collapsed="false">
      <c r="A84" s="26" t="str">
        <f aca="false">IF(Team!$A19="","",Team!$A19)</f>
        <v/>
      </c>
      <c r="B84" s="26" t="str">
        <f aca="false">IF(Team!$A19="","",Team!$B19)</f>
        <v/>
      </c>
      <c r="C84" s="26" t="str">
        <f aca="false">IF(Team!$A19="","",Team!$C19)</f>
        <v/>
      </c>
      <c r="D84" s="43" t="str">
        <f aca="false">IF($A84="","",IF(AND(IF(Team!$I19="",DATE(Settings!$B$3,1,1),Team!$I19)&lt;=EOMONTH(D$69,0),IF(Team!$J19="",DATE(Settings!$B$3,12,31),Team!$J19)&gt;=D$69),IF(Team!$G19="",Settings!$B$4,Team!$G19)*(1-N(Team!$H19)/12/Settings!$B$8),0))</f>
        <v/>
      </c>
      <c r="E84" s="43" t="str">
        <f aca="false">IF($A84="","",IF(AND(IF(Team!$I19="",DATE(Settings!$B$3,1,1),Team!$I19)&lt;=EOMONTH(E$69,0),IF(Team!$J19="",DATE(Settings!$B$3,12,31),Team!$J19)&gt;=E$69),IF(Team!$G19="",Settings!$B$4,Team!$G19)*(1-N(Team!$H19)/12/Settings!$B$9),0))</f>
        <v/>
      </c>
      <c r="F84" s="43" t="str">
        <f aca="false">IF($A84="","",IF(AND(IF(Team!$I19="",DATE(Settings!$B$3,1,1),Team!$I19)&lt;=EOMONTH(F$69,0),IF(Team!$J19="",DATE(Settings!$B$3,12,31),Team!$J19)&gt;=F$69),IF(Team!$G19="",Settings!$B$4,Team!$G19)*(1-N(Team!$H19)/12/Settings!$B$10),0))</f>
        <v/>
      </c>
      <c r="G84" s="43" t="str">
        <f aca="false">IF($A84="","",IF(AND(IF(Team!$I19="",DATE(Settings!$B$3,1,1),Team!$I19)&lt;=EOMONTH(G$69,0),IF(Team!$J19="",DATE(Settings!$B$3,12,31),Team!$J19)&gt;=G$69),IF(Team!$G19="",Settings!$B$4,Team!$G19)*(1-N(Team!$H19)/12/Settings!$B$11),0))</f>
        <v/>
      </c>
      <c r="H84" s="43" t="str">
        <f aca="false">IF($A84="","",IF(AND(IF(Team!$I19="",DATE(Settings!$B$3,1,1),Team!$I19)&lt;=EOMONTH(H$69,0),IF(Team!$J19="",DATE(Settings!$B$3,12,31),Team!$J19)&gt;=H$69),IF(Team!$G19="",Settings!$B$4,Team!$G19)*(1-N(Team!$H19)/12/Settings!$B$12),0))</f>
        <v/>
      </c>
      <c r="I84" s="43" t="str">
        <f aca="false">IF($A84="","",IF(AND(IF(Team!$I19="",DATE(Settings!$B$3,1,1),Team!$I19)&lt;=EOMONTH(I$69,0),IF(Team!$J19="",DATE(Settings!$B$3,12,31),Team!$J19)&gt;=I$69),IF(Team!$G19="",Settings!$B$4,Team!$G19)*(1-N(Team!$H19)/12/Settings!$B$13),0))</f>
        <v/>
      </c>
      <c r="J84" s="43" t="str">
        <f aca="false">IF($A84="","",IF(AND(IF(Team!$I19="",DATE(Settings!$B$3,1,1),Team!$I19)&lt;=EOMONTH(J$69,0),IF(Team!$J19="",DATE(Settings!$B$3,12,31),Team!$J19)&gt;=J$69),IF(Team!$G19="",Settings!$B$4,Team!$G19)*(1-N(Team!$H19)/12/Settings!$B$14),0))</f>
        <v/>
      </c>
      <c r="K84" s="43" t="str">
        <f aca="false">IF($A84="","",IF(AND(IF(Team!$I19="",DATE(Settings!$B$3,1,1),Team!$I19)&lt;=EOMONTH(K$69,0),IF(Team!$J19="",DATE(Settings!$B$3,12,31),Team!$J19)&gt;=K$69),IF(Team!$G19="",Settings!$B$4,Team!$G19)*(1-N(Team!$H19)/12/Settings!$B$15),0))</f>
        <v/>
      </c>
      <c r="L84" s="43" t="str">
        <f aca="false">IF($A84="","",IF(AND(IF(Team!$I19="",DATE(Settings!$B$3,1,1),Team!$I19)&lt;=EOMONTH(L$69,0),IF(Team!$J19="",DATE(Settings!$B$3,12,31),Team!$J19)&gt;=L$69),IF(Team!$G19="",Settings!$B$4,Team!$G19)*(1-N(Team!$H19)/12/Settings!$B$16),0))</f>
        <v/>
      </c>
      <c r="M84" s="43" t="str">
        <f aca="false">IF($A84="","",IF(AND(IF(Team!$I19="",DATE(Settings!$B$3,1,1),Team!$I19)&lt;=EOMONTH(M$69,0),IF(Team!$J19="",DATE(Settings!$B$3,12,31),Team!$J19)&gt;=M$69),IF(Team!$G19="",Settings!$B$4,Team!$G19)*(1-N(Team!$H19)/12/Settings!$B$17),0))</f>
        <v/>
      </c>
      <c r="N84" s="43" t="str">
        <f aca="false">IF($A84="","",IF(AND(IF(Team!$I19="",DATE(Settings!$B$3,1,1),Team!$I19)&lt;=EOMONTH(N$69,0),IF(Team!$J19="",DATE(Settings!$B$3,12,31),Team!$J19)&gt;=N$69),IF(Team!$G19="",Settings!$B$4,Team!$G19)*(1-N(Team!$H19)/12/Settings!$B$18),0))</f>
        <v/>
      </c>
      <c r="O84" s="43" t="str">
        <f aca="false">IF($A84="","",IF(AND(IF(Team!$I19="",DATE(Settings!$B$3,1,1),Team!$I19)&lt;=EOMONTH(O$69,0),IF(Team!$J19="",DATE(Settings!$B$3,12,31),Team!$J19)&gt;=O$69),IF(Team!$G19="",Settings!$B$4,Team!$G19)*(1-N(Team!$H19)/12/Settings!$B$19),0))</f>
        <v/>
      </c>
      <c r="P84" s="19" t="str">
        <f aca="false">IF($A84="","",SUM(D84:O84))</f>
        <v/>
      </c>
      <c r="Q84" s="2"/>
      <c r="R84" s="2"/>
      <c r="S84" s="2"/>
    </row>
    <row r="85" customFormat="false" ht="15" hidden="false" customHeight="false" outlineLevel="0" collapsed="false">
      <c r="A85" s="26" t="str">
        <f aca="false">IF(Team!$A20="","",Team!$A20)</f>
        <v/>
      </c>
      <c r="B85" s="26" t="str">
        <f aca="false">IF(Team!$A20="","",Team!$B20)</f>
        <v/>
      </c>
      <c r="C85" s="26" t="str">
        <f aca="false">IF(Team!$A20="","",Team!$C20)</f>
        <v/>
      </c>
      <c r="D85" s="43" t="str">
        <f aca="false">IF($A85="","",IF(AND(IF(Team!$I20="",DATE(Settings!$B$3,1,1),Team!$I20)&lt;=EOMONTH(D$69,0),IF(Team!$J20="",DATE(Settings!$B$3,12,31),Team!$J20)&gt;=D$69),IF(Team!$G20="",Settings!$B$4,Team!$G20)*(1-N(Team!$H20)/12/Settings!$B$8),0))</f>
        <v/>
      </c>
      <c r="E85" s="43" t="str">
        <f aca="false">IF($A85="","",IF(AND(IF(Team!$I20="",DATE(Settings!$B$3,1,1),Team!$I20)&lt;=EOMONTH(E$69,0),IF(Team!$J20="",DATE(Settings!$B$3,12,31),Team!$J20)&gt;=E$69),IF(Team!$G20="",Settings!$B$4,Team!$G20)*(1-N(Team!$H20)/12/Settings!$B$9),0))</f>
        <v/>
      </c>
      <c r="F85" s="43" t="str">
        <f aca="false">IF($A85="","",IF(AND(IF(Team!$I20="",DATE(Settings!$B$3,1,1),Team!$I20)&lt;=EOMONTH(F$69,0),IF(Team!$J20="",DATE(Settings!$B$3,12,31),Team!$J20)&gt;=F$69),IF(Team!$G20="",Settings!$B$4,Team!$G20)*(1-N(Team!$H20)/12/Settings!$B$10),0))</f>
        <v/>
      </c>
      <c r="G85" s="43" t="str">
        <f aca="false">IF($A85="","",IF(AND(IF(Team!$I20="",DATE(Settings!$B$3,1,1),Team!$I20)&lt;=EOMONTH(G$69,0),IF(Team!$J20="",DATE(Settings!$B$3,12,31),Team!$J20)&gt;=G$69),IF(Team!$G20="",Settings!$B$4,Team!$G20)*(1-N(Team!$H20)/12/Settings!$B$11),0))</f>
        <v/>
      </c>
      <c r="H85" s="43" t="str">
        <f aca="false">IF($A85="","",IF(AND(IF(Team!$I20="",DATE(Settings!$B$3,1,1),Team!$I20)&lt;=EOMONTH(H$69,0),IF(Team!$J20="",DATE(Settings!$B$3,12,31),Team!$J20)&gt;=H$69),IF(Team!$G20="",Settings!$B$4,Team!$G20)*(1-N(Team!$H20)/12/Settings!$B$12),0))</f>
        <v/>
      </c>
      <c r="I85" s="43" t="str">
        <f aca="false">IF($A85="","",IF(AND(IF(Team!$I20="",DATE(Settings!$B$3,1,1),Team!$I20)&lt;=EOMONTH(I$69,0),IF(Team!$J20="",DATE(Settings!$B$3,12,31),Team!$J20)&gt;=I$69),IF(Team!$G20="",Settings!$B$4,Team!$G20)*(1-N(Team!$H20)/12/Settings!$B$13),0))</f>
        <v/>
      </c>
      <c r="J85" s="43" t="str">
        <f aca="false">IF($A85="","",IF(AND(IF(Team!$I20="",DATE(Settings!$B$3,1,1),Team!$I20)&lt;=EOMONTH(J$69,0),IF(Team!$J20="",DATE(Settings!$B$3,12,31),Team!$J20)&gt;=J$69),IF(Team!$G20="",Settings!$B$4,Team!$G20)*(1-N(Team!$H20)/12/Settings!$B$14),0))</f>
        <v/>
      </c>
      <c r="K85" s="43" t="str">
        <f aca="false">IF($A85="","",IF(AND(IF(Team!$I20="",DATE(Settings!$B$3,1,1),Team!$I20)&lt;=EOMONTH(K$69,0),IF(Team!$J20="",DATE(Settings!$B$3,12,31),Team!$J20)&gt;=K$69),IF(Team!$G20="",Settings!$B$4,Team!$G20)*(1-N(Team!$H20)/12/Settings!$B$15),0))</f>
        <v/>
      </c>
      <c r="L85" s="43" t="str">
        <f aca="false">IF($A85="","",IF(AND(IF(Team!$I20="",DATE(Settings!$B$3,1,1),Team!$I20)&lt;=EOMONTH(L$69,0),IF(Team!$J20="",DATE(Settings!$B$3,12,31),Team!$J20)&gt;=L$69),IF(Team!$G20="",Settings!$B$4,Team!$G20)*(1-N(Team!$H20)/12/Settings!$B$16),0))</f>
        <v/>
      </c>
      <c r="M85" s="43" t="str">
        <f aca="false">IF($A85="","",IF(AND(IF(Team!$I20="",DATE(Settings!$B$3,1,1),Team!$I20)&lt;=EOMONTH(M$69,0),IF(Team!$J20="",DATE(Settings!$B$3,12,31),Team!$J20)&gt;=M$69),IF(Team!$G20="",Settings!$B$4,Team!$G20)*(1-N(Team!$H20)/12/Settings!$B$17),0))</f>
        <v/>
      </c>
      <c r="N85" s="43" t="str">
        <f aca="false">IF($A85="","",IF(AND(IF(Team!$I20="",DATE(Settings!$B$3,1,1),Team!$I20)&lt;=EOMONTH(N$69,0),IF(Team!$J20="",DATE(Settings!$B$3,12,31),Team!$J20)&gt;=N$69),IF(Team!$G20="",Settings!$B$4,Team!$G20)*(1-N(Team!$H20)/12/Settings!$B$18),0))</f>
        <v/>
      </c>
      <c r="O85" s="43" t="str">
        <f aca="false">IF($A85="","",IF(AND(IF(Team!$I20="",DATE(Settings!$B$3,1,1),Team!$I20)&lt;=EOMONTH(O$69,0),IF(Team!$J20="",DATE(Settings!$B$3,12,31),Team!$J20)&gt;=O$69),IF(Team!$G20="",Settings!$B$4,Team!$G20)*(1-N(Team!$H20)/12/Settings!$B$19),0))</f>
        <v/>
      </c>
      <c r="P85" s="19" t="str">
        <f aca="false">IF($A85="","",SUM(D85:O85))</f>
        <v/>
      </c>
      <c r="Q85" s="2"/>
      <c r="R85" s="2"/>
      <c r="S85" s="2"/>
    </row>
    <row r="86" customFormat="false" ht="15" hidden="false" customHeight="false" outlineLevel="0" collapsed="false">
      <c r="A86" s="26" t="str">
        <f aca="false">IF(Team!$A21="","",Team!$A21)</f>
        <v/>
      </c>
      <c r="B86" s="26" t="str">
        <f aca="false">IF(Team!$A21="","",Team!$B21)</f>
        <v/>
      </c>
      <c r="C86" s="26" t="str">
        <f aca="false">IF(Team!$A21="","",Team!$C21)</f>
        <v/>
      </c>
      <c r="D86" s="43" t="str">
        <f aca="false">IF($A86="","",IF(AND(IF(Team!$I21="",DATE(Settings!$B$3,1,1),Team!$I21)&lt;=EOMONTH(D$69,0),IF(Team!$J21="",DATE(Settings!$B$3,12,31),Team!$J21)&gt;=D$69),IF(Team!$G21="",Settings!$B$4,Team!$G21)*(1-N(Team!$H21)/12/Settings!$B$8),0))</f>
        <v/>
      </c>
      <c r="E86" s="43" t="str">
        <f aca="false">IF($A86="","",IF(AND(IF(Team!$I21="",DATE(Settings!$B$3,1,1),Team!$I21)&lt;=EOMONTH(E$69,0),IF(Team!$J21="",DATE(Settings!$B$3,12,31),Team!$J21)&gt;=E$69),IF(Team!$G21="",Settings!$B$4,Team!$G21)*(1-N(Team!$H21)/12/Settings!$B$9),0))</f>
        <v/>
      </c>
      <c r="F86" s="43" t="str">
        <f aca="false">IF($A86="","",IF(AND(IF(Team!$I21="",DATE(Settings!$B$3,1,1),Team!$I21)&lt;=EOMONTH(F$69,0),IF(Team!$J21="",DATE(Settings!$B$3,12,31),Team!$J21)&gt;=F$69),IF(Team!$G21="",Settings!$B$4,Team!$G21)*(1-N(Team!$H21)/12/Settings!$B$10),0))</f>
        <v/>
      </c>
      <c r="G86" s="43" t="str">
        <f aca="false">IF($A86="","",IF(AND(IF(Team!$I21="",DATE(Settings!$B$3,1,1),Team!$I21)&lt;=EOMONTH(G$69,0),IF(Team!$J21="",DATE(Settings!$B$3,12,31),Team!$J21)&gt;=G$69),IF(Team!$G21="",Settings!$B$4,Team!$G21)*(1-N(Team!$H21)/12/Settings!$B$11),0))</f>
        <v/>
      </c>
      <c r="H86" s="43" t="str">
        <f aca="false">IF($A86="","",IF(AND(IF(Team!$I21="",DATE(Settings!$B$3,1,1),Team!$I21)&lt;=EOMONTH(H$69,0),IF(Team!$J21="",DATE(Settings!$B$3,12,31),Team!$J21)&gt;=H$69),IF(Team!$G21="",Settings!$B$4,Team!$G21)*(1-N(Team!$H21)/12/Settings!$B$12),0))</f>
        <v/>
      </c>
      <c r="I86" s="43" t="str">
        <f aca="false">IF($A86="","",IF(AND(IF(Team!$I21="",DATE(Settings!$B$3,1,1),Team!$I21)&lt;=EOMONTH(I$69,0),IF(Team!$J21="",DATE(Settings!$B$3,12,31),Team!$J21)&gt;=I$69),IF(Team!$G21="",Settings!$B$4,Team!$G21)*(1-N(Team!$H21)/12/Settings!$B$13),0))</f>
        <v/>
      </c>
      <c r="J86" s="43" t="str">
        <f aca="false">IF($A86="","",IF(AND(IF(Team!$I21="",DATE(Settings!$B$3,1,1),Team!$I21)&lt;=EOMONTH(J$69,0),IF(Team!$J21="",DATE(Settings!$B$3,12,31),Team!$J21)&gt;=J$69),IF(Team!$G21="",Settings!$B$4,Team!$G21)*(1-N(Team!$H21)/12/Settings!$B$14),0))</f>
        <v/>
      </c>
      <c r="K86" s="43" t="str">
        <f aca="false">IF($A86="","",IF(AND(IF(Team!$I21="",DATE(Settings!$B$3,1,1),Team!$I21)&lt;=EOMONTH(K$69,0),IF(Team!$J21="",DATE(Settings!$B$3,12,31),Team!$J21)&gt;=K$69),IF(Team!$G21="",Settings!$B$4,Team!$G21)*(1-N(Team!$H21)/12/Settings!$B$15),0))</f>
        <v/>
      </c>
      <c r="L86" s="43" t="str">
        <f aca="false">IF($A86="","",IF(AND(IF(Team!$I21="",DATE(Settings!$B$3,1,1),Team!$I21)&lt;=EOMONTH(L$69,0),IF(Team!$J21="",DATE(Settings!$B$3,12,31),Team!$J21)&gt;=L$69),IF(Team!$G21="",Settings!$B$4,Team!$G21)*(1-N(Team!$H21)/12/Settings!$B$16),0))</f>
        <v/>
      </c>
      <c r="M86" s="43" t="str">
        <f aca="false">IF($A86="","",IF(AND(IF(Team!$I21="",DATE(Settings!$B$3,1,1),Team!$I21)&lt;=EOMONTH(M$69,0),IF(Team!$J21="",DATE(Settings!$B$3,12,31),Team!$J21)&gt;=M$69),IF(Team!$G21="",Settings!$B$4,Team!$G21)*(1-N(Team!$H21)/12/Settings!$B$17),0))</f>
        <v/>
      </c>
      <c r="N86" s="43" t="str">
        <f aca="false">IF($A86="","",IF(AND(IF(Team!$I21="",DATE(Settings!$B$3,1,1),Team!$I21)&lt;=EOMONTH(N$69,0),IF(Team!$J21="",DATE(Settings!$B$3,12,31),Team!$J21)&gt;=N$69),IF(Team!$G21="",Settings!$B$4,Team!$G21)*(1-N(Team!$H21)/12/Settings!$B$18),0))</f>
        <v/>
      </c>
      <c r="O86" s="43" t="str">
        <f aca="false">IF($A86="","",IF(AND(IF(Team!$I21="",DATE(Settings!$B$3,1,1),Team!$I21)&lt;=EOMONTH(O$69,0),IF(Team!$J21="",DATE(Settings!$B$3,12,31),Team!$J21)&gt;=O$69),IF(Team!$G21="",Settings!$B$4,Team!$G21)*(1-N(Team!$H21)/12/Settings!$B$19),0))</f>
        <v/>
      </c>
      <c r="P86" s="19" t="str">
        <f aca="false">IF($A86="","",SUM(D86:O86))</f>
        <v/>
      </c>
      <c r="Q86" s="2"/>
      <c r="R86" s="2"/>
      <c r="S86" s="2"/>
    </row>
    <row r="87" customFormat="false" ht="15" hidden="false" customHeight="false" outlineLevel="0" collapsed="false">
      <c r="A87" s="26" t="str">
        <f aca="false">IF(Team!$A22="","",Team!$A22)</f>
        <v/>
      </c>
      <c r="B87" s="26" t="str">
        <f aca="false">IF(Team!$A22="","",Team!$B22)</f>
        <v/>
      </c>
      <c r="C87" s="26" t="str">
        <f aca="false">IF(Team!$A22="","",Team!$C22)</f>
        <v/>
      </c>
      <c r="D87" s="43" t="str">
        <f aca="false">IF($A87="","",IF(AND(IF(Team!$I22="",DATE(Settings!$B$3,1,1),Team!$I22)&lt;=EOMONTH(D$69,0),IF(Team!$J22="",DATE(Settings!$B$3,12,31),Team!$J22)&gt;=D$69),IF(Team!$G22="",Settings!$B$4,Team!$G22)*(1-N(Team!$H22)/12/Settings!$B$8),0))</f>
        <v/>
      </c>
      <c r="E87" s="43" t="str">
        <f aca="false">IF($A87="","",IF(AND(IF(Team!$I22="",DATE(Settings!$B$3,1,1),Team!$I22)&lt;=EOMONTH(E$69,0),IF(Team!$J22="",DATE(Settings!$B$3,12,31),Team!$J22)&gt;=E$69),IF(Team!$G22="",Settings!$B$4,Team!$G22)*(1-N(Team!$H22)/12/Settings!$B$9),0))</f>
        <v/>
      </c>
      <c r="F87" s="43" t="str">
        <f aca="false">IF($A87="","",IF(AND(IF(Team!$I22="",DATE(Settings!$B$3,1,1),Team!$I22)&lt;=EOMONTH(F$69,0),IF(Team!$J22="",DATE(Settings!$B$3,12,31),Team!$J22)&gt;=F$69),IF(Team!$G22="",Settings!$B$4,Team!$G22)*(1-N(Team!$H22)/12/Settings!$B$10),0))</f>
        <v/>
      </c>
      <c r="G87" s="43" t="str">
        <f aca="false">IF($A87="","",IF(AND(IF(Team!$I22="",DATE(Settings!$B$3,1,1),Team!$I22)&lt;=EOMONTH(G$69,0),IF(Team!$J22="",DATE(Settings!$B$3,12,31),Team!$J22)&gt;=G$69),IF(Team!$G22="",Settings!$B$4,Team!$G22)*(1-N(Team!$H22)/12/Settings!$B$11),0))</f>
        <v/>
      </c>
      <c r="H87" s="43" t="str">
        <f aca="false">IF($A87="","",IF(AND(IF(Team!$I22="",DATE(Settings!$B$3,1,1),Team!$I22)&lt;=EOMONTH(H$69,0),IF(Team!$J22="",DATE(Settings!$B$3,12,31),Team!$J22)&gt;=H$69),IF(Team!$G22="",Settings!$B$4,Team!$G22)*(1-N(Team!$H22)/12/Settings!$B$12),0))</f>
        <v/>
      </c>
      <c r="I87" s="43" t="str">
        <f aca="false">IF($A87="","",IF(AND(IF(Team!$I22="",DATE(Settings!$B$3,1,1),Team!$I22)&lt;=EOMONTH(I$69,0),IF(Team!$J22="",DATE(Settings!$B$3,12,31),Team!$J22)&gt;=I$69),IF(Team!$G22="",Settings!$B$4,Team!$G22)*(1-N(Team!$H22)/12/Settings!$B$13),0))</f>
        <v/>
      </c>
      <c r="J87" s="43" t="str">
        <f aca="false">IF($A87="","",IF(AND(IF(Team!$I22="",DATE(Settings!$B$3,1,1),Team!$I22)&lt;=EOMONTH(J$69,0),IF(Team!$J22="",DATE(Settings!$B$3,12,31),Team!$J22)&gt;=J$69),IF(Team!$G22="",Settings!$B$4,Team!$G22)*(1-N(Team!$H22)/12/Settings!$B$14),0))</f>
        <v/>
      </c>
      <c r="K87" s="43" t="str">
        <f aca="false">IF($A87="","",IF(AND(IF(Team!$I22="",DATE(Settings!$B$3,1,1),Team!$I22)&lt;=EOMONTH(K$69,0),IF(Team!$J22="",DATE(Settings!$B$3,12,31),Team!$J22)&gt;=K$69),IF(Team!$G22="",Settings!$B$4,Team!$G22)*(1-N(Team!$H22)/12/Settings!$B$15),0))</f>
        <v/>
      </c>
      <c r="L87" s="43" t="str">
        <f aca="false">IF($A87="","",IF(AND(IF(Team!$I22="",DATE(Settings!$B$3,1,1),Team!$I22)&lt;=EOMONTH(L$69,0),IF(Team!$J22="",DATE(Settings!$B$3,12,31),Team!$J22)&gt;=L$69),IF(Team!$G22="",Settings!$B$4,Team!$G22)*(1-N(Team!$H22)/12/Settings!$B$16),0))</f>
        <v/>
      </c>
      <c r="M87" s="43" t="str">
        <f aca="false">IF($A87="","",IF(AND(IF(Team!$I22="",DATE(Settings!$B$3,1,1),Team!$I22)&lt;=EOMONTH(M$69,0),IF(Team!$J22="",DATE(Settings!$B$3,12,31),Team!$J22)&gt;=M$69),IF(Team!$G22="",Settings!$B$4,Team!$G22)*(1-N(Team!$H22)/12/Settings!$B$17),0))</f>
        <v/>
      </c>
      <c r="N87" s="43" t="str">
        <f aca="false">IF($A87="","",IF(AND(IF(Team!$I22="",DATE(Settings!$B$3,1,1),Team!$I22)&lt;=EOMONTH(N$69,0),IF(Team!$J22="",DATE(Settings!$B$3,12,31),Team!$J22)&gt;=N$69),IF(Team!$G22="",Settings!$B$4,Team!$G22)*(1-N(Team!$H22)/12/Settings!$B$18),0))</f>
        <v/>
      </c>
      <c r="O87" s="43" t="str">
        <f aca="false">IF($A87="","",IF(AND(IF(Team!$I22="",DATE(Settings!$B$3,1,1),Team!$I22)&lt;=EOMONTH(O$69,0),IF(Team!$J22="",DATE(Settings!$B$3,12,31),Team!$J22)&gt;=O$69),IF(Team!$G22="",Settings!$B$4,Team!$G22)*(1-N(Team!$H22)/12/Settings!$B$19),0))</f>
        <v/>
      </c>
      <c r="P87" s="19" t="str">
        <f aca="false">IF($A87="","",SUM(D87:O87))</f>
        <v/>
      </c>
      <c r="Q87" s="2"/>
      <c r="R87" s="2"/>
      <c r="S87" s="2"/>
    </row>
    <row r="88" customFormat="false" ht="15" hidden="false" customHeight="false" outlineLevel="0" collapsed="false">
      <c r="A88" s="26" t="str">
        <f aca="false">IF(Team!$A23="","",Team!$A23)</f>
        <v/>
      </c>
      <c r="B88" s="26" t="str">
        <f aca="false">IF(Team!$A23="","",Team!$B23)</f>
        <v/>
      </c>
      <c r="C88" s="26" t="str">
        <f aca="false">IF(Team!$A23="","",Team!$C23)</f>
        <v/>
      </c>
      <c r="D88" s="43" t="str">
        <f aca="false">IF($A88="","",IF(AND(IF(Team!$I23="",DATE(Settings!$B$3,1,1),Team!$I23)&lt;=EOMONTH(D$69,0),IF(Team!$J23="",DATE(Settings!$B$3,12,31),Team!$J23)&gt;=D$69),IF(Team!$G23="",Settings!$B$4,Team!$G23)*(1-N(Team!$H23)/12/Settings!$B$8),0))</f>
        <v/>
      </c>
      <c r="E88" s="43" t="str">
        <f aca="false">IF($A88="","",IF(AND(IF(Team!$I23="",DATE(Settings!$B$3,1,1),Team!$I23)&lt;=EOMONTH(E$69,0),IF(Team!$J23="",DATE(Settings!$B$3,12,31),Team!$J23)&gt;=E$69),IF(Team!$G23="",Settings!$B$4,Team!$G23)*(1-N(Team!$H23)/12/Settings!$B$9),0))</f>
        <v/>
      </c>
      <c r="F88" s="43" t="str">
        <f aca="false">IF($A88="","",IF(AND(IF(Team!$I23="",DATE(Settings!$B$3,1,1),Team!$I23)&lt;=EOMONTH(F$69,0),IF(Team!$J23="",DATE(Settings!$B$3,12,31),Team!$J23)&gt;=F$69),IF(Team!$G23="",Settings!$B$4,Team!$G23)*(1-N(Team!$H23)/12/Settings!$B$10),0))</f>
        <v/>
      </c>
      <c r="G88" s="43" t="str">
        <f aca="false">IF($A88="","",IF(AND(IF(Team!$I23="",DATE(Settings!$B$3,1,1),Team!$I23)&lt;=EOMONTH(G$69,0),IF(Team!$J23="",DATE(Settings!$B$3,12,31),Team!$J23)&gt;=G$69),IF(Team!$G23="",Settings!$B$4,Team!$G23)*(1-N(Team!$H23)/12/Settings!$B$11),0))</f>
        <v/>
      </c>
      <c r="H88" s="43" t="str">
        <f aca="false">IF($A88="","",IF(AND(IF(Team!$I23="",DATE(Settings!$B$3,1,1),Team!$I23)&lt;=EOMONTH(H$69,0),IF(Team!$J23="",DATE(Settings!$B$3,12,31),Team!$J23)&gt;=H$69),IF(Team!$G23="",Settings!$B$4,Team!$G23)*(1-N(Team!$H23)/12/Settings!$B$12),0))</f>
        <v/>
      </c>
      <c r="I88" s="43" t="str">
        <f aca="false">IF($A88="","",IF(AND(IF(Team!$I23="",DATE(Settings!$B$3,1,1),Team!$I23)&lt;=EOMONTH(I$69,0),IF(Team!$J23="",DATE(Settings!$B$3,12,31),Team!$J23)&gt;=I$69),IF(Team!$G23="",Settings!$B$4,Team!$G23)*(1-N(Team!$H23)/12/Settings!$B$13),0))</f>
        <v/>
      </c>
      <c r="J88" s="43" t="str">
        <f aca="false">IF($A88="","",IF(AND(IF(Team!$I23="",DATE(Settings!$B$3,1,1),Team!$I23)&lt;=EOMONTH(J$69,0),IF(Team!$J23="",DATE(Settings!$B$3,12,31),Team!$J23)&gt;=J$69),IF(Team!$G23="",Settings!$B$4,Team!$G23)*(1-N(Team!$H23)/12/Settings!$B$14),0))</f>
        <v/>
      </c>
      <c r="K88" s="43" t="str">
        <f aca="false">IF($A88="","",IF(AND(IF(Team!$I23="",DATE(Settings!$B$3,1,1),Team!$I23)&lt;=EOMONTH(K$69,0),IF(Team!$J23="",DATE(Settings!$B$3,12,31),Team!$J23)&gt;=K$69),IF(Team!$G23="",Settings!$B$4,Team!$G23)*(1-N(Team!$H23)/12/Settings!$B$15),0))</f>
        <v/>
      </c>
      <c r="L88" s="43" t="str">
        <f aca="false">IF($A88="","",IF(AND(IF(Team!$I23="",DATE(Settings!$B$3,1,1),Team!$I23)&lt;=EOMONTH(L$69,0),IF(Team!$J23="",DATE(Settings!$B$3,12,31),Team!$J23)&gt;=L$69),IF(Team!$G23="",Settings!$B$4,Team!$G23)*(1-N(Team!$H23)/12/Settings!$B$16),0))</f>
        <v/>
      </c>
      <c r="M88" s="43" t="str">
        <f aca="false">IF($A88="","",IF(AND(IF(Team!$I23="",DATE(Settings!$B$3,1,1),Team!$I23)&lt;=EOMONTH(M$69,0),IF(Team!$J23="",DATE(Settings!$B$3,12,31),Team!$J23)&gt;=M$69),IF(Team!$G23="",Settings!$B$4,Team!$G23)*(1-N(Team!$H23)/12/Settings!$B$17),0))</f>
        <v/>
      </c>
      <c r="N88" s="43" t="str">
        <f aca="false">IF($A88="","",IF(AND(IF(Team!$I23="",DATE(Settings!$B$3,1,1),Team!$I23)&lt;=EOMONTH(N$69,0),IF(Team!$J23="",DATE(Settings!$B$3,12,31),Team!$J23)&gt;=N$69),IF(Team!$G23="",Settings!$B$4,Team!$G23)*(1-N(Team!$H23)/12/Settings!$B$18),0))</f>
        <v/>
      </c>
      <c r="O88" s="43" t="str">
        <f aca="false">IF($A88="","",IF(AND(IF(Team!$I23="",DATE(Settings!$B$3,1,1),Team!$I23)&lt;=EOMONTH(O$69,0),IF(Team!$J23="",DATE(Settings!$B$3,12,31),Team!$J23)&gt;=O$69),IF(Team!$G23="",Settings!$B$4,Team!$G23)*(1-N(Team!$H23)/12/Settings!$B$19),0))</f>
        <v/>
      </c>
      <c r="P88" s="19" t="str">
        <f aca="false">IF($A88="","",SUM(D88:O88))</f>
        <v/>
      </c>
      <c r="Q88" s="2"/>
      <c r="R88" s="2"/>
      <c r="S88" s="2"/>
    </row>
    <row r="89" customFormat="false" ht="15" hidden="false" customHeight="false" outlineLevel="0" collapsed="false">
      <c r="A89" s="26" t="str">
        <f aca="false">IF(Team!$A24="","",Team!$A24)</f>
        <v/>
      </c>
      <c r="B89" s="26" t="str">
        <f aca="false">IF(Team!$A24="","",Team!$B24)</f>
        <v/>
      </c>
      <c r="C89" s="26" t="str">
        <f aca="false">IF(Team!$A24="","",Team!$C24)</f>
        <v/>
      </c>
      <c r="D89" s="43" t="str">
        <f aca="false">IF($A89="","",IF(AND(IF(Team!$I24="",DATE(Settings!$B$3,1,1),Team!$I24)&lt;=EOMONTH(D$69,0),IF(Team!$J24="",DATE(Settings!$B$3,12,31),Team!$J24)&gt;=D$69),IF(Team!$G24="",Settings!$B$4,Team!$G24)*(1-N(Team!$H24)/12/Settings!$B$8),0))</f>
        <v/>
      </c>
      <c r="E89" s="43" t="str">
        <f aca="false">IF($A89="","",IF(AND(IF(Team!$I24="",DATE(Settings!$B$3,1,1),Team!$I24)&lt;=EOMONTH(E$69,0),IF(Team!$J24="",DATE(Settings!$B$3,12,31),Team!$J24)&gt;=E$69),IF(Team!$G24="",Settings!$B$4,Team!$G24)*(1-N(Team!$H24)/12/Settings!$B$9),0))</f>
        <v/>
      </c>
      <c r="F89" s="43" t="str">
        <f aca="false">IF($A89="","",IF(AND(IF(Team!$I24="",DATE(Settings!$B$3,1,1),Team!$I24)&lt;=EOMONTH(F$69,0),IF(Team!$J24="",DATE(Settings!$B$3,12,31),Team!$J24)&gt;=F$69),IF(Team!$G24="",Settings!$B$4,Team!$G24)*(1-N(Team!$H24)/12/Settings!$B$10),0))</f>
        <v/>
      </c>
      <c r="G89" s="43" t="str">
        <f aca="false">IF($A89="","",IF(AND(IF(Team!$I24="",DATE(Settings!$B$3,1,1),Team!$I24)&lt;=EOMONTH(G$69,0),IF(Team!$J24="",DATE(Settings!$B$3,12,31),Team!$J24)&gt;=G$69),IF(Team!$G24="",Settings!$B$4,Team!$G24)*(1-N(Team!$H24)/12/Settings!$B$11),0))</f>
        <v/>
      </c>
      <c r="H89" s="43" t="str">
        <f aca="false">IF($A89="","",IF(AND(IF(Team!$I24="",DATE(Settings!$B$3,1,1),Team!$I24)&lt;=EOMONTH(H$69,0),IF(Team!$J24="",DATE(Settings!$B$3,12,31),Team!$J24)&gt;=H$69),IF(Team!$G24="",Settings!$B$4,Team!$G24)*(1-N(Team!$H24)/12/Settings!$B$12),0))</f>
        <v/>
      </c>
      <c r="I89" s="43" t="str">
        <f aca="false">IF($A89="","",IF(AND(IF(Team!$I24="",DATE(Settings!$B$3,1,1),Team!$I24)&lt;=EOMONTH(I$69,0),IF(Team!$J24="",DATE(Settings!$B$3,12,31),Team!$J24)&gt;=I$69),IF(Team!$G24="",Settings!$B$4,Team!$G24)*(1-N(Team!$H24)/12/Settings!$B$13),0))</f>
        <v/>
      </c>
      <c r="J89" s="43" t="str">
        <f aca="false">IF($A89="","",IF(AND(IF(Team!$I24="",DATE(Settings!$B$3,1,1),Team!$I24)&lt;=EOMONTH(J$69,0),IF(Team!$J24="",DATE(Settings!$B$3,12,31),Team!$J24)&gt;=J$69),IF(Team!$G24="",Settings!$B$4,Team!$G24)*(1-N(Team!$H24)/12/Settings!$B$14),0))</f>
        <v/>
      </c>
      <c r="K89" s="43" t="str">
        <f aca="false">IF($A89="","",IF(AND(IF(Team!$I24="",DATE(Settings!$B$3,1,1),Team!$I24)&lt;=EOMONTH(K$69,0),IF(Team!$J24="",DATE(Settings!$B$3,12,31),Team!$J24)&gt;=K$69),IF(Team!$G24="",Settings!$B$4,Team!$G24)*(1-N(Team!$H24)/12/Settings!$B$15),0))</f>
        <v/>
      </c>
      <c r="L89" s="43" t="str">
        <f aca="false">IF($A89="","",IF(AND(IF(Team!$I24="",DATE(Settings!$B$3,1,1),Team!$I24)&lt;=EOMONTH(L$69,0),IF(Team!$J24="",DATE(Settings!$B$3,12,31),Team!$J24)&gt;=L$69),IF(Team!$G24="",Settings!$B$4,Team!$G24)*(1-N(Team!$H24)/12/Settings!$B$16),0))</f>
        <v/>
      </c>
      <c r="M89" s="43" t="str">
        <f aca="false">IF($A89="","",IF(AND(IF(Team!$I24="",DATE(Settings!$B$3,1,1),Team!$I24)&lt;=EOMONTH(M$69,0),IF(Team!$J24="",DATE(Settings!$B$3,12,31),Team!$J24)&gt;=M$69),IF(Team!$G24="",Settings!$B$4,Team!$G24)*(1-N(Team!$H24)/12/Settings!$B$17),0))</f>
        <v/>
      </c>
      <c r="N89" s="43" t="str">
        <f aca="false">IF($A89="","",IF(AND(IF(Team!$I24="",DATE(Settings!$B$3,1,1),Team!$I24)&lt;=EOMONTH(N$69,0),IF(Team!$J24="",DATE(Settings!$B$3,12,31),Team!$J24)&gt;=N$69),IF(Team!$G24="",Settings!$B$4,Team!$G24)*(1-N(Team!$H24)/12/Settings!$B$18),0))</f>
        <v/>
      </c>
      <c r="O89" s="43" t="str">
        <f aca="false">IF($A89="","",IF(AND(IF(Team!$I24="",DATE(Settings!$B$3,1,1),Team!$I24)&lt;=EOMONTH(O$69,0),IF(Team!$J24="",DATE(Settings!$B$3,12,31),Team!$J24)&gt;=O$69),IF(Team!$G24="",Settings!$B$4,Team!$G24)*(1-N(Team!$H24)/12/Settings!$B$19),0))</f>
        <v/>
      </c>
      <c r="P89" s="19" t="str">
        <f aca="false">IF($A89="","",SUM(D89:O89))</f>
        <v/>
      </c>
      <c r="Q89" s="2"/>
      <c r="R89" s="2"/>
      <c r="S89" s="2"/>
    </row>
    <row r="90" customFormat="false" ht="15" hidden="false" customHeight="false" outlineLevel="0" collapsed="false">
      <c r="A90" s="26" t="str">
        <f aca="false">IF(Team!$A25="","",Team!$A25)</f>
        <v/>
      </c>
      <c r="B90" s="26" t="str">
        <f aca="false">IF(Team!$A25="","",Team!$B25)</f>
        <v/>
      </c>
      <c r="C90" s="26" t="str">
        <f aca="false">IF(Team!$A25="","",Team!$C25)</f>
        <v/>
      </c>
      <c r="D90" s="43" t="str">
        <f aca="false">IF($A90="","",IF(AND(IF(Team!$I25="",DATE(Settings!$B$3,1,1),Team!$I25)&lt;=EOMONTH(D$69,0),IF(Team!$J25="",DATE(Settings!$B$3,12,31),Team!$J25)&gt;=D$69),IF(Team!$G25="",Settings!$B$4,Team!$G25)*(1-N(Team!$H25)/12/Settings!$B$8),0))</f>
        <v/>
      </c>
      <c r="E90" s="43" t="str">
        <f aca="false">IF($A90="","",IF(AND(IF(Team!$I25="",DATE(Settings!$B$3,1,1),Team!$I25)&lt;=EOMONTH(E$69,0),IF(Team!$J25="",DATE(Settings!$B$3,12,31),Team!$J25)&gt;=E$69),IF(Team!$G25="",Settings!$B$4,Team!$G25)*(1-N(Team!$H25)/12/Settings!$B$9),0))</f>
        <v/>
      </c>
      <c r="F90" s="43" t="str">
        <f aca="false">IF($A90="","",IF(AND(IF(Team!$I25="",DATE(Settings!$B$3,1,1),Team!$I25)&lt;=EOMONTH(F$69,0),IF(Team!$J25="",DATE(Settings!$B$3,12,31),Team!$J25)&gt;=F$69),IF(Team!$G25="",Settings!$B$4,Team!$G25)*(1-N(Team!$H25)/12/Settings!$B$10),0))</f>
        <v/>
      </c>
      <c r="G90" s="43" t="str">
        <f aca="false">IF($A90="","",IF(AND(IF(Team!$I25="",DATE(Settings!$B$3,1,1),Team!$I25)&lt;=EOMONTH(G$69,0),IF(Team!$J25="",DATE(Settings!$B$3,12,31),Team!$J25)&gt;=G$69),IF(Team!$G25="",Settings!$B$4,Team!$G25)*(1-N(Team!$H25)/12/Settings!$B$11),0))</f>
        <v/>
      </c>
      <c r="H90" s="43" t="str">
        <f aca="false">IF($A90="","",IF(AND(IF(Team!$I25="",DATE(Settings!$B$3,1,1),Team!$I25)&lt;=EOMONTH(H$69,0),IF(Team!$J25="",DATE(Settings!$B$3,12,31),Team!$J25)&gt;=H$69),IF(Team!$G25="",Settings!$B$4,Team!$G25)*(1-N(Team!$H25)/12/Settings!$B$12),0))</f>
        <v/>
      </c>
      <c r="I90" s="43" t="str">
        <f aca="false">IF($A90="","",IF(AND(IF(Team!$I25="",DATE(Settings!$B$3,1,1),Team!$I25)&lt;=EOMONTH(I$69,0),IF(Team!$J25="",DATE(Settings!$B$3,12,31),Team!$J25)&gt;=I$69),IF(Team!$G25="",Settings!$B$4,Team!$G25)*(1-N(Team!$H25)/12/Settings!$B$13),0))</f>
        <v/>
      </c>
      <c r="J90" s="43" t="str">
        <f aca="false">IF($A90="","",IF(AND(IF(Team!$I25="",DATE(Settings!$B$3,1,1),Team!$I25)&lt;=EOMONTH(J$69,0),IF(Team!$J25="",DATE(Settings!$B$3,12,31),Team!$J25)&gt;=J$69),IF(Team!$G25="",Settings!$B$4,Team!$G25)*(1-N(Team!$H25)/12/Settings!$B$14),0))</f>
        <v/>
      </c>
      <c r="K90" s="43" t="str">
        <f aca="false">IF($A90="","",IF(AND(IF(Team!$I25="",DATE(Settings!$B$3,1,1),Team!$I25)&lt;=EOMONTH(K$69,0),IF(Team!$J25="",DATE(Settings!$B$3,12,31),Team!$J25)&gt;=K$69),IF(Team!$G25="",Settings!$B$4,Team!$G25)*(1-N(Team!$H25)/12/Settings!$B$15),0))</f>
        <v/>
      </c>
      <c r="L90" s="43" t="str">
        <f aca="false">IF($A90="","",IF(AND(IF(Team!$I25="",DATE(Settings!$B$3,1,1),Team!$I25)&lt;=EOMONTH(L$69,0),IF(Team!$J25="",DATE(Settings!$B$3,12,31),Team!$J25)&gt;=L$69),IF(Team!$G25="",Settings!$B$4,Team!$G25)*(1-N(Team!$H25)/12/Settings!$B$16),0))</f>
        <v/>
      </c>
      <c r="M90" s="43" t="str">
        <f aca="false">IF($A90="","",IF(AND(IF(Team!$I25="",DATE(Settings!$B$3,1,1),Team!$I25)&lt;=EOMONTH(M$69,0),IF(Team!$J25="",DATE(Settings!$B$3,12,31),Team!$J25)&gt;=M$69),IF(Team!$G25="",Settings!$B$4,Team!$G25)*(1-N(Team!$H25)/12/Settings!$B$17),0))</f>
        <v/>
      </c>
      <c r="N90" s="43" t="str">
        <f aca="false">IF($A90="","",IF(AND(IF(Team!$I25="",DATE(Settings!$B$3,1,1),Team!$I25)&lt;=EOMONTH(N$69,0),IF(Team!$J25="",DATE(Settings!$B$3,12,31),Team!$J25)&gt;=N$69),IF(Team!$G25="",Settings!$B$4,Team!$G25)*(1-N(Team!$H25)/12/Settings!$B$18),0))</f>
        <v/>
      </c>
      <c r="O90" s="43" t="str">
        <f aca="false">IF($A90="","",IF(AND(IF(Team!$I25="",DATE(Settings!$B$3,1,1),Team!$I25)&lt;=EOMONTH(O$69,0),IF(Team!$J25="",DATE(Settings!$B$3,12,31),Team!$J25)&gt;=O$69),IF(Team!$G25="",Settings!$B$4,Team!$G25)*(1-N(Team!$H25)/12/Settings!$B$19),0))</f>
        <v/>
      </c>
      <c r="P90" s="19" t="str">
        <f aca="false">IF($A90="","",SUM(D90:O90))</f>
        <v/>
      </c>
      <c r="Q90" s="2"/>
      <c r="R90" s="2"/>
      <c r="S90" s="2"/>
    </row>
    <row r="91" customFormat="false" ht="15" hidden="false" customHeight="false" outlineLevel="0" collapsed="false">
      <c r="A91" s="26" t="str">
        <f aca="false">IF(Team!$A26="","",Team!$A26)</f>
        <v/>
      </c>
      <c r="B91" s="26" t="str">
        <f aca="false">IF(Team!$A26="","",Team!$B26)</f>
        <v/>
      </c>
      <c r="C91" s="26" t="str">
        <f aca="false">IF(Team!$A26="","",Team!$C26)</f>
        <v/>
      </c>
      <c r="D91" s="43" t="str">
        <f aca="false">IF($A91="","",IF(AND(IF(Team!$I26="",DATE(Settings!$B$3,1,1),Team!$I26)&lt;=EOMONTH(D$69,0),IF(Team!$J26="",DATE(Settings!$B$3,12,31),Team!$J26)&gt;=D$69),IF(Team!$G26="",Settings!$B$4,Team!$G26)*(1-N(Team!$H26)/12/Settings!$B$8),0))</f>
        <v/>
      </c>
      <c r="E91" s="43" t="str">
        <f aca="false">IF($A91="","",IF(AND(IF(Team!$I26="",DATE(Settings!$B$3,1,1),Team!$I26)&lt;=EOMONTH(E$69,0),IF(Team!$J26="",DATE(Settings!$B$3,12,31),Team!$J26)&gt;=E$69),IF(Team!$G26="",Settings!$B$4,Team!$G26)*(1-N(Team!$H26)/12/Settings!$B$9),0))</f>
        <v/>
      </c>
      <c r="F91" s="43" t="str">
        <f aca="false">IF($A91="","",IF(AND(IF(Team!$I26="",DATE(Settings!$B$3,1,1),Team!$I26)&lt;=EOMONTH(F$69,0),IF(Team!$J26="",DATE(Settings!$B$3,12,31),Team!$J26)&gt;=F$69),IF(Team!$G26="",Settings!$B$4,Team!$G26)*(1-N(Team!$H26)/12/Settings!$B$10),0))</f>
        <v/>
      </c>
      <c r="G91" s="43" t="str">
        <f aca="false">IF($A91="","",IF(AND(IF(Team!$I26="",DATE(Settings!$B$3,1,1),Team!$I26)&lt;=EOMONTH(G$69,0),IF(Team!$J26="",DATE(Settings!$B$3,12,31),Team!$J26)&gt;=G$69),IF(Team!$G26="",Settings!$B$4,Team!$G26)*(1-N(Team!$H26)/12/Settings!$B$11),0))</f>
        <v/>
      </c>
      <c r="H91" s="43" t="str">
        <f aca="false">IF($A91="","",IF(AND(IF(Team!$I26="",DATE(Settings!$B$3,1,1),Team!$I26)&lt;=EOMONTH(H$69,0),IF(Team!$J26="",DATE(Settings!$B$3,12,31),Team!$J26)&gt;=H$69),IF(Team!$G26="",Settings!$B$4,Team!$G26)*(1-N(Team!$H26)/12/Settings!$B$12),0))</f>
        <v/>
      </c>
      <c r="I91" s="43" t="str">
        <f aca="false">IF($A91="","",IF(AND(IF(Team!$I26="",DATE(Settings!$B$3,1,1),Team!$I26)&lt;=EOMONTH(I$69,0),IF(Team!$J26="",DATE(Settings!$B$3,12,31),Team!$J26)&gt;=I$69),IF(Team!$G26="",Settings!$B$4,Team!$G26)*(1-N(Team!$H26)/12/Settings!$B$13),0))</f>
        <v/>
      </c>
      <c r="J91" s="43" t="str">
        <f aca="false">IF($A91="","",IF(AND(IF(Team!$I26="",DATE(Settings!$B$3,1,1),Team!$I26)&lt;=EOMONTH(J$69,0),IF(Team!$J26="",DATE(Settings!$B$3,12,31),Team!$J26)&gt;=J$69),IF(Team!$G26="",Settings!$B$4,Team!$G26)*(1-N(Team!$H26)/12/Settings!$B$14),0))</f>
        <v/>
      </c>
      <c r="K91" s="43" t="str">
        <f aca="false">IF($A91="","",IF(AND(IF(Team!$I26="",DATE(Settings!$B$3,1,1),Team!$I26)&lt;=EOMONTH(K$69,0),IF(Team!$J26="",DATE(Settings!$B$3,12,31),Team!$J26)&gt;=K$69),IF(Team!$G26="",Settings!$B$4,Team!$G26)*(1-N(Team!$H26)/12/Settings!$B$15),0))</f>
        <v/>
      </c>
      <c r="L91" s="43" t="str">
        <f aca="false">IF($A91="","",IF(AND(IF(Team!$I26="",DATE(Settings!$B$3,1,1),Team!$I26)&lt;=EOMONTH(L$69,0),IF(Team!$J26="",DATE(Settings!$B$3,12,31),Team!$J26)&gt;=L$69),IF(Team!$G26="",Settings!$B$4,Team!$G26)*(1-N(Team!$H26)/12/Settings!$B$16),0))</f>
        <v/>
      </c>
      <c r="M91" s="43" t="str">
        <f aca="false">IF($A91="","",IF(AND(IF(Team!$I26="",DATE(Settings!$B$3,1,1),Team!$I26)&lt;=EOMONTH(M$69,0),IF(Team!$J26="",DATE(Settings!$B$3,12,31),Team!$J26)&gt;=M$69),IF(Team!$G26="",Settings!$B$4,Team!$G26)*(1-N(Team!$H26)/12/Settings!$B$17),0))</f>
        <v/>
      </c>
      <c r="N91" s="43" t="str">
        <f aca="false">IF($A91="","",IF(AND(IF(Team!$I26="",DATE(Settings!$B$3,1,1),Team!$I26)&lt;=EOMONTH(N$69,0),IF(Team!$J26="",DATE(Settings!$B$3,12,31),Team!$J26)&gt;=N$69),IF(Team!$G26="",Settings!$B$4,Team!$G26)*(1-N(Team!$H26)/12/Settings!$B$18),0))</f>
        <v/>
      </c>
      <c r="O91" s="43" t="str">
        <f aca="false">IF($A91="","",IF(AND(IF(Team!$I26="",DATE(Settings!$B$3,1,1),Team!$I26)&lt;=EOMONTH(O$69,0),IF(Team!$J26="",DATE(Settings!$B$3,12,31),Team!$J26)&gt;=O$69),IF(Team!$G26="",Settings!$B$4,Team!$G26)*(1-N(Team!$H26)/12/Settings!$B$19),0))</f>
        <v/>
      </c>
      <c r="P91" s="19" t="str">
        <f aca="false">IF($A91="","",SUM(D91:O91))</f>
        <v/>
      </c>
      <c r="Q91" s="2"/>
      <c r="R91" s="2"/>
      <c r="S91" s="2"/>
    </row>
    <row r="92" customFormat="false" ht="15" hidden="false" customHeight="false" outlineLevel="0" collapsed="false">
      <c r="A92" s="26" t="str">
        <f aca="false">IF(Team!$A27="","",Team!$A27)</f>
        <v/>
      </c>
      <c r="B92" s="26" t="str">
        <f aca="false">IF(Team!$A27="","",Team!$B27)</f>
        <v/>
      </c>
      <c r="C92" s="26" t="str">
        <f aca="false">IF(Team!$A27="","",Team!$C27)</f>
        <v/>
      </c>
      <c r="D92" s="43" t="str">
        <f aca="false">IF($A92="","",IF(AND(IF(Team!$I27="",DATE(Settings!$B$3,1,1),Team!$I27)&lt;=EOMONTH(D$69,0),IF(Team!$J27="",DATE(Settings!$B$3,12,31),Team!$J27)&gt;=D$69),IF(Team!$G27="",Settings!$B$4,Team!$G27)*(1-N(Team!$H27)/12/Settings!$B$8),0))</f>
        <v/>
      </c>
      <c r="E92" s="43" t="str">
        <f aca="false">IF($A92="","",IF(AND(IF(Team!$I27="",DATE(Settings!$B$3,1,1),Team!$I27)&lt;=EOMONTH(E$69,0),IF(Team!$J27="",DATE(Settings!$B$3,12,31),Team!$J27)&gt;=E$69),IF(Team!$G27="",Settings!$B$4,Team!$G27)*(1-N(Team!$H27)/12/Settings!$B$9),0))</f>
        <v/>
      </c>
      <c r="F92" s="43" t="str">
        <f aca="false">IF($A92="","",IF(AND(IF(Team!$I27="",DATE(Settings!$B$3,1,1),Team!$I27)&lt;=EOMONTH(F$69,0),IF(Team!$J27="",DATE(Settings!$B$3,12,31),Team!$J27)&gt;=F$69),IF(Team!$G27="",Settings!$B$4,Team!$G27)*(1-N(Team!$H27)/12/Settings!$B$10),0))</f>
        <v/>
      </c>
      <c r="G92" s="43" t="str">
        <f aca="false">IF($A92="","",IF(AND(IF(Team!$I27="",DATE(Settings!$B$3,1,1),Team!$I27)&lt;=EOMONTH(G$69,0),IF(Team!$J27="",DATE(Settings!$B$3,12,31),Team!$J27)&gt;=G$69),IF(Team!$G27="",Settings!$B$4,Team!$G27)*(1-N(Team!$H27)/12/Settings!$B$11),0))</f>
        <v/>
      </c>
      <c r="H92" s="43" t="str">
        <f aca="false">IF($A92="","",IF(AND(IF(Team!$I27="",DATE(Settings!$B$3,1,1),Team!$I27)&lt;=EOMONTH(H$69,0),IF(Team!$J27="",DATE(Settings!$B$3,12,31),Team!$J27)&gt;=H$69),IF(Team!$G27="",Settings!$B$4,Team!$G27)*(1-N(Team!$H27)/12/Settings!$B$12),0))</f>
        <v/>
      </c>
      <c r="I92" s="43" t="str">
        <f aca="false">IF($A92="","",IF(AND(IF(Team!$I27="",DATE(Settings!$B$3,1,1),Team!$I27)&lt;=EOMONTH(I$69,0),IF(Team!$J27="",DATE(Settings!$B$3,12,31),Team!$J27)&gt;=I$69),IF(Team!$G27="",Settings!$B$4,Team!$G27)*(1-N(Team!$H27)/12/Settings!$B$13),0))</f>
        <v/>
      </c>
      <c r="J92" s="43" t="str">
        <f aca="false">IF($A92="","",IF(AND(IF(Team!$I27="",DATE(Settings!$B$3,1,1),Team!$I27)&lt;=EOMONTH(J$69,0),IF(Team!$J27="",DATE(Settings!$B$3,12,31),Team!$J27)&gt;=J$69),IF(Team!$G27="",Settings!$B$4,Team!$G27)*(1-N(Team!$H27)/12/Settings!$B$14),0))</f>
        <v/>
      </c>
      <c r="K92" s="43" t="str">
        <f aca="false">IF($A92="","",IF(AND(IF(Team!$I27="",DATE(Settings!$B$3,1,1),Team!$I27)&lt;=EOMONTH(K$69,0),IF(Team!$J27="",DATE(Settings!$B$3,12,31),Team!$J27)&gt;=K$69),IF(Team!$G27="",Settings!$B$4,Team!$G27)*(1-N(Team!$H27)/12/Settings!$B$15),0))</f>
        <v/>
      </c>
      <c r="L92" s="43" t="str">
        <f aca="false">IF($A92="","",IF(AND(IF(Team!$I27="",DATE(Settings!$B$3,1,1),Team!$I27)&lt;=EOMONTH(L$69,0),IF(Team!$J27="",DATE(Settings!$B$3,12,31),Team!$J27)&gt;=L$69),IF(Team!$G27="",Settings!$B$4,Team!$G27)*(1-N(Team!$H27)/12/Settings!$B$16),0))</f>
        <v/>
      </c>
      <c r="M92" s="43" t="str">
        <f aca="false">IF($A92="","",IF(AND(IF(Team!$I27="",DATE(Settings!$B$3,1,1),Team!$I27)&lt;=EOMONTH(M$69,0),IF(Team!$J27="",DATE(Settings!$B$3,12,31),Team!$J27)&gt;=M$69),IF(Team!$G27="",Settings!$B$4,Team!$G27)*(1-N(Team!$H27)/12/Settings!$B$17),0))</f>
        <v/>
      </c>
      <c r="N92" s="43" t="str">
        <f aca="false">IF($A92="","",IF(AND(IF(Team!$I27="",DATE(Settings!$B$3,1,1),Team!$I27)&lt;=EOMONTH(N$69,0),IF(Team!$J27="",DATE(Settings!$B$3,12,31),Team!$J27)&gt;=N$69),IF(Team!$G27="",Settings!$B$4,Team!$G27)*(1-N(Team!$H27)/12/Settings!$B$18),0))</f>
        <v/>
      </c>
      <c r="O92" s="43" t="str">
        <f aca="false">IF($A92="","",IF(AND(IF(Team!$I27="",DATE(Settings!$B$3,1,1),Team!$I27)&lt;=EOMONTH(O$69,0),IF(Team!$J27="",DATE(Settings!$B$3,12,31),Team!$J27)&gt;=O$69),IF(Team!$G27="",Settings!$B$4,Team!$G27)*(1-N(Team!$H27)/12/Settings!$B$19),0))</f>
        <v/>
      </c>
      <c r="P92" s="19" t="str">
        <f aca="false">IF($A92="","",SUM(D92:O92))</f>
        <v/>
      </c>
      <c r="Q92" s="2"/>
      <c r="R92" s="2"/>
      <c r="S92" s="2"/>
    </row>
    <row r="93" customFormat="false" ht="15" hidden="false" customHeight="false" outlineLevel="0" collapsed="false">
      <c r="A93" s="26" t="str">
        <f aca="false">IF(Team!$A28="","",Team!$A28)</f>
        <v/>
      </c>
      <c r="B93" s="26" t="str">
        <f aca="false">IF(Team!$A28="","",Team!$B28)</f>
        <v/>
      </c>
      <c r="C93" s="26" t="str">
        <f aca="false">IF(Team!$A28="","",Team!$C28)</f>
        <v/>
      </c>
      <c r="D93" s="43" t="str">
        <f aca="false">IF($A93="","",IF(AND(IF(Team!$I28="",DATE(Settings!$B$3,1,1),Team!$I28)&lt;=EOMONTH(D$69,0),IF(Team!$J28="",DATE(Settings!$B$3,12,31),Team!$J28)&gt;=D$69),IF(Team!$G28="",Settings!$B$4,Team!$G28)*(1-N(Team!$H28)/12/Settings!$B$8),0))</f>
        <v/>
      </c>
      <c r="E93" s="43" t="str">
        <f aca="false">IF($A93="","",IF(AND(IF(Team!$I28="",DATE(Settings!$B$3,1,1),Team!$I28)&lt;=EOMONTH(E$69,0),IF(Team!$J28="",DATE(Settings!$B$3,12,31),Team!$J28)&gt;=E$69),IF(Team!$G28="",Settings!$B$4,Team!$G28)*(1-N(Team!$H28)/12/Settings!$B$9),0))</f>
        <v/>
      </c>
      <c r="F93" s="43" t="str">
        <f aca="false">IF($A93="","",IF(AND(IF(Team!$I28="",DATE(Settings!$B$3,1,1),Team!$I28)&lt;=EOMONTH(F$69,0),IF(Team!$J28="",DATE(Settings!$B$3,12,31),Team!$J28)&gt;=F$69),IF(Team!$G28="",Settings!$B$4,Team!$G28)*(1-N(Team!$H28)/12/Settings!$B$10),0))</f>
        <v/>
      </c>
      <c r="G93" s="43" t="str">
        <f aca="false">IF($A93="","",IF(AND(IF(Team!$I28="",DATE(Settings!$B$3,1,1),Team!$I28)&lt;=EOMONTH(G$69,0),IF(Team!$J28="",DATE(Settings!$B$3,12,31),Team!$J28)&gt;=G$69),IF(Team!$G28="",Settings!$B$4,Team!$G28)*(1-N(Team!$H28)/12/Settings!$B$11),0))</f>
        <v/>
      </c>
      <c r="H93" s="43" t="str">
        <f aca="false">IF($A93="","",IF(AND(IF(Team!$I28="",DATE(Settings!$B$3,1,1),Team!$I28)&lt;=EOMONTH(H$69,0),IF(Team!$J28="",DATE(Settings!$B$3,12,31),Team!$J28)&gt;=H$69),IF(Team!$G28="",Settings!$B$4,Team!$G28)*(1-N(Team!$H28)/12/Settings!$B$12),0))</f>
        <v/>
      </c>
      <c r="I93" s="43" t="str">
        <f aca="false">IF($A93="","",IF(AND(IF(Team!$I28="",DATE(Settings!$B$3,1,1),Team!$I28)&lt;=EOMONTH(I$69,0),IF(Team!$J28="",DATE(Settings!$B$3,12,31),Team!$J28)&gt;=I$69),IF(Team!$G28="",Settings!$B$4,Team!$G28)*(1-N(Team!$H28)/12/Settings!$B$13),0))</f>
        <v/>
      </c>
      <c r="J93" s="43" t="str">
        <f aca="false">IF($A93="","",IF(AND(IF(Team!$I28="",DATE(Settings!$B$3,1,1),Team!$I28)&lt;=EOMONTH(J$69,0),IF(Team!$J28="",DATE(Settings!$B$3,12,31),Team!$J28)&gt;=J$69),IF(Team!$G28="",Settings!$B$4,Team!$G28)*(1-N(Team!$H28)/12/Settings!$B$14),0))</f>
        <v/>
      </c>
      <c r="K93" s="43" t="str">
        <f aca="false">IF($A93="","",IF(AND(IF(Team!$I28="",DATE(Settings!$B$3,1,1),Team!$I28)&lt;=EOMONTH(K$69,0),IF(Team!$J28="",DATE(Settings!$B$3,12,31),Team!$J28)&gt;=K$69),IF(Team!$G28="",Settings!$B$4,Team!$G28)*(1-N(Team!$H28)/12/Settings!$B$15),0))</f>
        <v/>
      </c>
      <c r="L93" s="43" t="str">
        <f aca="false">IF($A93="","",IF(AND(IF(Team!$I28="",DATE(Settings!$B$3,1,1),Team!$I28)&lt;=EOMONTH(L$69,0),IF(Team!$J28="",DATE(Settings!$B$3,12,31),Team!$J28)&gt;=L$69),IF(Team!$G28="",Settings!$B$4,Team!$G28)*(1-N(Team!$H28)/12/Settings!$B$16),0))</f>
        <v/>
      </c>
      <c r="M93" s="43" t="str">
        <f aca="false">IF($A93="","",IF(AND(IF(Team!$I28="",DATE(Settings!$B$3,1,1),Team!$I28)&lt;=EOMONTH(M$69,0),IF(Team!$J28="",DATE(Settings!$B$3,12,31),Team!$J28)&gt;=M$69),IF(Team!$G28="",Settings!$B$4,Team!$G28)*(1-N(Team!$H28)/12/Settings!$B$17),0))</f>
        <v/>
      </c>
      <c r="N93" s="43" t="str">
        <f aca="false">IF($A93="","",IF(AND(IF(Team!$I28="",DATE(Settings!$B$3,1,1),Team!$I28)&lt;=EOMONTH(N$69,0),IF(Team!$J28="",DATE(Settings!$B$3,12,31),Team!$J28)&gt;=N$69),IF(Team!$G28="",Settings!$B$4,Team!$G28)*(1-N(Team!$H28)/12/Settings!$B$18),0))</f>
        <v/>
      </c>
      <c r="O93" s="43" t="str">
        <f aca="false">IF($A93="","",IF(AND(IF(Team!$I28="",DATE(Settings!$B$3,1,1),Team!$I28)&lt;=EOMONTH(O$69,0),IF(Team!$J28="",DATE(Settings!$B$3,12,31),Team!$J28)&gt;=O$69),IF(Team!$G28="",Settings!$B$4,Team!$G28)*(1-N(Team!$H28)/12/Settings!$B$19),0))</f>
        <v/>
      </c>
      <c r="P93" s="19" t="str">
        <f aca="false">IF($A93="","",SUM(D93:O93))</f>
        <v/>
      </c>
      <c r="Q93" s="2"/>
      <c r="R93" s="2"/>
      <c r="S93" s="2"/>
    </row>
    <row r="94" customFormat="false" ht="15" hidden="false" customHeight="false" outlineLevel="0" collapsed="false">
      <c r="A94" s="26" t="str">
        <f aca="false">IF(Team!$A29="","",Team!$A29)</f>
        <v/>
      </c>
      <c r="B94" s="26" t="str">
        <f aca="false">IF(Team!$A29="","",Team!$B29)</f>
        <v/>
      </c>
      <c r="C94" s="26" t="str">
        <f aca="false">IF(Team!$A29="","",Team!$C29)</f>
        <v/>
      </c>
      <c r="D94" s="43" t="str">
        <f aca="false">IF($A94="","",IF(AND(IF(Team!$I29="",DATE(Settings!$B$3,1,1),Team!$I29)&lt;=EOMONTH(D$69,0),IF(Team!$J29="",DATE(Settings!$B$3,12,31),Team!$J29)&gt;=D$69),IF(Team!$G29="",Settings!$B$4,Team!$G29)*(1-N(Team!$H29)/12/Settings!$B$8),0))</f>
        <v/>
      </c>
      <c r="E94" s="43" t="str">
        <f aca="false">IF($A94="","",IF(AND(IF(Team!$I29="",DATE(Settings!$B$3,1,1),Team!$I29)&lt;=EOMONTH(E$69,0),IF(Team!$J29="",DATE(Settings!$B$3,12,31),Team!$J29)&gt;=E$69),IF(Team!$G29="",Settings!$B$4,Team!$G29)*(1-N(Team!$H29)/12/Settings!$B$9),0))</f>
        <v/>
      </c>
      <c r="F94" s="43" t="str">
        <f aca="false">IF($A94="","",IF(AND(IF(Team!$I29="",DATE(Settings!$B$3,1,1),Team!$I29)&lt;=EOMONTH(F$69,0),IF(Team!$J29="",DATE(Settings!$B$3,12,31),Team!$J29)&gt;=F$69),IF(Team!$G29="",Settings!$B$4,Team!$G29)*(1-N(Team!$H29)/12/Settings!$B$10),0))</f>
        <v/>
      </c>
      <c r="G94" s="43" t="str">
        <f aca="false">IF($A94="","",IF(AND(IF(Team!$I29="",DATE(Settings!$B$3,1,1),Team!$I29)&lt;=EOMONTH(G$69,0),IF(Team!$J29="",DATE(Settings!$B$3,12,31),Team!$J29)&gt;=G$69),IF(Team!$G29="",Settings!$B$4,Team!$G29)*(1-N(Team!$H29)/12/Settings!$B$11),0))</f>
        <v/>
      </c>
      <c r="H94" s="43" t="str">
        <f aca="false">IF($A94="","",IF(AND(IF(Team!$I29="",DATE(Settings!$B$3,1,1),Team!$I29)&lt;=EOMONTH(H$69,0),IF(Team!$J29="",DATE(Settings!$B$3,12,31),Team!$J29)&gt;=H$69),IF(Team!$G29="",Settings!$B$4,Team!$G29)*(1-N(Team!$H29)/12/Settings!$B$12),0))</f>
        <v/>
      </c>
      <c r="I94" s="43" t="str">
        <f aca="false">IF($A94="","",IF(AND(IF(Team!$I29="",DATE(Settings!$B$3,1,1),Team!$I29)&lt;=EOMONTH(I$69,0),IF(Team!$J29="",DATE(Settings!$B$3,12,31),Team!$J29)&gt;=I$69),IF(Team!$G29="",Settings!$B$4,Team!$G29)*(1-N(Team!$H29)/12/Settings!$B$13),0))</f>
        <v/>
      </c>
      <c r="J94" s="43" t="str">
        <f aca="false">IF($A94="","",IF(AND(IF(Team!$I29="",DATE(Settings!$B$3,1,1),Team!$I29)&lt;=EOMONTH(J$69,0),IF(Team!$J29="",DATE(Settings!$B$3,12,31),Team!$J29)&gt;=J$69),IF(Team!$G29="",Settings!$B$4,Team!$G29)*(1-N(Team!$H29)/12/Settings!$B$14),0))</f>
        <v/>
      </c>
      <c r="K94" s="43" t="str">
        <f aca="false">IF($A94="","",IF(AND(IF(Team!$I29="",DATE(Settings!$B$3,1,1),Team!$I29)&lt;=EOMONTH(K$69,0),IF(Team!$J29="",DATE(Settings!$B$3,12,31),Team!$J29)&gt;=K$69),IF(Team!$G29="",Settings!$B$4,Team!$G29)*(1-N(Team!$H29)/12/Settings!$B$15),0))</f>
        <v/>
      </c>
      <c r="L94" s="43" t="str">
        <f aca="false">IF($A94="","",IF(AND(IF(Team!$I29="",DATE(Settings!$B$3,1,1),Team!$I29)&lt;=EOMONTH(L$69,0),IF(Team!$J29="",DATE(Settings!$B$3,12,31),Team!$J29)&gt;=L$69),IF(Team!$G29="",Settings!$B$4,Team!$G29)*(1-N(Team!$H29)/12/Settings!$B$16),0))</f>
        <v/>
      </c>
      <c r="M94" s="43" t="str">
        <f aca="false">IF($A94="","",IF(AND(IF(Team!$I29="",DATE(Settings!$B$3,1,1),Team!$I29)&lt;=EOMONTH(M$69,0),IF(Team!$J29="",DATE(Settings!$B$3,12,31),Team!$J29)&gt;=M$69),IF(Team!$G29="",Settings!$B$4,Team!$G29)*(1-N(Team!$H29)/12/Settings!$B$17),0))</f>
        <v/>
      </c>
      <c r="N94" s="43" t="str">
        <f aca="false">IF($A94="","",IF(AND(IF(Team!$I29="",DATE(Settings!$B$3,1,1),Team!$I29)&lt;=EOMONTH(N$69,0),IF(Team!$J29="",DATE(Settings!$B$3,12,31),Team!$J29)&gt;=N$69),IF(Team!$G29="",Settings!$B$4,Team!$G29)*(1-N(Team!$H29)/12/Settings!$B$18),0))</f>
        <v/>
      </c>
      <c r="O94" s="43" t="str">
        <f aca="false">IF($A94="","",IF(AND(IF(Team!$I29="",DATE(Settings!$B$3,1,1),Team!$I29)&lt;=EOMONTH(O$69,0),IF(Team!$J29="",DATE(Settings!$B$3,12,31),Team!$J29)&gt;=O$69),IF(Team!$G29="",Settings!$B$4,Team!$G29)*(1-N(Team!$H29)/12/Settings!$B$19),0))</f>
        <v/>
      </c>
      <c r="P94" s="19" t="str">
        <f aca="false">IF($A94="","",SUM(D94:O94))</f>
        <v/>
      </c>
      <c r="Q94" s="2"/>
      <c r="R94" s="2"/>
      <c r="S94" s="2"/>
    </row>
    <row r="95" customFormat="false" ht="15" hidden="false" customHeight="false" outlineLevel="0" collapsed="false">
      <c r="A95" s="26" t="str">
        <f aca="false">IF(Team!$A30="","",Team!$A30)</f>
        <v/>
      </c>
      <c r="B95" s="26" t="str">
        <f aca="false">IF(Team!$A30="","",Team!$B30)</f>
        <v/>
      </c>
      <c r="C95" s="26" t="str">
        <f aca="false">IF(Team!$A30="","",Team!$C30)</f>
        <v/>
      </c>
      <c r="D95" s="43" t="str">
        <f aca="false">IF($A95="","",IF(AND(IF(Team!$I30="",DATE(Settings!$B$3,1,1),Team!$I30)&lt;=EOMONTH(D$69,0),IF(Team!$J30="",DATE(Settings!$B$3,12,31),Team!$J30)&gt;=D$69),IF(Team!$G30="",Settings!$B$4,Team!$G30)*(1-N(Team!$H30)/12/Settings!$B$8),0))</f>
        <v/>
      </c>
      <c r="E95" s="43" t="str">
        <f aca="false">IF($A95="","",IF(AND(IF(Team!$I30="",DATE(Settings!$B$3,1,1),Team!$I30)&lt;=EOMONTH(E$69,0),IF(Team!$J30="",DATE(Settings!$B$3,12,31),Team!$J30)&gt;=E$69),IF(Team!$G30="",Settings!$B$4,Team!$G30)*(1-N(Team!$H30)/12/Settings!$B$9),0))</f>
        <v/>
      </c>
      <c r="F95" s="43" t="str">
        <f aca="false">IF($A95="","",IF(AND(IF(Team!$I30="",DATE(Settings!$B$3,1,1),Team!$I30)&lt;=EOMONTH(F$69,0),IF(Team!$J30="",DATE(Settings!$B$3,12,31),Team!$J30)&gt;=F$69),IF(Team!$G30="",Settings!$B$4,Team!$G30)*(1-N(Team!$H30)/12/Settings!$B$10),0))</f>
        <v/>
      </c>
      <c r="G95" s="43" t="str">
        <f aca="false">IF($A95="","",IF(AND(IF(Team!$I30="",DATE(Settings!$B$3,1,1),Team!$I30)&lt;=EOMONTH(G$69,0),IF(Team!$J30="",DATE(Settings!$B$3,12,31),Team!$J30)&gt;=G$69),IF(Team!$G30="",Settings!$B$4,Team!$G30)*(1-N(Team!$H30)/12/Settings!$B$11),0))</f>
        <v/>
      </c>
      <c r="H95" s="43" t="str">
        <f aca="false">IF($A95="","",IF(AND(IF(Team!$I30="",DATE(Settings!$B$3,1,1),Team!$I30)&lt;=EOMONTH(H$69,0),IF(Team!$J30="",DATE(Settings!$B$3,12,31),Team!$J30)&gt;=H$69),IF(Team!$G30="",Settings!$B$4,Team!$G30)*(1-N(Team!$H30)/12/Settings!$B$12),0))</f>
        <v/>
      </c>
      <c r="I95" s="43" t="str">
        <f aca="false">IF($A95="","",IF(AND(IF(Team!$I30="",DATE(Settings!$B$3,1,1),Team!$I30)&lt;=EOMONTH(I$69,0),IF(Team!$J30="",DATE(Settings!$B$3,12,31),Team!$J30)&gt;=I$69),IF(Team!$G30="",Settings!$B$4,Team!$G30)*(1-N(Team!$H30)/12/Settings!$B$13),0))</f>
        <v/>
      </c>
      <c r="J95" s="43" t="str">
        <f aca="false">IF($A95="","",IF(AND(IF(Team!$I30="",DATE(Settings!$B$3,1,1),Team!$I30)&lt;=EOMONTH(J$69,0),IF(Team!$J30="",DATE(Settings!$B$3,12,31),Team!$J30)&gt;=J$69),IF(Team!$G30="",Settings!$B$4,Team!$G30)*(1-N(Team!$H30)/12/Settings!$B$14),0))</f>
        <v/>
      </c>
      <c r="K95" s="43" t="str">
        <f aca="false">IF($A95="","",IF(AND(IF(Team!$I30="",DATE(Settings!$B$3,1,1),Team!$I30)&lt;=EOMONTH(K$69,0),IF(Team!$J30="",DATE(Settings!$B$3,12,31),Team!$J30)&gt;=K$69),IF(Team!$G30="",Settings!$B$4,Team!$G30)*(1-N(Team!$H30)/12/Settings!$B$15),0))</f>
        <v/>
      </c>
      <c r="L95" s="43" t="str">
        <f aca="false">IF($A95="","",IF(AND(IF(Team!$I30="",DATE(Settings!$B$3,1,1),Team!$I30)&lt;=EOMONTH(L$69,0),IF(Team!$J30="",DATE(Settings!$B$3,12,31),Team!$J30)&gt;=L$69),IF(Team!$G30="",Settings!$B$4,Team!$G30)*(1-N(Team!$H30)/12/Settings!$B$16),0))</f>
        <v/>
      </c>
      <c r="M95" s="43" t="str">
        <f aca="false">IF($A95="","",IF(AND(IF(Team!$I30="",DATE(Settings!$B$3,1,1),Team!$I30)&lt;=EOMONTH(M$69,0),IF(Team!$J30="",DATE(Settings!$B$3,12,31),Team!$J30)&gt;=M$69),IF(Team!$G30="",Settings!$B$4,Team!$G30)*(1-N(Team!$H30)/12/Settings!$B$17),0))</f>
        <v/>
      </c>
      <c r="N95" s="43" t="str">
        <f aca="false">IF($A95="","",IF(AND(IF(Team!$I30="",DATE(Settings!$B$3,1,1),Team!$I30)&lt;=EOMONTH(N$69,0),IF(Team!$J30="",DATE(Settings!$B$3,12,31),Team!$J30)&gt;=N$69),IF(Team!$G30="",Settings!$B$4,Team!$G30)*(1-N(Team!$H30)/12/Settings!$B$18),0))</f>
        <v/>
      </c>
      <c r="O95" s="43" t="str">
        <f aca="false">IF($A95="","",IF(AND(IF(Team!$I30="",DATE(Settings!$B$3,1,1),Team!$I30)&lt;=EOMONTH(O$69,0),IF(Team!$J30="",DATE(Settings!$B$3,12,31),Team!$J30)&gt;=O$69),IF(Team!$G30="",Settings!$B$4,Team!$G30)*(1-N(Team!$H30)/12/Settings!$B$19),0))</f>
        <v/>
      </c>
      <c r="P95" s="19" t="str">
        <f aca="false">IF($A95="","",SUM(D95:O95))</f>
        <v/>
      </c>
      <c r="Q95" s="2"/>
      <c r="R95" s="2"/>
      <c r="S95" s="2"/>
    </row>
    <row r="96" customFormat="false" ht="15" hidden="false" customHeight="false" outlineLevel="0" collapsed="false">
      <c r="A96" s="26" t="str">
        <f aca="false">IF(Team!$A31="","",Team!$A31)</f>
        <v/>
      </c>
      <c r="B96" s="26" t="str">
        <f aca="false">IF(Team!$A31="","",Team!$B31)</f>
        <v/>
      </c>
      <c r="C96" s="26" t="str">
        <f aca="false">IF(Team!$A31="","",Team!$C31)</f>
        <v/>
      </c>
      <c r="D96" s="43" t="str">
        <f aca="false">IF($A96="","",IF(AND(IF(Team!$I31="",DATE(Settings!$B$3,1,1),Team!$I31)&lt;=EOMONTH(D$69,0),IF(Team!$J31="",DATE(Settings!$B$3,12,31),Team!$J31)&gt;=D$69),IF(Team!$G31="",Settings!$B$4,Team!$G31)*(1-N(Team!$H31)/12/Settings!$B$8),0))</f>
        <v/>
      </c>
      <c r="E96" s="43" t="str">
        <f aca="false">IF($A96="","",IF(AND(IF(Team!$I31="",DATE(Settings!$B$3,1,1),Team!$I31)&lt;=EOMONTH(E$69,0),IF(Team!$J31="",DATE(Settings!$B$3,12,31),Team!$J31)&gt;=E$69),IF(Team!$G31="",Settings!$B$4,Team!$G31)*(1-N(Team!$H31)/12/Settings!$B$9),0))</f>
        <v/>
      </c>
      <c r="F96" s="43" t="str">
        <f aca="false">IF($A96="","",IF(AND(IF(Team!$I31="",DATE(Settings!$B$3,1,1),Team!$I31)&lt;=EOMONTH(F$69,0),IF(Team!$J31="",DATE(Settings!$B$3,12,31),Team!$J31)&gt;=F$69),IF(Team!$G31="",Settings!$B$4,Team!$G31)*(1-N(Team!$H31)/12/Settings!$B$10),0))</f>
        <v/>
      </c>
      <c r="G96" s="43" t="str">
        <f aca="false">IF($A96="","",IF(AND(IF(Team!$I31="",DATE(Settings!$B$3,1,1),Team!$I31)&lt;=EOMONTH(G$69,0),IF(Team!$J31="",DATE(Settings!$B$3,12,31),Team!$J31)&gt;=G$69),IF(Team!$G31="",Settings!$B$4,Team!$G31)*(1-N(Team!$H31)/12/Settings!$B$11),0))</f>
        <v/>
      </c>
      <c r="H96" s="43" t="str">
        <f aca="false">IF($A96="","",IF(AND(IF(Team!$I31="",DATE(Settings!$B$3,1,1),Team!$I31)&lt;=EOMONTH(H$69,0),IF(Team!$J31="",DATE(Settings!$B$3,12,31),Team!$J31)&gt;=H$69),IF(Team!$G31="",Settings!$B$4,Team!$G31)*(1-N(Team!$H31)/12/Settings!$B$12),0))</f>
        <v/>
      </c>
      <c r="I96" s="43" t="str">
        <f aca="false">IF($A96="","",IF(AND(IF(Team!$I31="",DATE(Settings!$B$3,1,1),Team!$I31)&lt;=EOMONTH(I$69,0),IF(Team!$J31="",DATE(Settings!$B$3,12,31),Team!$J31)&gt;=I$69),IF(Team!$G31="",Settings!$B$4,Team!$G31)*(1-N(Team!$H31)/12/Settings!$B$13),0))</f>
        <v/>
      </c>
      <c r="J96" s="43" t="str">
        <f aca="false">IF($A96="","",IF(AND(IF(Team!$I31="",DATE(Settings!$B$3,1,1),Team!$I31)&lt;=EOMONTH(J$69,0),IF(Team!$J31="",DATE(Settings!$B$3,12,31),Team!$J31)&gt;=J$69),IF(Team!$G31="",Settings!$B$4,Team!$G31)*(1-N(Team!$H31)/12/Settings!$B$14),0))</f>
        <v/>
      </c>
      <c r="K96" s="43" t="str">
        <f aca="false">IF($A96="","",IF(AND(IF(Team!$I31="",DATE(Settings!$B$3,1,1),Team!$I31)&lt;=EOMONTH(K$69,0),IF(Team!$J31="",DATE(Settings!$B$3,12,31),Team!$J31)&gt;=K$69),IF(Team!$G31="",Settings!$B$4,Team!$G31)*(1-N(Team!$H31)/12/Settings!$B$15),0))</f>
        <v/>
      </c>
      <c r="L96" s="43" t="str">
        <f aca="false">IF($A96="","",IF(AND(IF(Team!$I31="",DATE(Settings!$B$3,1,1),Team!$I31)&lt;=EOMONTH(L$69,0),IF(Team!$J31="",DATE(Settings!$B$3,12,31),Team!$J31)&gt;=L$69),IF(Team!$G31="",Settings!$B$4,Team!$G31)*(1-N(Team!$H31)/12/Settings!$B$16),0))</f>
        <v/>
      </c>
      <c r="M96" s="43" t="str">
        <f aca="false">IF($A96="","",IF(AND(IF(Team!$I31="",DATE(Settings!$B$3,1,1),Team!$I31)&lt;=EOMONTH(M$69,0),IF(Team!$J31="",DATE(Settings!$B$3,12,31),Team!$J31)&gt;=M$69),IF(Team!$G31="",Settings!$B$4,Team!$G31)*(1-N(Team!$H31)/12/Settings!$B$17),0))</f>
        <v/>
      </c>
      <c r="N96" s="43" t="str">
        <f aca="false">IF($A96="","",IF(AND(IF(Team!$I31="",DATE(Settings!$B$3,1,1),Team!$I31)&lt;=EOMONTH(N$69,0),IF(Team!$J31="",DATE(Settings!$B$3,12,31),Team!$J31)&gt;=N$69),IF(Team!$G31="",Settings!$B$4,Team!$G31)*(1-N(Team!$H31)/12/Settings!$B$18),0))</f>
        <v/>
      </c>
      <c r="O96" s="43" t="str">
        <f aca="false">IF($A96="","",IF(AND(IF(Team!$I31="",DATE(Settings!$B$3,1,1),Team!$I31)&lt;=EOMONTH(O$69,0),IF(Team!$J31="",DATE(Settings!$B$3,12,31),Team!$J31)&gt;=O$69),IF(Team!$G31="",Settings!$B$4,Team!$G31)*(1-N(Team!$H31)/12/Settings!$B$19),0))</f>
        <v/>
      </c>
      <c r="P96" s="19" t="str">
        <f aca="false">IF($A96="","",SUM(D96:O96))</f>
        <v/>
      </c>
      <c r="Q96" s="2"/>
      <c r="R96" s="2"/>
      <c r="S96" s="2"/>
    </row>
    <row r="97" customFormat="false" ht="15" hidden="false" customHeight="false" outlineLevel="0" collapsed="false">
      <c r="A97" s="26" t="str">
        <f aca="false">IF(Team!$A32="","",Team!$A32)</f>
        <v/>
      </c>
      <c r="B97" s="26" t="str">
        <f aca="false">IF(Team!$A32="","",Team!$B32)</f>
        <v/>
      </c>
      <c r="C97" s="26" t="str">
        <f aca="false">IF(Team!$A32="","",Team!$C32)</f>
        <v/>
      </c>
      <c r="D97" s="43" t="str">
        <f aca="false">IF($A97="","",IF(AND(IF(Team!$I32="",DATE(Settings!$B$3,1,1),Team!$I32)&lt;=EOMONTH(D$69,0),IF(Team!$J32="",DATE(Settings!$B$3,12,31),Team!$J32)&gt;=D$69),IF(Team!$G32="",Settings!$B$4,Team!$G32)*(1-N(Team!$H32)/12/Settings!$B$8),0))</f>
        <v/>
      </c>
      <c r="E97" s="43" t="str">
        <f aca="false">IF($A97="","",IF(AND(IF(Team!$I32="",DATE(Settings!$B$3,1,1),Team!$I32)&lt;=EOMONTH(E$69,0),IF(Team!$J32="",DATE(Settings!$B$3,12,31),Team!$J32)&gt;=E$69),IF(Team!$G32="",Settings!$B$4,Team!$G32)*(1-N(Team!$H32)/12/Settings!$B$9),0))</f>
        <v/>
      </c>
      <c r="F97" s="43" t="str">
        <f aca="false">IF($A97="","",IF(AND(IF(Team!$I32="",DATE(Settings!$B$3,1,1),Team!$I32)&lt;=EOMONTH(F$69,0),IF(Team!$J32="",DATE(Settings!$B$3,12,31),Team!$J32)&gt;=F$69),IF(Team!$G32="",Settings!$B$4,Team!$G32)*(1-N(Team!$H32)/12/Settings!$B$10),0))</f>
        <v/>
      </c>
      <c r="G97" s="43" t="str">
        <f aca="false">IF($A97="","",IF(AND(IF(Team!$I32="",DATE(Settings!$B$3,1,1),Team!$I32)&lt;=EOMONTH(G$69,0),IF(Team!$J32="",DATE(Settings!$B$3,12,31),Team!$J32)&gt;=G$69),IF(Team!$G32="",Settings!$B$4,Team!$G32)*(1-N(Team!$H32)/12/Settings!$B$11),0))</f>
        <v/>
      </c>
      <c r="H97" s="43" t="str">
        <f aca="false">IF($A97="","",IF(AND(IF(Team!$I32="",DATE(Settings!$B$3,1,1),Team!$I32)&lt;=EOMONTH(H$69,0),IF(Team!$J32="",DATE(Settings!$B$3,12,31),Team!$J32)&gt;=H$69),IF(Team!$G32="",Settings!$B$4,Team!$G32)*(1-N(Team!$H32)/12/Settings!$B$12),0))</f>
        <v/>
      </c>
      <c r="I97" s="43" t="str">
        <f aca="false">IF($A97="","",IF(AND(IF(Team!$I32="",DATE(Settings!$B$3,1,1),Team!$I32)&lt;=EOMONTH(I$69,0),IF(Team!$J32="",DATE(Settings!$B$3,12,31),Team!$J32)&gt;=I$69),IF(Team!$G32="",Settings!$B$4,Team!$G32)*(1-N(Team!$H32)/12/Settings!$B$13),0))</f>
        <v/>
      </c>
      <c r="J97" s="43" t="str">
        <f aca="false">IF($A97="","",IF(AND(IF(Team!$I32="",DATE(Settings!$B$3,1,1),Team!$I32)&lt;=EOMONTH(J$69,0),IF(Team!$J32="",DATE(Settings!$B$3,12,31),Team!$J32)&gt;=J$69),IF(Team!$G32="",Settings!$B$4,Team!$G32)*(1-N(Team!$H32)/12/Settings!$B$14),0))</f>
        <v/>
      </c>
      <c r="K97" s="43" t="str">
        <f aca="false">IF($A97="","",IF(AND(IF(Team!$I32="",DATE(Settings!$B$3,1,1),Team!$I32)&lt;=EOMONTH(K$69,0),IF(Team!$J32="",DATE(Settings!$B$3,12,31),Team!$J32)&gt;=K$69),IF(Team!$G32="",Settings!$B$4,Team!$G32)*(1-N(Team!$H32)/12/Settings!$B$15),0))</f>
        <v/>
      </c>
      <c r="L97" s="43" t="str">
        <f aca="false">IF($A97="","",IF(AND(IF(Team!$I32="",DATE(Settings!$B$3,1,1),Team!$I32)&lt;=EOMONTH(L$69,0),IF(Team!$J32="",DATE(Settings!$B$3,12,31),Team!$J32)&gt;=L$69),IF(Team!$G32="",Settings!$B$4,Team!$G32)*(1-N(Team!$H32)/12/Settings!$B$16),0))</f>
        <v/>
      </c>
      <c r="M97" s="43" t="str">
        <f aca="false">IF($A97="","",IF(AND(IF(Team!$I32="",DATE(Settings!$B$3,1,1),Team!$I32)&lt;=EOMONTH(M$69,0),IF(Team!$J32="",DATE(Settings!$B$3,12,31),Team!$J32)&gt;=M$69),IF(Team!$G32="",Settings!$B$4,Team!$G32)*(1-N(Team!$H32)/12/Settings!$B$17),0))</f>
        <v/>
      </c>
      <c r="N97" s="43" t="str">
        <f aca="false">IF($A97="","",IF(AND(IF(Team!$I32="",DATE(Settings!$B$3,1,1),Team!$I32)&lt;=EOMONTH(N$69,0),IF(Team!$J32="",DATE(Settings!$B$3,12,31),Team!$J32)&gt;=N$69),IF(Team!$G32="",Settings!$B$4,Team!$G32)*(1-N(Team!$H32)/12/Settings!$B$18),0))</f>
        <v/>
      </c>
      <c r="O97" s="43" t="str">
        <f aca="false">IF($A97="","",IF(AND(IF(Team!$I32="",DATE(Settings!$B$3,1,1),Team!$I32)&lt;=EOMONTH(O$69,0),IF(Team!$J32="",DATE(Settings!$B$3,12,31),Team!$J32)&gt;=O$69),IF(Team!$G32="",Settings!$B$4,Team!$G32)*(1-N(Team!$H32)/12/Settings!$B$19),0))</f>
        <v/>
      </c>
      <c r="P97" s="19" t="str">
        <f aca="false">IF($A97="","",SUM(D97:O97))</f>
        <v/>
      </c>
      <c r="Q97" s="2"/>
      <c r="R97" s="2"/>
      <c r="S97" s="2"/>
    </row>
    <row r="98" customFormat="false" ht="15" hidden="false" customHeight="false" outlineLevel="0" collapsed="false">
      <c r="A98" s="26" t="str">
        <f aca="false">IF(Team!$A33="","",Team!$A33)</f>
        <v/>
      </c>
      <c r="B98" s="26" t="str">
        <f aca="false">IF(Team!$A33="","",Team!$B33)</f>
        <v/>
      </c>
      <c r="C98" s="26" t="str">
        <f aca="false">IF(Team!$A33="","",Team!$C33)</f>
        <v/>
      </c>
      <c r="D98" s="43" t="str">
        <f aca="false">IF($A98="","",IF(AND(IF(Team!$I33="",DATE(Settings!$B$3,1,1),Team!$I33)&lt;=EOMONTH(D$69,0),IF(Team!$J33="",DATE(Settings!$B$3,12,31),Team!$J33)&gt;=D$69),IF(Team!$G33="",Settings!$B$4,Team!$G33)*(1-N(Team!$H33)/12/Settings!$B$8),0))</f>
        <v/>
      </c>
      <c r="E98" s="43" t="str">
        <f aca="false">IF($A98="","",IF(AND(IF(Team!$I33="",DATE(Settings!$B$3,1,1),Team!$I33)&lt;=EOMONTH(E$69,0),IF(Team!$J33="",DATE(Settings!$B$3,12,31),Team!$J33)&gt;=E$69),IF(Team!$G33="",Settings!$B$4,Team!$G33)*(1-N(Team!$H33)/12/Settings!$B$9),0))</f>
        <v/>
      </c>
      <c r="F98" s="43" t="str">
        <f aca="false">IF($A98="","",IF(AND(IF(Team!$I33="",DATE(Settings!$B$3,1,1),Team!$I33)&lt;=EOMONTH(F$69,0),IF(Team!$J33="",DATE(Settings!$B$3,12,31),Team!$J33)&gt;=F$69),IF(Team!$G33="",Settings!$B$4,Team!$G33)*(1-N(Team!$H33)/12/Settings!$B$10),0))</f>
        <v/>
      </c>
      <c r="G98" s="43" t="str">
        <f aca="false">IF($A98="","",IF(AND(IF(Team!$I33="",DATE(Settings!$B$3,1,1),Team!$I33)&lt;=EOMONTH(G$69,0),IF(Team!$J33="",DATE(Settings!$B$3,12,31),Team!$J33)&gt;=G$69),IF(Team!$G33="",Settings!$B$4,Team!$G33)*(1-N(Team!$H33)/12/Settings!$B$11),0))</f>
        <v/>
      </c>
      <c r="H98" s="43" t="str">
        <f aca="false">IF($A98="","",IF(AND(IF(Team!$I33="",DATE(Settings!$B$3,1,1),Team!$I33)&lt;=EOMONTH(H$69,0),IF(Team!$J33="",DATE(Settings!$B$3,12,31),Team!$J33)&gt;=H$69),IF(Team!$G33="",Settings!$B$4,Team!$G33)*(1-N(Team!$H33)/12/Settings!$B$12),0))</f>
        <v/>
      </c>
      <c r="I98" s="43" t="str">
        <f aca="false">IF($A98="","",IF(AND(IF(Team!$I33="",DATE(Settings!$B$3,1,1),Team!$I33)&lt;=EOMONTH(I$69,0),IF(Team!$J33="",DATE(Settings!$B$3,12,31),Team!$J33)&gt;=I$69),IF(Team!$G33="",Settings!$B$4,Team!$G33)*(1-N(Team!$H33)/12/Settings!$B$13),0))</f>
        <v/>
      </c>
      <c r="J98" s="43" t="str">
        <f aca="false">IF($A98="","",IF(AND(IF(Team!$I33="",DATE(Settings!$B$3,1,1),Team!$I33)&lt;=EOMONTH(J$69,0),IF(Team!$J33="",DATE(Settings!$B$3,12,31),Team!$J33)&gt;=J$69),IF(Team!$G33="",Settings!$B$4,Team!$G33)*(1-N(Team!$H33)/12/Settings!$B$14),0))</f>
        <v/>
      </c>
      <c r="K98" s="43" t="str">
        <f aca="false">IF($A98="","",IF(AND(IF(Team!$I33="",DATE(Settings!$B$3,1,1),Team!$I33)&lt;=EOMONTH(K$69,0),IF(Team!$J33="",DATE(Settings!$B$3,12,31),Team!$J33)&gt;=K$69),IF(Team!$G33="",Settings!$B$4,Team!$G33)*(1-N(Team!$H33)/12/Settings!$B$15),0))</f>
        <v/>
      </c>
      <c r="L98" s="43" t="str">
        <f aca="false">IF($A98="","",IF(AND(IF(Team!$I33="",DATE(Settings!$B$3,1,1),Team!$I33)&lt;=EOMONTH(L$69,0),IF(Team!$J33="",DATE(Settings!$B$3,12,31),Team!$J33)&gt;=L$69),IF(Team!$G33="",Settings!$B$4,Team!$G33)*(1-N(Team!$H33)/12/Settings!$B$16),0))</f>
        <v/>
      </c>
      <c r="M98" s="43" t="str">
        <f aca="false">IF($A98="","",IF(AND(IF(Team!$I33="",DATE(Settings!$B$3,1,1),Team!$I33)&lt;=EOMONTH(M$69,0),IF(Team!$J33="",DATE(Settings!$B$3,12,31),Team!$J33)&gt;=M$69),IF(Team!$G33="",Settings!$B$4,Team!$G33)*(1-N(Team!$H33)/12/Settings!$B$17),0))</f>
        <v/>
      </c>
      <c r="N98" s="43" t="str">
        <f aca="false">IF($A98="","",IF(AND(IF(Team!$I33="",DATE(Settings!$B$3,1,1),Team!$I33)&lt;=EOMONTH(N$69,0),IF(Team!$J33="",DATE(Settings!$B$3,12,31),Team!$J33)&gt;=N$69),IF(Team!$G33="",Settings!$B$4,Team!$G33)*(1-N(Team!$H33)/12/Settings!$B$18),0))</f>
        <v/>
      </c>
      <c r="O98" s="43" t="str">
        <f aca="false">IF($A98="","",IF(AND(IF(Team!$I33="",DATE(Settings!$B$3,1,1),Team!$I33)&lt;=EOMONTH(O$69,0),IF(Team!$J33="",DATE(Settings!$B$3,12,31),Team!$J33)&gt;=O$69),IF(Team!$G33="",Settings!$B$4,Team!$G33)*(1-N(Team!$H33)/12/Settings!$B$19),0))</f>
        <v/>
      </c>
      <c r="P98" s="19" t="str">
        <f aca="false">IF($A98="","",SUM(D98:O98))</f>
        <v/>
      </c>
      <c r="Q98" s="2"/>
      <c r="R98" s="2"/>
      <c r="S98" s="2"/>
    </row>
    <row r="99" customFormat="false" ht="15" hidden="false" customHeight="false" outlineLevel="0" collapsed="false">
      <c r="A99" s="26" t="str">
        <f aca="false">IF(Team!$A34="","",Team!$A34)</f>
        <v/>
      </c>
      <c r="B99" s="26" t="str">
        <f aca="false">IF(Team!$A34="","",Team!$B34)</f>
        <v/>
      </c>
      <c r="C99" s="26" t="str">
        <f aca="false">IF(Team!$A34="","",Team!$C34)</f>
        <v/>
      </c>
      <c r="D99" s="43" t="str">
        <f aca="false">IF($A99="","",IF(AND(IF(Team!$I34="",DATE(Settings!$B$3,1,1),Team!$I34)&lt;=EOMONTH(D$69,0),IF(Team!$J34="",DATE(Settings!$B$3,12,31),Team!$J34)&gt;=D$69),IF(Team!$G34="",Settings!$B$4,Team!$G34)*(1-N(Team!$H34)/12/Settings!$B$8),0))</f>
        <v/>
      </c>
      <c r="E99" s="43" t="str">
        <f aca="false">IF($A99="","",IF(AND(IF(Team!$I34="",DATE(Settings!$B$3,1,1),Team!$I34)&lt;=EOMONTH(E$69,0),IF(Team!$J34="",DATE(Settings!$B$3,12,31),Team!$J34)&gt;=E$69),IF(Team!$G34="",Settings!$B$4,Team!$G34)*(1-N(Team!$H34)/12/Settings!$B$9),0))</f>
        <v/>
      </c>
      <c r="F99" s="43" t="str">
        <f aca="false">IF($A99="","",IF(AND(IF(Team!$I34="",DATE(Settings!$B$3,1,1),Team!$I34)&lt;=EOMONTH(F$69,0),IF(Team!$J34="",DATE(Settings!$B$3,12,31),Team!$J34)&gt;=F$69),IF(Team!$G34="",Settings!$B$4,Team!$G34)*(1-N(Team!$H34)/12/Settings!$B$10),0))</f>
        <v/>
      </c>
      <c r="G99" s="43" t="str">
        <f aca="false">IF($A99="","",IF(AND(IF(Team!$I34="",DATE(Settings!$B$3,1,1),Team!$I34)&lt;=EOMONTH(G$69,0),IF(Team!$J34="",DATE(Settings!$B$3,12,31),Team!$J34)&gt;=G$69),IF(Team!$G34="",Settings!$B$4,Team!$G34)*(1-N(Team!$H34)/12/Settings!$B$11),0))</f>
        <v/>
      </c>
      <c r="H99" s="43" t="str">
        <f aca="false">IF($A99="","",IF(AND(IF(Team!$I34="",DATE(Settings!$B$3,1,1),Team!$I34)&lt;=EOMONTH(H$69,0),IF(Team!$J34="",DATE(Settings!$B$3,12,31),Team!$J34)&gt;=H$69),IF(Team!$G34="",Settings!$B$4,Team!$G34)*(1-N(Team!$H34)/12/Settings!$B$12),0))</f>
        <v/>
      </c>
      <c r="I99" s="43" t="str">
        <f aca="false">IF($A99="","",IF(AND(IF(Team!$I34="",DATE(Settings!$B$3,1,1),Team!$I34)&lt;=EOMONTH(I$69,0),IF(Team!$J34="",DATE(Settings!$B$3,12,31),Team!$J34)&gt;=I$69),IF(Team!$G34="",Settings!$B$4,Team!$G34)*(1-N(Team!$H34)/12/Settings!$B$13),0))</f>
        <v/>
      </c>
      <c r="J99" s="43" t="str">
        <f aca="false">IF($A99="","",IF(AND(IF(Team!$I34="",DATE(Settings!$B$3,1,1),Team!$I34)&lt;=EOMONTH(J$69,0),IF(Team!$J34="",DATE(Settings!$B$3,12,31),Team!$J34)&gt;=J$69),IF(Team!$G34="",Settings!$B$4,Team!$G34)*(1-N(Team!$H34)/12/Settings!$B$14),0))</f>
        <v/>
      </c>
      <c r="K99" s="43" t="str">
        <f aca="false">IF($A99="","",IF(AND(IF(Team!$I34="",DATE(Settings!$B$3,1,1),Team!$I34)&lt;=EOMONTH(K$69,0),IF(Team!$J34="",DATE(Settings!$B$3,12,31),Team!$J34)&gt;=K$69),IF(Team!$G34="",Settings!$B$4,Team!$G34)*(1-N(Team!$H34)/12/Settings!$B$15),0))</f>
        <v/>
      </c>
      <c r="L99" s="43" t="str">
        <f aca="false">IF($A99="","",IF(AND(IF(Team!$I34="",DATE(Settings!$B$3,1,1),Team!$I34)&lt;=EOMONTH(L$69,0),IF(Team!$J34="",DATE(Settings!$B$3,12,31),Team!$J34)&gt;=L$69),IF(Team!$G34="",Settings!$B$4,Team!$G34)*(1-N(Team!$H34)/12/Settings!$B$16),0))</f>
        <v/>
      </c>
      <c r="M99" s="43" t="str">
        <f aca="false">IF($A99="","",IF(AND(IF(Team!$I34="",DATE(Settings!$B$3,1,1),Team!$I34)&lt;=EOMONTH(M$69,0),IF(Team!$J34="",DATE(Settings!$B$3,12,31),Team!$J34)&gt;=M$69),IF(Team!$G34="",Settings!$B$4,Team!$G34)*(1-N(Team!$H34)/12/Settings!$B$17),0))</f>
        <v/>
      </c>
      <c r="N99" s="43" t="str">
        <f aca="false">IF($A99="","",IF(AND(IF(Team!$I34="",DATE(Settings!$B$3,1,1),Team!$I34)&lt;=EOMONTH(N$69,0),IF(Team!$J34="",DATE(Settings!$B$3,12,31),Team!$J34)&gt;=N$69),IF(Team!$G34="",Settings!$B$4,Team!$G34)*(1-N(Team!$H34)/12/Settings!$B$18),0))</f>
        <v/>
      </c>
      <c r="O99" s="43" t="str">
        <f aca="false">IF($A99="","",IF(AND(IF(Team!$I34="",DATE(Settings!$B$3,1,1),Team!$I34)&lt;=EOMONTH(O$69,0),IF(Team!$J34="",DATE(Settings!$B$3,12,31),Team!$J34)&gt;=O$69),IF(Team!$G34="",Settings!$B$4,Team!$G34)*(1-N(Team!$H34)/12/Settings!$B$19),0))</f>
        <v/>
      </c>
      <c r="P99" s="19" t="str">
        <f aca="false">IF($A99="","",SUM(D99:O99))</f>
        <v/>
      </c>
      <c r="Q99" s="2"/>
      <c r="R99" s="2"/>
      <c r="S99" s="2"/>
    </row>
    <row r="100" customFormat="false" ht="15" hidden="false" customHeight="false" outlineLevel="0" collapsed="false">
      <c r="A100" s="26" t="str">
        <f aca="false">IF(Team!$A35="","",Team!$A35)</f>
        <v/>
      </c>
      <c r="B100" s="26" t="str">
        <f aca="false">IF(Team!$A35="","",Team!$B35)</f>
        <v/>
      </c>
      <c r="C100" s="26" t="str">
        <f aca="false">IF(Team!$A35="","",Team!$C35)</f>
        <v/>
      </c>
      <c r="D100" s="43" t="str">
        <f aca="false">IF($A100="","",IF(AND(IF(Team!$I35="",DATE(Settings!$B$3,1,1),Team!$I35)&lt;=EOMONTH(D$69,0),IF(Team!$J35="",DATE(Settings!$B$3,12,31),Team!$J35)&gt;=D$69),IF(Team!$G35="",Settings!$B$4,Team!$G35)*(1-N(Team!$H35)/12/Settings!$B$8),0))</f>
        <v/>
      </c>
      <c r="E100" s="43" t="str">
        <f aca="false">IF($A100="","",IF(AND(IF(Team!$I35="",DATE(Settings!$B$3,1,1),Team!$I35)&lt;=EOMONTH(E$69,0),IF(Team!$J35="",DATE(Settings!$B$3,12,31),Team!$J35)&gt;=E$69),IF(Team!$G35="",Settings!$B$4,Team!$G35)*(1-N(Team!$H35)/12/Settings!$B$9),0))</f>
        <v/>
      </c>
      <c r="F100" s="43" t="str">
        <f aca="false">IF($A100="","",IF(AND(IF(Team!$I35="",DATE(Settings!$B$3,1,1),Team!$I35)&lt;=EOMONTH(F$69,0),IF(Team!$J35="",DATE(Settings!$B$3,12,31),Team!$J35)&gt;=F$69),IF(Team!$G35="",Settings!$B$4,Team!$G35)*(1-N(Team!$H35)/12/Settings!$B$10),0))</f>
        <v/>
      </c>
      <c r="G100" s="43" t="str">
        <f aca="false">IF($A100="","",IF(AND(IF(Team!$I35="",DATE(Settings!$B$3,1,1),Team!$I35)&lt;=EOMONTH(G$69,0),IF(Team!$J35="",DATE(Settings!$B$3,12,31),Team!$J35)&gt;=G$69),IF(Team!$G35="",Settings!$B$4,Team!$G35)*(1-N(Team!$H35)/12/Settings!$B$11),0))</f>
        <v/>
      </c>
      <c r="H100" s="43" t="str">
        <f aca="false">IF($A100="","",IF(AND(IF(Team!$I35="",DATE(Settings!$B$3,1,1),Team!$I35)&lt;=EOMONTH(H$69,0),IF(Team!$J35="",DATE(Settings!$B$3,12,31),Team!$J35)&gt;=H$69),IF(Team!$G35="",Settings!$B$4,Team!$G35)*(1-N(Team!$H35)/12/Settings!$B$12),0))</f>
        <v/>
      </c>
      <c r="I100" s="43" t="str">
        <f aca="false">IF($A100="","",IF(AND(IF(Team!$I35="",DATE(Settings!$B$3,1,1),Team!$I35)&lt;=EOMONTH(I$69,0),IF(Team!$J35="",DATE(Settings!$B$3,12,31),Team!$J35)&gt;=I$69),IF(Team!$G35="",Settings!$B$4,Team!$G35)*(1-N(Team!$H35)/12/Settings!$B$13),0))</f>
        <v/>
      </c>
      <c r="J100" s="43" t="str">
        <f aca="false">IF($A100="","",IF(AND(IF(Team!$I35="",DATE(Settings!$B$3,1,1),Team!$I35)&lt;=EOMONTH(J$69,0),IF(Team!$J35="",DATE(Settings!$B$3,12,31),Team!$J35)&gt;=J$69),IF(Team!$G35="",Settings!$B$4,Team!$G35)*(1-N(Team!$H35)/12/Settings!$B$14),0))</f>
        <v/>
      </c>
      <c r="K100" s="43" t="str">
        <f aca="false">IF($A100="","",IF(AND(IF(Team!$I35="",DATE(Settings!$B$3,1,1),Team!$I35)&lt;=EOMONTH(K$69,0),IF(Team!$J35="",DATE(Settings!$B$3,12,31),Team!$J35)&gt;=K$69),IF(Team!$G35="",Settings!$B$4,Team!$G35)*(1-N(Team!$H35)/12/Settings!$B$15),0))</f>
        <v/>
      </c>
      <c r="L100" s="43" t="str">
        <f aca="false">IF($A100="","",IF(AND(IF(Team!$I35="",DATE(Settings!$B$3,1,1),Team!$I35)&lt;=EOMONTH(L$69,0),IF(Team!$J35="",DATE(Settings!$B$3,12,31),Team!$J35)&gt;=L$69),IF(Team!$G35="",Settings!$B$4,Team!$G35)*(1-N(Team!$H35)/12/Settings!$B$16),0))</f>
        <v/>
      </c>
      <c r="M100" s="43" t="str">
        <f aca="false">IF($A100="","",IF(AND(IF(Team!$I35="",DATE(Settings!$B$3,1,1),Team!$I35)&lt;=EOMONTH(M$69,0),IF(Team!$J35="",DATE(Settings!$B$3,12,31),Team!$J35)&gt;=M$69),IF(Team!$G35="",Settings!$B$4,Team!$G35)*(1-N(Team!$H35)/12/Settings!$B$17),0))</f>
        <v/>
      </c>
      <c r="N100" s="43" t="str">
        <f aca="false">IF($A100="","",IF(AND(IF(Team!$I35="",DATE(Settings!$B$3,1,1),Team!$I35)&lt;=EOMONTH(N$69,0),IF(Team!$J35="",DATE(Settings!$B$3,12,31),Team!$J35)&gt;=N$69),IF(Team!$G35="",Settings!$B$4,Team!$G35)*(1-N(Team!$H35)/12/Settings!$B$18),0))</f>
        <v/>
      </c>
      <c r="O100" s="43" t="str">
        <f aca="false">IF($A100="","",IF(AND(IF(Team!$I35="",DATE(Settings!$B$3,1,1),Team!$I35)&lt;=EOMONTH(O$69,0),IF(Team!$J35="",DATE(Settings!$B$3,12,31),Team!$J35)&gt;=O$69),IF(Team!$G35="",Settings!$B$4,Team!$G35)*(1-N(Team!$H35)/12/Settings!$B$19),0))</f>
        <v/>
      </c>
      <c r="P100" s="19" t="str">
        <f aca="false">IF($A100="","",SUM(D100:O100))</f>
        <v/>
      </c>
      <c r="Q100" s="2"/>
      <c r="R100" s="2"/>
      <c r="S100" s="2"/>
    </row>
    <row r="101" customFormat="false" ht="15" hidden="false" customHeight="false" outlineLevel="0" collapsed="false">
      <c r="A101" s="26" t="str">
        <f aca="false">IF(Team!$A36="","",Team!$A36)</f>
        <v/>
      </c>
      <c r="B101" s="26" t="str">
        <f aca="false">IF(Team!$A36="","",Team!$B36)</f>
        <v/>
      </c>
      <c r="C101" s="26" t="str">
        <f aca="false">IF(Team!$A36="","",Team!$C36)</f>
        <v/>
      </c>
      <c r="D101" s="43" t="str">
        <f aca="false">IF($A101="","",IF(AND(IF(Team!$I36="",DATE(Settings!$B$3,1,1),Team!$I36)&lt;=EOMONTH(D$69,0),IF(Team!$J36="",DATE(Settings!$B$3,12,31),Team!$J36)&gt;=D$69),IF(Team!$G36="",Settings!$B$4,Team!$G36)*(1-N(Team!$H36)/12/Settings!$B$8),0))</f>
        <v/>
      </c>
      <c r="E101" s="43" t="str">
        <f aca="false">IF($A101="","",IF(AND(IF(Team!$I36="",DATE(Settings!$B$3,1,1),Team!$I36)&lt;=EOMONTH(E$69,0),IF(Team!$J36="",DATE(Settings!$B$3,12,31),Team!$J36)&gt;=E$69),IF(Team!$G36="",Settings!$B$4,Team!$G36)*(1-N(Team!$H36)/12/Settings!$B$9),0))</f>
        <v/>
      </c>
      <c r="F101" s="43" t="str">
        <f aca="false">IF($A101="","",IF(AND(IF(Team!$I36="",DATE(Settings!$B$3,1,1),Team!$I36)&lt;=EOMONTH(F$69,0),IF(Team!$J36="",DATE(Settings!$B$3,12,31),Team!$J36)&gt;=F$69),IF(Team!$G36="",Settings!$B$4,Team!$G36)*(1-N(Team!$H36)/12/Settings!$B$10),0))</f>
        <v/>
      </c>
      <c r="G101" s="43" t="str">
        <f aca="false">IF($A101="","",IF(AND(IF(Team!$I36="",DATE(Settings!$B$3,1,1),Team!$I36)&lt;=EOMONTH(G$69,0),IF(Team!$J36="",DATE(Settings!$B$3,12,31),Team!$J36)&gt;=G$69),IF(Team!$G36="",Settings!$B$4,Team!$G36)*(1-N(Team!$H36)/12/Settings!$B$11),0))</f>
        <v/>
      </c>
      <c r="H101" s="43" t="str">
        <f aca="false">IF($A101="","",IF(AND(IF(Team!$I36="",DATE(Settings!$B$3,1,1),Team!$I36)&lt;=EOMONTH(H$69,0),IF(Team!$J36="",DATE(Settings!$B$3,12,31),Team!$J36)&gt;=H$69),IF(Team!$G36="",Settings!$B$4,Team!$G36)*(1-N(Team!$H36)/12/Settings!$B$12),0))</f>
        <v/>
      </c>
      <c r="I101" s="43" t="str">
        <f aca="false">IF($A101="","",IF(AND(IF(Team!$I36="",DATE(Settings!$B$3,1,1),Team!$I36)&lt;=EOMONTH(I$69,0),IF(Team!$J36="",DATE(Settings!$B$3,12,31),Team!$J36)&gt;=I$69),IF(Team!$G36="",Settings!$B$4,Team!$G36)*(1-N(Team!$H36)/12/Settings!$B$13),0))</f>
        <v/>
      </c>
      <c r="J101" s="43" t="str">
        <f aca="false">IF($A101="","",IF(AND(IF(Team!$I36="",DATE(Settings!$B$3,1,1),Team!$I36)&lt;=EOMONTH(J$69,0),IF(Team!$J36="",DATE(Settings!$B$3,12,31),Team!$J36)&gt;=J$69),IF(Team!$G36="",Settings!$B$4,Team!$G36)*(1-N(Team!$H36)/12/Settings!$B$14),0))</f>
        <v/>
      </c>
      <c r="K101" s="43" t="str">
        <f aca="false">IF($A101="","",IF(AND(IF(Team!$I36="",DATE(Settings!$B$3,1,1),Team!$I36)&lt;=EOMONTH(K$69,0),IF(Team!$J36="",DATE(Settings!$B$3,12,31),Team!$J36)&gt;=K$69),IF(Team!$G36="",Settings!$B$4,Team!$G36)*(1-N(Team!$H36)/12/Settings!$B$15),0))</f>
        <v/>
      </c>
      <c r="L101" s="43" t="str">
        <f aca="false">IF($A101="","",IF(AND(IF(Team!$I36="",DATE(Settings!$B$3,1,1),Team!$I36)&lt;=EOMONTH(L$69,0),IF(Team!$J36="",DATE(Settings!$B$3,12,31),Team!$J36)&gt;=L$69),IF(Team!$G36="",Settings!$B$4,Team!$G36)*(1-N(Team!$H36)/12/Settings!$B$16),0))</f>
        <v/>
      </c>
      <c r="M101" s="43" t="str">
        <f aca="false">IF($A101="","",IF(AND(IF(Team!$I36="",DATE(Settings!$B$3,1,1),Team!$I36)&lt;=EOMONTH(M$69,0),IF(Team!$J36="",DATE(Settings!$B$3,12,31),Team!$J36)&gt;=M$69),IF(Team!$G36="",Settings!$B$4,Team!$G36)*(1-N(Team!$H36)/12/Settings!$B$17),0))</f>
        <v/>
      </c>
      <c r="N101" s="43" t="str">
        <f aca="false">IF($A101="","",IF(AND(IF(Team!$I36="",DATE(Settings!$B$3,1,1),Team!$I36)&lt;=EOMONTH(N$69,0),IF(Team!$J36="",DATE(Settings!$B$3,12,31),Team!$J36)&gt;=N$69),IF(Team!$G36="",Settings!$B$4,Team!$G36)*(1-N(Team!$H36)/12/Settings!$B$18),0))</f>
        <v/>
      </c>
      <c r="O101" s="43" t="str">
        <f aca="false">IF($A101="","",IF(AND(IF(Team!$I36="",DATE(Settings!$B$3,1,1),Team!$I36)&lt;=EOMONTH(O$69,0),IF(Team!$J36="",DATE(Settings!$B$3,12,31),Team!$J36)&gt;=O$69),IF(Team!$G36="",Settings!$B$4,Team!$G36)*(1-N(Team!$H36)/12/Settings!$B$19),0))</f>
        <v/>
      </c>
      <c r="P101" s="19" t="str">
        <f aca="false">IF($A101="","",SUM(D101:O101))</f>
        <v/>
      </c>
      <c r="Q101" s="2"/>
      <c r="R101" s="2"/>
      <c r="S101" s="2"/>
    </row>
    <row r="102" customFormat="false" ht="15" hidden="false" customHeight="false" outlineLevel="0" collapsed="false">
      <c r="A102" s="26" t="str">
        <f aca="false">IF(Team!$A37="","",Team!$A37)</f>
        <v/>
      </c>
      <c r="B102" s="26" t="str">
        <f aca="false">IF(Team!$A37="","",Team!$B37)</f>
        <v/>
      </c>
      <c r="C102" s="26" t="str">
        <f aca="false">IF(Team!$A37="","",Team!$C37)</f>
        <v/>
      </c>
      <c r="D102" s="43" t="str">
        <f aca="false">IF($A102="","",IF(AND(IF(Team!$I37="",DATE(Settings!$B$3,1,1),Team!$I37)&lt;=EOMONTH(D$69,0),IF(Team!$J37="",DATE(Settings!$B$3,12,31),Team!$J37)&gt;=D$69),IF(Team!$G37="",Settings!$B$4,Team!$G37)*(1-N(Team!$H37)/12/Settings!$B$8),0))</f>
        <v/>
      </c>
      <c r="E102" s="43" t="str">
        <f aca="false">IF($A102="","",IF(AND(IF(Team!$I37="",DATE(Settings!$B$3,1,1),Team!$I37)&lt;=EOMONTH(E$69,0),IF(Team!$J37="",DATE(Settings!$B$3,12,31),Team!$J37)&gt;=E$69),IF(Team!$G37="",Settings!$B$4,Team!$G37)*(1-N(Team!$H37)/12/Settings!$B$9),0))</f>
        <v/>
      </c>
      <c r="F102" s="43" t="str">
        <f aca="false">IF($A102="","",IF(AND(IF(Team!$I37="",DATE(Settings!$B$3,1,1),Team!$I37)&lt;=EOMONTH(F$69,0),IF(Team!$J37="",DATE(Settings!$B$3,12,31),Team!$J37)&gt;=F$69),IF(Team!$G37="",Settings!$B$4,Team!$G37)*(1-N(Team!$H37)/12/Settings!$B$10),0))</f>
        <v/>
      </c>
      <c r="G102" s="43" t="str">
        <f aca="false">IF($A102="","",IF(AND(IF(Team!$I37="",DATE(Settings!$B$3,1,1),Team!$I37)&lt;=EOMONTH(G$69,0),IF(Team!$J37="",DATE(Settings!$B$3,12,31),Team!$J37)&gt;=G$69),IF(Team!$G37="",Settings!$B$4,Team!$G37)*(1-N(Team!$H37)/12/Settings!$B$11),0))</f>
        <v/>
      </c>
      <c r="H102" s="43" t="str">
        <f aca="false">IF($A102="","",IF(AND(IF(Team!$I37="",DATE(Settings!$B$3,1,1),Team!$I37)&lt;=EOMONTH(H$69,0),IF(Team!$J37="",DATE(Settings!$B$3,12,31),Team!$J37)&gt;=H$69),IF(Team!$G37="",Settings!$B$4,Team!$G37)*(1-N(Team!$H37)/12/Settings!$B$12),0))</f>
        <v/>
      </c>
      <c r="I102" s="43" t="str">
        <f aca="false">IF($A102="","",IF(AND(IF(Team!$I37="",DATE(Settings!$B$3,1,1),Team!$I37)&lt;=EOMONTH(I$69,0),IF(Team!$J37="",DATE(Settings!$B$3,12,31),Team!$J37)&gt;=I$69),IF(Team!$G37="",Settings!$B$4,Team!$G37)*(1-N(Team!$H37)/12/Settings!$B$13),0))</f>
        <v/>
      </c>
      <c r="J102" s="43" t="str">
        <f aca="false">IF($A102="","",IF(AND(IF(Team!$I37="",DATE(Settings!$B$3,1,1),Team!$I37)&lt;=EOMONTH(J$69,0),IF(Team!$J37="",DATE(Settings!$B$3,12,31),Team!$J37)&gt;=J$69),IF(Team!$G37="",Settings!$B$4,Team!$G37)*(1-N(Team!$H37)/12/Settings!$B$14),0))</f>
        <v/>
      </c>
      <c r="K102" s="43" t="str">
        <f aca="false">IF($A102="","",IF(AND(IF(Team!$I37="",DATE(Settings!$B$3,1,1),Team!$I37)&lt;=EOMONTH(K$69,0),IF(Team!$J37="",DATE(Settings!$B$3,12,31),Team!$J37)&gt;=K$69),IF(Team!$G37="",Settings!$B$4,Team!$G37)*(1-N(Team!$H37)/12/Settings!$B$15),0))</f>
        <v/>
      </c>
      <c r="L102" s="43" t="str">
        <f aca="false">IF($A102="","",IF(AND(IF(Team!$I37="",DATE(Settings!$B$3,1,1),Team!$I37)&lt;=EOMONTH(L$69,0),IF(Team!$J37="",DATE(Settings!$B$3,12,31),Team!$J37)&gt;=L$69),IF(Team!$G37="",Settings!$B$4,Team!$G37)*(1-N(Team!$H37)/12/Settings!$B$16),0))</f>
        <v/>
      </c>
      <c r="M102" s="43" t="str">
        <f aca="false">IF($A102="","",IF(AND(IF(Team!$I37="",DATE(Settings!$B$3,1,1),Team!$I37)&lt;=EOMONTH(M$69,0),IF(Team!$J37="",DATE(Settings!$B$3,12,31),Team!$J37)&gt;=M$69),IF(Team!$G37="",Settings!$B$4,Team!$G37)*(1-N(Team!$H37)/12/Settings!$B$17),0))</f>
        <v/>
      </c>
      <c r="N102" s="43" t="str">
        <f aca="false">IF($A102="","",IF(AND(IF(Team!$I37="",DATE(Settings!$B$3,1,1),Team!$I37)&lt;=EOMONTH(N$69,0),IF(Team!$J37="",DATE(Settings!$B$3,12,31),Team!$J37)&gt;=N$69),IF(Team!$G37="",Settings!$B$4,Team!$G37)*(1-N(Team!$H37)/12/Settings!$B$18),0))</f>
        <v/>
      </c>
      <c r="O102" s="43" t="str">
        <f aca="false">IF($A102="","",IF(AND(IF(Team!$I37="",DATE(Settings!$B$3,1,1),Team!$I37)&lt;=EOMONTH(O$69,0),IF(Team!$J37="",DATE(Settings!$B$3,12,31),Team!$J37)&gt;=O$69),IF(Team!$G37="",Settings!$B$4,Team!$G37)*(1-N(Team!$H37)/12/Settings!$B$19),0))</f>
        <v/>
      </c>
      <c r="P102" s="19" t="str">
        <f aca="false">IF($A102="","",SUM(D102:O102))</f>
        <v/>
      </c>
      <c r="Q102" s="2"/>
      <c r="R102" s="2"/>
      <c r="S102" s="2"/>
    </row>
    <row r="103" customFormat="false" ht="15" hidden="false" customHeight="false" outlineLevel="0" collapsed="false">
      <c r="A103" s="26" t="str">
        <f aca="false">IF(Team!$A38="","",Team!$A38)</f>
        <v/>
      </c>
      <c r="B103" s="26" t="str">
        <f aca="false">IF(Team!$A38="","",Team!$B38)</f>
        <v/>
      </c>
      <c r="C103" s="26" t="str">
        <f aca="false">IF(Team!$A38="","",Team!$C38)</f>
        <v/>
      </c>
      <c r="D103" s="43" t="str">
        <f aca="false">IF($A103="","",IF(AND(IF(Team!$I38="",DATE(Settings!$B$3,1,1),Team!$I38)&lt;=EOMONTH(D$69,0),IF(Team!$J38="",DATE(Settings!$B$3,12,31),Team!$J38)&gt;=D$69),IF(Team!$G38="",Settings!$B$4,Team!$G38)*(1-N(Team!$H38)/12/Settings!$B$8),0))</f>
        <v/>
      </c>
      <c r="E103" s="43" t="str">
        <f aca="false">IF($A103="","",IF(AND(IF(Team!$I38="",DATE(Settings!$B$3,1,1),Team!$I38)&lt;=EOMONTH(E$69,0),IF(Team!$J38="",DATE(Settings!$B$3,12,31),Team!$J38)&gt;=E$69),IF(Team!$G38="",Settings!$B$4,Team!$G38)*(1-N(Team!$H38)/12/Settings!$B$9),0))</f>
        <v/>
      </c>
      <c r="F103" s="43" t="str">
        <f aca="false">IF($A103="","",IF(AND(IF(Team!$I38="",DATE(Settings!$B$3,1,1),Team!$I38)&lt;=EOMONTH(F$69,0),IF(Team!$J38="",DATE(Settings!$B$3,12,31),Team!$J38)&gt;=F$69),IF(Team!$G38="",Settings!$B$4,Team!$G38)*(1-N(Team!$H38)/12/Settings!$B$10),0))</f>
        <v/>
      </c>
      <c r="G103" s="43" t="str">
        <f aca="false">IF($A103="","",IF(AND(IF(Team!$I38="",DATE(Settings!$B$3,1,1),Team!$I38)&lt;=EOMONTH(G$69,0),IF(Team!$J38="",DATE(Settings!$B$3,12,31),Team!$J38)&gt;=G$69),IF(Team!$G38="",Settings!$B$4,Team!$G38)*(1-N(Team!$H38)/12/Settings!$B$11),0))</f>
        <v/>
      </c>
      <c r="H103" s="43" t="str">
        <f aca="false">IF($A103="","",IF(AND(IF(Team!$I38="",DATE(Settings!$B$3,1,1),Team!$I38)&lt;=EOMONTH(H$69,0),IF(Team!$J38="",DATE(Settings!$B$3,12,31),Team!$J38)&gt;=H$69),IF(Team!$G38="",Settings!$B$4,Team!$G38)*(1-N(Team!$H38)/12/Settings!$B$12),0))</f>
        <v/>
      </c>
      <c r="I103" s="43" t="str">
        <f aca="false">IF($A103="","",IF(AND(IF(Team!$I38="",DATE(Settings!$B$3,1,1),Team!$I38)&lt;=EOMONTH(I$69,0),IF(Team!$J38="",DATE(Settings!$B$3,12,31),Team!$J38)&gt;=I$69),IF(Team!$G38="",Settings!$B$4,Team!$G38)*(1-N(Team!$H38)/12/Settings!$B$13),0))</f>
        <v/>
      </c>
      <c r="J103" s="43" t="str">
        <f aca="false">IF($A103="","",IF(AND(IF(Team!$I38="",DATE(Settings!$B$3,1,1),Team!$I38)&lt;=EOMONTH(J$69,0),IF(Team!$J38="",DATE(Settings!$B$3,12,31),Team!$J38)&gt;=J$69),IF(Team!$G38="",Settings!$B$4,Team!$G38)*(1-N(Team!$H38)/12/Settings!$B$14),0))</f>
        <v/>
      </c>
      <c r="K103" s="43" t="str">
        <f aca="false">IF($A103="","",IF(AND(IF(Team!$I38="",DATE(Settings!$B$3,1,1),Team!$I38)&lt;=EOMONTH(K$69,0),IF(Team!$J38="",DATE(Settings!$B$3,12,31),Team!$J38)&gt;=K$69),IF(Team!$G38="",Settings!$B$4,Team!$G38)*(1-N(Team!$H38)/12/Settings!$B$15),0))</f>
        <v/>
      </c>
      <c r="L103" s="43" t="str">
        <f aca="false">IF($A103="","",IF(AND(IF(Team!$I38="",DATE(Settings!$B$3,1,1),Team!$I38)&lt;=EOMONTH(L$69,0),IF(Team!$J38="",DATE(Settings!$B$3,12,31),Team!$J38)&gt;=L$69),IF(Team!$G38="",Settings!$B$4,Team!$G38)*(1-N(Team!$H38)/12/Settings!$B$16),0))</f>
        <v/>
      </c>
      <c r="M103" s="43" t="str">
        <f aca="false">IF($A103="","",IF(AND(IF(Team!$I38="",DATE(Settings!$B$3,1,1),Team!$I38)&lt;=EOMONTH(M$69,0),IF(Team!$J38="",DATE(Settings!$B$3,12,31),Team!$J38)&gt;=M$69),IF(Team!$G38="",Settings!$B$4,Team!$G38)*(1-N(Team!$H38)/12/Settings!$B$17),0))</f>
        <v/>
      </c>
      <c r="N103" s="43" t="str">
        <f aca="false">IF($A103="","",IF(AND(IF(Team!$I38="",DATE(Settings!$B$3,1,1),Team!$I38)&lt;=EOMONTH(N$69,0),IF(Team!$J38="",DATE(Settings!$B$3,12,31),Team!$J38)&gt;=N$69),IF(Team!$G38="",Settings!$B$4,Team!$G38)*(1-N(Team!$H38)/12/Settings!$B$18),0))</f>
        <v/>
      </c>
      <c r="O103" s="43" t="str">
        <f aca="false">IF($A103="","",IF(AND(IF(Team!$I38="",DATE(Settings!$B$3,1,1),Team!$I38)&lt;=EOMONTH(O$69,0),IF(Team!$J38="",DATE(Settings!$B$3,12,31),Team!$J38)&gt;=O$69),IF(Team!$G38="",Settings!$B$4,Team!$G38)*(1-N(Team!$H38)/12/Settings!$B$19),0))</f>
        <v/>
      </c>
      <c r="P103" s="19" t="str">
        <f aca="false">IF($A103="","",SUM(D103:O103))</f>
        <v/>
      </c>
      <c r="Q103" s="2"/>
      <c r="R103" s="2"/>
      <c r="S103" s="2"/>
    </row>
    <row r="104" customFormat="false" ht="15" hidden="false" customHeight="false" outlineLevel="0" collapsed="false">
      <c r="A104" s="26" t="str">
        <f aca="false">IF(Team!$A39="","",Team!$A39)</f>
        <v/>
      </c>
      <c r="B104" s="26" t="str">
        <f aca="false">IF(Team!$A39="","",Team!$B39)</f>
        <v/>
      </c>
      <c r="C104" s="26" t="str">
        <f aca="false">IF(Team!$A39="","",Team!$C39)</f>
        <v/>
      </c>
      <c r="D104" s="43" t="str">
        <f aca="false">IF($A104="","",IF(AND(IF(Team!$I39="",DATE(Settings!$B$3,1,1),Team!$I39)&lt;=EOMONTH(D$69,0),IF(Team!$J39="",DATE(Settings!$B$3,12,31),Team!$J39)&gt;=D$69),IF(Team!$G39="",Settings!$B$4,Team!$G39)*(1-N(Team!$H39)/12/Settings!$B$8),0))</f>
        <v/>
      </c>
      <c r="E104" s="43" t="str">
        <f aca="false">IF($A104="","",IF(AND(IF(Team!$I39="",DATE(Settings!$B$3,1,1),Team!$I39)&lt;=EOMONTH(E$69,0),IF(Team!$J39="",DATE(Settings!$B$3,12,31),Team!$J39)&gt;=E$69),IF(Team!$G39="",Settings!$B$4,Team!$G39)*(1-N(Team!$H39)/12/Settings!$B$9),0))</f>
        <v/>
      </c>
      <c r="F104" s="43" t="str">
        <f aca="false">IF($A104="","",IF(AND(IF(Team!$I39="",DATE(Settings!$B$3,1,1),Team!$I39)&lt;=EOMONTH(F$69,0),IF(Team!$J39="",DATE(Settings!$B$3,12,31),Team!$J39)&gt;=F$69),IF(Team!$G39="",Settings!$B$4,Team!$G39)*(1-N(Team!$H39)/12/Settings!$B$10),0))</f>
        <v/>
      </c>
      <c r="G104" s="43" t="str">
        <f aca="false">IF($A104="","",IF(AND(IF(Team!$I39="",DATE(Settings!$B$3,1,1),Team!$I39)&lt;=EOMONTH(G$69,0),IF(Team!$J39="",DATE(Settings!$B$3,12,31),Team!$J39)&gt;=G$69),IF(Team!$G39="",Settings!$B$4,Team!$G39)*(1-N(Team!$H39)/12/Settings!$B$11),0))</f>
        <v/>
      </c>
      <c r="H104" s="43" t="str">
        <f aca="false">IF($A104="","",IF(AND(IF(Team!$I39="",DATE(Settings!$B$3,1,1),Team!$I39)&lt;=EOMONTH(H$69,0),IF(Team!$J39="",DATE(Settings!$B$3,12,31),Team!$J39)&gt;=H$69),IF(Team!$G39="",Settings!$B$4,Team!$G39)*(1-N(Team!$H39)/12/Settings!$B$12),0))</f>
        <v/>
      </c>
      <c r="I104" s="43" t="str">
        <f aca="false">IF($A104="","",IF(AND(IF(Team!$I39="",DATE(Settings!$B$3,1,1),Team!$I39)&lt;=EOMONTH(I$69,0),IF(Team!$J39="",DATE(Settings!$B$3,12,31),Team!$J39)&gt;=I$69),IF(Team!$G39="",Settings!$B$4,Team!$G39)*(1-N(Team!$H39)/12/Settings!$B$13),0))</f>
        <v/>
      </c>
      <c r="J104" s="43" t="str">
        <f aca="false">IF($A104="","",IF(AND(IF(Team!$I39="",DATE(Settings!$B$3,1,1),Team!$I39)&lt;=EOMONTH(J$69,0),IF(Team!$J39="",DATE(Settings!$B$3,12,31),Team!$J39)&gt;=J$69),IF(Team!$G39="",Settings!$B$4,Team!$G39)*(1-N(Team!$H39)/12/Settings!$B$14),0))</f>
        <v/>
      </c>
      <c r="K104" s="43" t="str">
        <f aca="false">IF($A104="","",IF(AND(IF(Team!$I39="",DATE(Settings!$B$3,1,1),Team!$I39)&lt;=EOMONTH(K$69,0),IF(Team!$J39="",DATE(Settings!$B$3,12,31),Team!$J39)&gt;=K$69),IF(Team!$G39="",Settings!$B$4,Team!$G39)*(1-N(Team!$H39)/12/Settings!$B$15),0))</f>
        <v/>
      </c>
      <c r="L104" s="43" t="str">
        <f aca="false">IF($A104="","",IF(AND(IF(Team!$I39="",DATE(Settings!$B$3,1,1),Team!$I39)&lt;=EOMONTH(L$69,0),IF(Team!$J39="",DATE(Settings!$B$3,12,31),Team!$J39)&gt;=L$69),IF(Team!$G39="",Settings!$B$4,Team!$G39)*(1-N(Team!$H39)/12/Settings!$B$16),0))</f>
        <v/>
      </c>
      <c r="M104" s="43" t="str">
        <f aca="false">IF($A104="","",IF(AND(IF(Team!$I39="",DATE(Settings!$B$3,1,1),Team!$I39)&lt;=EOMONTH(M$69,0),IF(Team!$J39="",DATE(Settings!$B$3,12,31),Team!$J39)&gt;=M$69),IF(Team!$G39="",Settings!$B$4,Team!$G39)*(1-N(Team!$H39)/12/Settings!$B$17),0))</f>
        <v/>
      </c>
      <c r="N104" s="43" t="str">
        <f aca="false">IF($A104="","",IF(AND(IF(Team!$I39="",DATE(Settings!$B$3,1,1),Team!$I39)&lt;=EOMONTH(N$69,0),IF(Team!$J39="",DATE(Settings!$B$3,12,31),Team!$J39)&gt;=N$69),IF(Team!$G39="",Settings!$B$4,Team!$G39)*(1-N(Team!$H39)/12/Settings!$B$18),0))</f>
        <v/>
      </c>
      <c r="O104" s="43" t="str">
        <f aca="false">IF($A104="","",IF(AND(IF(Team!$I39="",DATE(Settings!$B$3,1,1),Team!$I39)&lt;=EOMONTH(O$69,0),IF(Team!$J39="",DATE(Settings!$B$3,12,31),Team!$J39)&gt;=O$69),IF(Team!$G39="",Settings!$B$4,Team!$G39)*(1-N(Team!$H39)/12/Settings!$B$19),0))</f>
        <v/>
      </c>
      <c r="P104" s="19" t="str">
        <f aca="false">IF($A104="","",SUM(D104:O104))</f>
        <v/>
      </c>
      <c r="Q104" s="2"/>
      <c r="R104" s="2"/>
      <c r="S104" s="2"/>
    </row>
    <row r="105" customFormat="false" ht="15" hidden="false" customHeight="false" outlineLevel="0" collapsed="false">
      <c r="A105" s="26" t="str">
        <f aca="false">IF(Team!$A40="","",Team!$A40)</f>
        <v/>
      </c>
      <c r="B105" s="26" t="str">
        <f aca="false">IF(Team!$A40="","",Team!$B40)</f>
        <v/>
      </c>
      <c r="C105" s="26" t="str">
        <f aca="false">IF(Team!$A40="","",Team!$C40)</f>
        <v/>
      </c>
      <c r="D105" s="43" t="str">
        <f aca="false">IF($A105="","",IF(AND(IF(Team!$I40="",DATE(Settings!$B$3,1,1),Team!$I40)&lt;=EOMONTH(D$69,0),IF(Team!$J40="",DATE(Settings!$B$3,12,31),Team!$J40)&gt;=D$69),IF(Team!$G40="",Settings!$B$4,Team!$G40)*(1-N(Team!$H40)/12/Settings!$B$8),0))</f>
        <v/>
      </c>
      <c r="E105" s="43" t="str">
        <f aca="false">IF($A105="","",IF(AND(IF(Team!$I40="",DATE(Settings!$B$3,1,1),Team!$I40)&lt;=EOMONTH(E$69,0),IF(Team!$J40="",DATE(Settings!$B$3,12,31),Team!$J40)&gt;=E$69),IF(Team!$G40="",Settings!$B$4,Team!$G40)*(1-N(Team!$H40)/12/Settings!$B$9),0))</f>
        <v/>
      </c>
      <c r="F105" s="43" t="str">
        <f aca="false">IF($A105="","",IF(AND(IF(Team!$I40="",DATE(Settings!$B$3,1,1),Team!$I40)&lt;=EOMONTH(F$69,0),IF(Team!$J40="",DATE(Settings!$B$3,12,31),Team!$J40)&gt;=F$69),IF(Team!$G40="",Settings!$B$4,Team!$G40)*(1-N(Team!$H40)/12/Settings!$B$10),0))</f>
        <v/>
      </c>
      <c r="G105" s="43" t="str">
        <f aca="false">IF($A105="","",IF(AND(IF(Team!$I40="",DATE(Settings!$B$3,1,1),Team!$I40)&lt;=EOMONTH(G$69,0),IF(Team!$J40="",DATE(Settings!$B$3,12,31),Team!$J40)&gt;=G$69),IF(Team!$G40="",Settings!$B$4,Team!$G40)*(1-N(Team!$H40)/12/Settings!$B$11),0))</f>
        <v/>
      </c>
      <c r="H105" s="43" t="str">
        <f aca="false">IF($A105="","",IF(AND(IF(Team!$I40="",DATE(Settings!$B$3,1,1),Team!$I40)&lt;=EOMONTH(H$69,0),IF(Team!$J40="",DATE(Settings!$B$3,12,31),Team!$J40)&gt;=H$69),IF(Team!$G40="",Settings!$B$4,Team!$G40)*(1-N(Team!$H40)/12/Settings!$B$12),0))</f>
        <v/>
      </c>
      <c r="I105" s="43" t="str">
        <f aca="false">IF($A105="","",IF(AND(IF(Team!$I40="",DATE(Settings!$B$3,1,1),Team!$I40)&lt;=EOMONTH(I$69,0),IF(Team!$J40="",DATE(Settings!$B$3,12,31),Team!$J40)&gt;=I$69),IF(Team!$G40="",Settings!$B$4,Team!$G40)*(1-N(Team!$H40)/12/Settings!$B$13),0))</f>
        <v/>
      </c>
      <c r="J105" s="43" t="str">
        <f aca="false">IF($A105="","",IF(AND(IF(Team!$I40="",DATE(Settings!$B$3,1,1),Team!$I40)&lt;=EOMONTH(J$69,0),IF(Team!$J40="",DATE(Settings!$B$3,12,31),Team!$J40)&gt;=J$69),IF(Team!$G40="",Settings!$B$4,Team!$G40)*(1-N(Team!$H40)/12/Settings!$B$14),0))</f>
        <v/>
      </c>
      <c r="K105" s="43" t="str">
        <f aca="false">IF($A105="","",IF(AND(IF(Team!$I40="",DATE(Settings!$B$3,1,1),Team!$I40)&lt;=EOMONTH(K$69,0),IF(Team!$J40="",DATE(Settings!$B$3,12,31),Team!$J40)&gt;=K$69),IF(Team!$G40="",Settings!$B$4,Team!$G40)*(1-N(Team!$H40)/12/Settings!$B$15),0))</f>
        <v/>
      </c>
      <c r="L105" s="43" t="str">
        <f aca="false">IF($A105="","",IF(AND(IF(Team!$I40="",DATE(Settings!$B$3,1,1),Team!$I40)&lt;=EOMONTH(L$69,0),IF(Team!$J40="",DATE(Settings!$B$3,12,31),Team!$J40)&gt;=L$69),IF(Team!$G40="",Settings!$B$4,Team!$G40)*(1-N(Team!$H40)/12/Settings!$B$16),0))</f>
        <v/>
      </c>
      <c r="M105" s="43" t="str">
        <f aca="false">IF($A105="","",IF(AND(IF(Team!$I40="",DATE(Settings!$B$3,1,1),Team!$I40)&lt;=EOMONTH(M$69,0),IF(Team!$J40="",DATE(Settings!$B$3,12,31),Team!$J40)&gt;=M$69),IF(Team!$G40="",Settings!$B$4,Team!$G40)*(1-N(Team!$H40)/12/Settings!$B$17),0))</f>
        <v/>
      </c>
      <c r="N105" s="43" t="str">
        <f aca="false">IF($A105="","",IF(AND(IF(Team!$I40="",DATE(Settings!$B$3,1,1),Team!$I40)&lt;=EOMONTH(N$69,0),IF(Team!$J40="",DATE(Settings!$B$3,12,31),Team!$J40)&gt;=N$69),IF(Team!$G40="",Settings!$B$4,Team!$G40)*(1-N(Team!$H40)/12/Settings!$B$18),0))</f>
        <v/>
      </c>
      <c r="O105" s="43" t="str">
        <f aca="false">IF($A105="","",IF(AND(IF(Team!$I40="",DATE(Settings!$B$3,1,1),Team!$I40)&lt;=EOMONTH(O$69,0),IF(Team!$J40="",DATE(Settings!$B$3,12,31),Team!$J40)&gt;=O$69),IF(Team!$G40="",Settings!$B$4,Team!$G40)*(1-N(Team!$H40)/12/Settings!$B$19),0))</f>
        <v/>
      </c>
      <c r="P105" s="19" t="str">
        <f aca="false">IF($A105="","",SUM(D105:O105))</f>
        <v/>
      </c>
      <c r="Q105" s="2"/>
      <c r="R105" s="2"/>
      <c r="S105" s="2"/>
    </row>
    <row r="106" customFormat="false" ht="15" hidden="false" customHeight="false" outlineLevel="0" collapsed="false">
      <c r="A106" s="26" t="str">
        <f aca="false">IF(Team!$A41="","",Team!$A41)</f>
        <v/>
      </c>
      <c r="B106" s="26" t="str">
        <f aca="false">IF(Team!$A41="","",Team!$B41)</f>
        <v/>
      </c>
      <c r="C106" s="26" t="str">
        <f aca="false">IF(Team!$A41="","",Team!$C41)</f>
        <v/>
      </c>
      <c r="D106" s="43" t="str">
        <f aca="false">IF($A106="","",IF(AND(IF(Team!$I41="",DATE(Settings!$B$3,1,1),Team!$I41)&lt;=EOMONTH(D$69,0),IF(Team!$J41="",DATE(Settings!$B$3,12,31),Team!$J41)&gt;=D$69),IF(Team!$G41="",Settings!$B$4,Team!$G41)*(1-N(Team!$H41)/12/Settings!$B$8),0))</f>
        <v/>
      </c>
      <c r="E106" s="43" t="str">
        <f aca="false">IF($A106="","",IF(AND(IF(Team!$I41="",DATE(Settings!$B$3,1,1),Team!$I41)&lt;=EOMONTH(E$69,0),IF(Team!$J41="",DATE(Settings!$B$3,12,31),Team!$J41)&gt;=E$69),IF(Team!$G41="",Settings!$B$4,Team!$G41)*(1-N(Team!$H41)/12/Settings!$B$9),0))</f>
        <v/>
      </c>
      <c r="F106" s="43" t="str">
        <f aca="false">IF($A106="","",IF(AND(IF(Team!$I41="",DATE(Settings!$B$3,1,1),Team!$I41)&lt;=EOMONTH(F$69,0),IF(Team!$J41="",DATE(Settings!$B$3,12,31),Team!$J41)&gt;=F$69),IF(Team!$G41="",Settings!$B$4,Team!$G41)*(1-N(Team!$H41)/12/Settings!$B$10),0))</f>
        <v/>
      </c>
      <c r="G106" s="43" t="str">
        <f aca="false">IF($A106="","",IF(AND(IF(Team!$I41="",DATE(Settings!$B$3,1,1),Team!$I41)&lt;=EOMONTH(G$69,0),IF(Team!$J41="",DATE(Settings!$B$3,12,31),Team!$J41)&gt;=G$69),IF(Team!$G41="",Settings!$B$4,Team!$G41)*(1-N(Team!$H41)/12/Settings!$B$11),0))</f>
        <v/>
      </c>
      <c r="H106" s="43" t="str">
        <f aca="false">IF($A106="","",IF(AND(IF(Team!$I41="",DATE(Settings!$B$3,1,1),Team!$I41)&lt;=EOMONTH(H$69,0),IF(Team!$J41="",DATE(Settings!$B$3,12,31),Team!$J41)&gt;=H$69),IF(Team!$G41="",Settings!$B$4,Team!$G41)*(1-N(Team!$H41)/12/Settings!$B$12),0))</f>
        <v/>
      </c>
      <c r="I106" s="43" t="str">
        <f aca="false">IF($A106="","",IF(AND(IF(Team!$I41="",DATE(Settings!$B$3,1,1),Team!$I41)&lt;=EOMONTH(I$69,0),IF(Team!$J41="",DATE(Settings!$B$3,12,31),Team!$J41)&gt;=I$69),IF(Team!$G41="",Settings!$B$4,Team!$G41)*(1-N(Team!$H41)/12/Settings!$B$13),0))</f>
        <v/>
      </c>
      <c r="J106" s="43" t="str">
        <f aca="false">IF($A106="","",IF(AND(IF(Team!$I41="",DATE(Settings!$B$3,1,1),Team!$I41)&lt;=EOMONTH(J$69,0),IF(Team!$J41="",DATE(Settings!$B$3,12,31),Team!$J41)&gt;=J$69),IF(Team!$G41="",Settings!$B$4,Team!$G41)*(1-N(Team!$H41)/12/Settings!$B$14),0))</f>
        <v/>
      </c>
      <c r="K106" s="43" t="str">
        <f aca="false">IF($A106="","",IF(AND(IF(Team!$I41="",DATE(Settings!$B$3,1,1),Team!$I41)&lt;=EOMONTH(K$69,0),IF(Team!$J41="",DATE(Settings!$B$3,12,31),Team!$J41)&gt;=K$69),IF(Team!$G41="",Settings!$B$4,Team!$G41)*(1-N(Team!$H41)/12/Settings!$B$15),0))</f>
        <v/>
      </c>
      <c r="L106" s="43" t="str">
        <f aca="false">IF($A106="","",IF(AND(IF(Team!$I41="",DATE(Settings!$B$3,1,1),Team!$I41)&lt;=EOMONTH(L$69,0),IF(Team!$J41="",DATE(Settings!$B$3,12,31),Team!$J41)&gt;=L$69),IF(Team!$G41="",Settings!$B$4,Team!$G41)*(1-N(Team!$H41)/12/Settings!$B$16),0))</f>
        <v/>
      </c>
      <c r="M106" s="43" t="str">
        <f aca="false">IF($A106="","",IF(AND(IF(Team!$I41="",DATE(Settings!$B$3,1,1),Team!$I41)&lt;=EOMONTH(M$69,0),IF(Team!$J41="",DATE(Settings!$B$3,12,31),Team!$J41)&gt;=M$69),IF(Team!$G41="",Settings!$B$4,Team!$G41)*(1-N(Team!$H41)/12/Settings!$B$17),0))</f>
        <v/>
      </c>
      <c r="N106" s="43" t="str">
        <f aca="false">IF($A106="","",IF(AND(IF(Team!$I41="",DATE(Settings!$B$3,1,1),Team!$I41)&lt;=EOMONTH(N$69,0),IF(Team!$J41="",DATE(Settings!$B$3,12,31),Team!$J41)&gt;=N$69),IF(Team!$G41="",Settings!$B$4,Team!$G41)*(1-N(Team!$H41)/12/Settings!$B$18),0))</f>
        <v/>
      </c>
      <c r="O106" s="43" t="str">
        <f aca="false">IF($A106="","",IF(AND(IF(Team!$I41="",DATE(Settings!$B$3,1,1),Team!$I41)&lt;=EOMONTH(O$69,0),IF(Team!$J41="",DATE(Settings!$B$3,12,31),Team!$J41)&gt;=O$69),IF(Team!$G41="",Settings!$B$4,Team!$G41)*(1-N(Team!$H41)/12/Settings!$B$19),0))</f>
        <v/>
      </c>
      <c r="P106" s="19" t="str">
        <f aca="false">IF($A106="","",SUM(D106:O106))</f>
        <v/>
      </c>
      <c r="Q106" s="2"/>
      <c r="R106" s="2"/>
      <c r="S106" s="2"/>
    </row>
    <row r="107" customFormat="false" ht="15" hidden="false" customHeight="false" outlineLevel="0" collapsed="false">
      <c r="A107" s="26" t="str">
        <f aca="false">IF(Team!$A42="","",Team!$A42)</f>
        <v/>
      </c>
      <c r="B107" s="26" t="str">
        <f aca="false">IF(Team!$A42="","",Team!$B42)</f>
        <v/>
      </c>
      <c r="C107" s="26" t="str">
        <f aca="false">IF(Team!$A42="","",Team!$C42)</f>
        <v/>
      </c>
      <c r="D107" s="43" t="str">
        <f aca="false">IF($A107="","",IF(AND(IF(Team!$I42="",DATE(Settings!$B$3,1,1),Team!$I42)&lt;=EOMONTH(D$69,0),IF(Team!$J42="",DATE(Settings!$B$3,12,31),Team!$J42)&gt;=D$69),IF(Team!$G42="",Settings!$B$4,Team!$G42)*(1-N(Team!$H42)/12/Settings!$B$8),0))</f>
        <v/>
      </c>
      <c r="E107" s="43" t="str">
        <f aca="false">IF($A107="","",IF(AND(IF(Team!$I42="",DATE(Settings!$B$3,1,1),Team!$I42)&lt;=EOMONTH(E$69,0),IF(Team!$J42="",DATE(Settings!$B$3,12,31),Team!$J42)&gt;=E$69),IF(Team!$G42="",Settings!$B$4,Team!$G42)*(1-N(Team!$H42)/12/Settings!$B$9),0))</f>
        <v/>
      </c>
      <c r="F107" s="43" t="str">
        <f aca="false">IF($A107="","",IF(AND(IF(Team!$I42="",DATE(Settings!$B$3,1,1),Team!$I42)&lt;=EOMONTH(F$69,0),IF(Team!$J42="",DATE(Settings!$B$3,12,31),Team!$J42)&gt;=F$69),IF(Team!$G42="",Settings!$B$4,Team!$G42)*(1-N(Team!$H42)/12/Settings!$B$10),0))</f>
        <v/>
      </c>
      <c r="G107" s="43" t="str">
        <f aca="false">IF($A107="","",IF(AND(IF(Team!$I42="",DATE(Settings!$B$3,1,1),Team!$I42)&lt;=EOMONTH(G$69,0),IF(Team!$J42="",DATE(Settings!$B$3,12,31),Team!$J42)&gt;=G$69),IF(Team!$G42="",Settings!$B$4,Team!$G42)*(1-N(Team!$H42)/12/Settings!$B$11),0))</f>
        <v/>
      </c>
      <c r="H107" s="43" t="str">
        <f aca="false">IF($A107="","",IF(AND(IF(Team!$I42="",DATE(Settings!$B$3,1,1),Team!$I42)&lt;=EOMONTH(H$69,0),IF(Team!$J42="",DATE(Settings!$B$3,12,31),Team!$J42)&gt;=H$69),IF(Team!$G42="",Settings!$B$4,Team!$G42)*(1-N(Team!$H42)/12/Settings!$B$12),0))</f>
        <v/>
      </c>
      <c r="I107" s="43" t="str">
        <f aca="false">IF($A107="","",IF(AND(IF(Team!$I42="",DATE(Settings!$B$3,1,1),Team!$I42)&lt;=EOMONTH(I$69,0),IF(Team!$J42="",DATE(Settings!$B$3,12,31),Team!$J42)&gt;=I$69),IF(Team!$G42="",Settings!$B$4,Team!$G42)*(1-N(Team!$H42)/12/Settings!$B$13),0))</f>
        <v/>
      </c>
      <c r="J107" s="43" t="str">
        <f aca="false">IF($A107="","",IF(AND(IF(Team!$I42="",DATE(Settings!$B$3,1,1),Team!$I42)&lt;=EOMONTH(J$69,0),IF(Team!$J42="",DATE(Settings!$B$3,12,31),Team!$J42)&gt;=J$69),IF(Team!$G42="",Settings!$B$4,Team!$G42)*(1-N(Team!$H42)/12/Settings!$B$14),0))</f>
        <v/>
      </c>
      <c r="K107" s="43" t="str">
        <f aca="false">IF($A107="","",IF(AND(IF(Team!$I42="",DATE(Settings!$B$3,1,1),Team!$I42)&lt;=EOMONTH(K$69,0),IF(Team!$J42="",DATE(Settings!$B$3,12,31),Team!$J42)&gt;=K$69),IF(Team!$G42="",Settings!$B$4,Team!$G42)*(1-N(Team!$H42)/12/Settings!$B$15),0))</f>
        <v/>
      </c>
      <c r="L107" s="43" t="str">
        <f aca="false">IF($A107="","",IF(AND(IF(Team!$I42="",DATE(Settings!$B$3,1,1),Team!$I42)&lt;=EOMONTH(L$69,0),IF(Team!$J42="",DATE(Settings!$B$3,12,31),Team!$J42)&gt;=L$69),IF(Team!$G42="",Settings!$B$4,Team!$G42)*(1-N(Team!$H42)/12/Settings!$B$16),0))</f>
        <v/>
      </c>
      <c r="M107" s="43" t="str">
        <f aca="false">IF($A107="","",IF(AND(IF(Team!$I42="",DATE(Settings!$B$3,1,1),Team!$I42)&lt;=EOMONTH(M$69,0),IF(Team!$J42="",DATE(Settings!$B$3,12,31),Team!$J42)&gt;=M$69),IF(Team!$G42="",Settings!$B$4,Team!$G42)*(1-N(Team!$H42)/12/Settings!$B$17),0))</f>
        <v/>
      </c>
      <c r="N107" s="43" t="str">
        <f aca="false">IF($A107="","",IF(AND(IF(Team!$I42="",DATE(Settings!$B$3,1,1),Team!$I42)&lt;=EOMONTH(N$69,0),IF(Team!$J42="",DATE(Settings!$B$3,12,31),Team!$J42)&gt;=N$69),IF(Team!$G42="",Settings!$B$4,Team!$G42)*(1-N(Team!$H42)/12/Settings!$B$18),0))</f>
        <v/>
      </c>
      <c r="O107" s="43" t="str">
        <f aca="false">IF($A107="","",IF(AND(IF(Team!$I42="",DATE(Settings!$B$3,1,1),Team!$I42)&lt;=EOMONTH(O$69,0),IF(Team!$J42="",DATE(Settings!$B$3,12,31),Team!$J42)&gt;=O$69),IF(Team!$G42="",Settings!$B$4,Team!$G42)*(1-N(Team!$H42)/12/Settings!$B$19),0))</f>
        <v/>
      </c>
      <c r="P107" s="19" t="str">
        <f aca="false">IF($A107="","",SUM(D107:O107))</f>
        <v/>
      </c>
      <c r="Q107" s="2"/>
      <c r="R107" s="2"/>
      <c r="S107" s="2"/>
    </row>
    <row r="108" customFormat="false" ht="15" hidden="false" customHeight="false" outlineLevel="0" collapsed="false">
      <c r="A108" s="26" t="str">
        <f aca="false">IF(Team!$A43="","",Team!$A43)</f>
        <v/>
      </c>
      <c r="B108" s="26" t="str">
        <f aca="false">IF(Team!$A43="","",Team!$B43)</f>
        <v/>
      </c>
      <c r="C108" s="26" t="str">
        <f aca="false">IF(Team!$A43="","",Team!$C43)</f>
        <v/>
      </c>
      <c r="D108" s="43" t="str">
        <f aca="false">IF($A108="","",IF(AND(IF(Team!$I43="",DATE(Settings!$B$3,1,1),Team!$I43)&lt;=EOMONTH(D$69,0),IF(Team!$J43="",DATE(Settings!$B$3,12,31),Team!$J43)&gt;=D$69),IF(Team!$G43="",Settings!$B$4,Team!$G43)*(1-N(Team!$H43)/12/Settings!$B$8),0))</f>
        <v/>
      </c>
      <c r="E108" s="43" t="str">
        <f aca="false">IF($A108="","",IF(AND(IF(Team!$I43="",DATE(Settings!$B$3,1,1),Team!$I43)&lt;=EOMONTH(E$69,0),IF(Team!$J43="",DATE(Settings!$B$3,12,31),Team!$J43)&gt;=E$69),IF(Team!$G43="",Settings!$B$4,Team!$G43)*(1-N(Team!$H43)/12/Settings!$B$9),0))</f>
        <v/>
      </c>
      <c r="F108" s="43" t="str">
        <f aca="false">IF($A108="","",IF(AND(IF(Team!$I43="",DATE(Settings!$B$3,1,1),Team!$I43)&lt;=EOMONTH(F$69,0),IF(Team!$J43="",DATE(Settings!$B$3,12,31),Team!$J43)&gt;=F$69),IF(Team!$G43="",Settings!$B$4,Team!$G43)*(1-N(Team!$H43)/12/Settings!$B$10),0))</f>
        <v/>
      </c>
      <c r="G108" s="43" t="str">
        <f aca="false">IF($A108="","",IF(AND(IF(Team!$I43="",DATE(Settings!$B$3,1,1),Team!$I43)&lt;=EOMONTH(G$69,0),IF(Team!$J43="",DATE(Settings!$B$3,12,31),Team!$J43)&gt;=G$69),IF(Team!$G43="",Settings!$B$4,Team!$G43)*(1-N(Team!$H43)/12/Settings!$B$11),0))</f>
        <v/>
      </c>
      <c r="H108" s="43" t="str">
        <f aca="false">IF($A108="","",IF(AND(IF(Team!$I43="",DATE(Settings!$B$3,1,1),Team!$I43)&lt;=EOMONTH(H$69,0),IF(Team!$J43="",DATE(Settings!$B$3,12,31),Team!$J43)&gt;=H$69),IF(Team!$G43="",Settings!$B$4,Team!$G43)*(1-N(Team!$H43)/12/Settings!$B$12),0))</f>
        <v/>
      </c>
      <c r="I108" s="43" t="str">
        <f aca="false">IF($A108="","",IF(AND(IF(Team!$I43="",DATE(Settings!$B$3,1,1),Team!$I43)&lt;=EOMONTH(I$69,0),IF(Team!$J43="",DATE(Settings!$B$3,12,31),Team!$J43)&gt;=I$69),IF(Team!$G43="",Settings!$B$4,Team!$G43)*(1-N(Team!$H43)/12/Settings!$B$13),0))</f>
        <v/>
      </c>
      <c r="J108" s="43" t="str">
        <f aca="false">IF($A108="","",IF(AND(IF(Team!$I43="",DATE(Settings!$B$3,1,1),Team!$I43)&lt;=EOMONTH(J$69,0),IF(Team!$J43="",DATE(Settings!$B$3,12,31),Team!$J43)&gt;=J$69),IF(Team!$G43="",Settings!$B$4,Team!$G43)*(1-N(Team!$H43)/12/Settings!$B$14),0))</f>
        <v/>
      </c>
      <c r="K108" s="43" t="str">
        <f aca="false">IF($A108="","",IF(AND(IF(Team!$I43="",DATE(Settings!$B$3,1,1),Team!$I43)&lt;=EOMONTH(K$69,0),IF(Team!$J43="",DATE(Settings!$B$3,12,31),Team!$J43)&gt;=K$69),IF(Team!$G43="",Settings!$B$4,Team!$G43)*(1-N(Team!$H43)/12/Settings!$B$15),0))</f>
        <v/>
      </c>
      <c r="L108" s="43" t="str">
        <f aca="false">IF($A108="","",IF(AND(IF(Team!$I43="",DATE(Settings!$B$3,1,1),Team!$I43)&lt;=EOMONTH(L$69,0),IF(Team!$J43="",DATE(Settings!$B$3,12,31),Team!$J43)&gt;=L$69),IF(Team!$G43="",Settings!$B$4,Team!$G43)*(1-N(Team!$H43)/12/Settings!$B$16),0))</f>
        <v/>
      </c>
      <c r="M108" s="43" t="str">
        <f aca="false">IF($A108="","",IF(AND(IF(Team!$I43="",DATE(Settings!$B$3,1,1),Team!$I43)&lt;=EOMONTH(M$69,0),IF(Team!$J43="",DATE(Settings!$B$3,12,31),Team!$J43)&gt;=M$69),IF(Team!$G43="",Settings!$B$4,Team!$G43)*(1-N(Team!$H43)/12/Settings!$B$17),0))</f>
        <v/>
      </c>
      <c r="N108" s="43" t="str">
        <f aca="false">IF($A108="","",IF(AND(IF(Team!$I43="",DATE(Settings!$B$3,1,1),Team!$I43)&lt;=EOMONTH(N$69,0),IF(Team!$J43="",DATE(Settings!$B$3,12,31),Team!$J43)&gt;=N$69),IF(Team!$G43="",Settings!$B$4,Team!$G43)*(1-N(Team!$H43)/12/Settings!$B$18),0))</f>
        <v/>
      </c>
      <c r="O108" s="43" t="str">
        <f aca="false">IF($A108="","",IF(AND(IF(Team!$I43="",DATE(Settings!$B$3,1,1),Team!$I43)&lt;=EOMONTH(O$69,0),IF(Team!$J43="",DATE(Settings!$B$3,12,31),Team!$J43)&gt;=O$69),IF(Team!$G43="",Settings!$B$4,Team!$G43)*(1-N(Team!$H43)/12/Settings!$B$19),0))</f>
        <v/>
      </c>
      <c r="P108" s="19" t="str">
        <f aca="false">IF($A108="","",SUM(D108:O108))</f>
        <v/>
      </c>
      <c r="Q108" s="2"/>
      <c r="R108" s="2"/>
      <c r="S108" s="2"/>
    </row>
    <row r="109" customFormat="false" ht="15" hidden="false" customHeight="false" outlineLevel="0" collapsed="false">
      <c r="A109" s="26" t="str">
        <f aca="false">IF(Team!$A44="","",Team!$A44)</f>
        <v/>
      </c>
      <c r="B109" s="26" t="str">
        <f aca="false">IF(Team!$A44="","",Team!$B44)</f>
        <v/>
      </c>
      <c r="C109" s="26" t="str">
        <f aca="false">IF(Team!$A44="","",Team!$C44)</f>
        <v/>
      </c>
      <c r="D109" s="43" t="str">
        <f aca="false">IF($A109="","",IF(AND(IF(Team!$I44="",DATE(Settings!$B$3,1,1),Team!$I44)&lt;=EOMONTH(D$69,0),IF(Team!$J44="",DATE(Settings!$B$3,12,31),Team!$J44)&gt;=D$69),IF(Team!$G44="",Settings!$B$4,Team!$G44)*(1-N(Team!$H44)/12/Settings!$B$8),0))</f>
        <v/>
      </c>
      <c r="E109" s="43" t="str">
        <f aca="false">IF($A109="","",IF(AND(IF(Team!$I44="",DATE(Settings!$B$3,1,1),Team!$I44)&lt;=EOMONTH(E$69,0),IF(Team!$J44="",DATE(Settings!$B$3,12,31),Team!$J44)&gt;=E$69),IF(Team!$G44="",Settings!$B$4,Team!$G44)*(1-N(Team!$H44)/12/Settings!$B$9),0))</f>
        <v/>
      </c>
      <c r="F109" s="43" t="str">
        <f aca="false">IF($A109="","",IF(AND(IF(Team!$I44="",DATE(Settings!$B$3,1,1),Team!$I44)&lt;=EOMONTH(F$69,0),IF(Team!$J44="",DATE(Settings!$B$3,12,31),Team!$J44)&gt;=F$69),IF(Team!$G44="",Settings!$B$4,Team!$G44)*(1-N(Team!$H44)/12/Settings!$B$10),0))</f>
        <v/>
      </c>
      <c r="G109" s="43" t="str">
        <f aca="false">IF($A109="","",IF(AND(IF(Team!$I44="",DATE(Settings!$B$3,1,1),Team!$I44)&lt;=EOMONTH(G$69,0),IF(Team!$J44="",DATE(Settings!$B$3,12,31),Team!$J44)&gt;=G$69),IF(Team!$G44="",Settings!$B$4,Team!$G44)*(1-N(Team!$H44)/12/Settings!$B$11),0))</f>
        <v/>
      </c>
      <c r="H109" s="43" t="str">
        <f aca="false">IF($A109="","",IF(AND(IF(Team!$I44="",DATE(Settings!$B$3,1,1),Team!$I44)&lt;=EOMONTH(H$69,0),IF(Team!$J44="",DATE(Settings!$B$3,12,31),Team!$J44)&gt;=H$69),IF(Team!$G44="",Settings!$B$4,Team!$G44)*(1-N(Team!$H44)/12/Settings!$B$12),0))</f>
        <v/>
      </c>
      <c r="I109" s="43" t="str">
        <f aca="false">IF($A109="","",IF(AND(IF(Team!$I44="",DATE(Settings!$B$3,1,1),Team!$I44)&lt;=EOMONTH(I$69,0),IF(Team!$J44="",DATE(Settings!$B$3,12,31),Team!$J44)&gt;=I$69),IF(Team!$G44="",Settings!$B$4,Team!$G44)*(1-N(Team!$H44)/12/Settings!$B$13),0))</f>
        <v/>
      </c>
      <c r="J109" s="43" t="str">
        <f aca="false">IF($A109="","",IF(AND(IF(Team!$I44="",DATE(Settings!$B$3,1,1),Team!$I44)&lt;=EOMONTH(J$69,0),IF(Team!$J44="",DATE(Settings!$B$3,12,31),Team!$J44)&gt;=J$69),IF(Team!$G44="",Settings!$B$4,Team!$G44)*(1-N(Team!$H44)/12/Settings!$B$14),0))</f>
        <v/>
      </c>
      <c r="K109" s="43" t="str">
        <f aca="false">IF($A109="","",IF(AND(IF(Team!$I44="",DATE(Settings!$B$3,1,1),Team!$I44)&lt;=EOMONTH(K$69,0),IF(Team!$J44="",DATE(Settings!$B$3,12,31),Team!$J44)&gt;=K$69),IF(Team!$G44="",Settings!$B$4,Team!$G44)*(1-N(Team!$H44)/12/Settings!$B$15),0))</f>
        <v/>
      </c>
      <c r="L109" s="43" t="str">
        <f aca="false">IF($A109="","",IF(AND(IF(Team!$I44="",DATE(Settings!$B$3,1,1),Team!$I44)&lt;=EOMONTH(L$69,0),IF(Team!$J44="",DATE(Settings!$B$3,12,31),Team!$J44)&gt;=L$69),IF(Team!$G44="",Settings!$B$4,Team!$G44)*(1-N(Team!$H44)/12/Settings!$B$16),0))</f>
        <v/>
      </c>
      <c r="M109" s="43" t="str">
        <f aca="false">IF($A109="","",IF(AND(IF(Team!$I44="",DATE(Settings!$B$3,1,1),Team!$I44)&lt;=EOMONTH(M$69,0),IF(Team!$J44="",DATE(Settings!$B$3,12,31),Team!$J44)&gt;=M$69),IF(Team!$G44="",Settings!$B$4,Team!$G44)*(1-N(Team!$H44)/12/Settings!$B$17),0))</f>
        <v/>
      </c>
      <c r="N109" s="43" t="str">
        <f aca="false">IF($A109="","",IF(AND(IF(Team!$I44="",DATE(Settings!$B$3,1,1),Team!$I44)&lt;=EOMONTH(N$69,0),IF(Team!$J44="",DATE(Settings!$B$3,12,31),Team!$J44)&gt;=N$69),IF(Team!$G44="",Settings!$B$4,Team!$G44)*(1-N(Team!$H44)/12/Settings!$B$18),0))</f>
        <v/>
      </c>
      <c r="O109" s="43" t="str">
        <f aca="false">IF($A109="","",IF(AND(IF(Team!$I44="",DATE(Settings!$B$3,1,1),Team!$I44)&lt;=EOMONTH(O$69,0),IF(Team!$J44="",DATE(Settings!$B$3,12,31),Team!$J44)&gt;=O$69),IF(Team!$G44="",Settings!$B$4,Team!$G44)*(1-N(Team!$H44)/12/Settings!$B$19),0))</f>
        <v/>
      </c>
      <c r="P109" s="19" t="str">
        <f aca="false">IF($A109="","",SUM(D109:O109))</f>
        <v/>
      </c>
      <c r="Q109" s="2"/>
      <c r="R109" s="2"/>
      <c r="S109" s="2"/>
    </row>
    <row r="110" customFormat="false" ht="15" hidden="false" customHeight="false" outlineLevel="0" collapsed="false">
      <c r="A110" s="26" t="str">
        <f aca="false">IF(Team!$A45="","",Team!$A45)</f>
        <v/>
      </c>
      <c r="B110" s="26" t="str">
        <f aca="false">IF(Team!$A45="","",Team!$B45)</f>
        <v/>
      </c>
      <c r="C110" s="26" t="str">
        <f aca="false">IF(Team!$A45="","",Team!$C45)</f>
        <v/>
      </c>
      <c r="D110" s="43" t="str">
        <f aca="false">IF($A110="","",IF(AND(IF(Team!$I45="",DATE(Settings!$B$3,1,1),Team!$I45)&lt;=EOMONTH(D$69,0),IF(Team!$J45="",DATE(Settings!$B$3,12,31),Team!$J45)&gt;=D$69),IF(Team!$G45="",Settings!$B$4,Team!$G45)*(1-N(Team!$H45)/12/Settings!$B$8),0))</f>
        <v/>
      </c>
      <c r="E110" s="43" t="str">
        <f aca="false">IF($A110="","",IF(AND(IF(Team!$I45="",DATE(Settings!$B$3,1,1),Team!$I45)&lt;=EOMONTH(E$69,0),IF(Team!$J45="",DATE(Settings!$B$3,12,31),Team!$J45)&gt;=E$69),IF(Team!$G45="",Settings!$B$4,Team!$G45)*(1-N(Team!$H45)/12/Settings!$B$9),0))</f>
        <v/>
      </c>
      <c r="F110" s="43" t="str">
        <f aca="false">IF($A110="","",IF(AND(IF(Team!$I45="",DATE(Settings!$B$3,1,1),Team!$I45)&lt;=EOMONTH(F$69,0),IF(Team!$J45="",DATE(Settings!$B$3,12,31),Team!$J45)&gt;=F$69),IF(Team!$G45="",Settings!$B$4,Team!$G45)*(1-N(Team!$H45)/12/Settings!$B$10),0))</f>
        <v/>
      </c>
      <c r="G110" s="43" t="str">
        <f aca="false">IF($A110="","",IF(AND(IF(Team!$I45="",DATE(Settings!$B$3,1,1),Team!$I45)&lt;=EOMONTH(G$69,0),IF(Team!$J45="",DATE(Settings!$B$3,12,31),Team!$J45)&gt;=G$69),IF(Team!$G45="",Settings!$B$4,Team!$G45)*(1-N(Team!$H45)/12/Settings!$B$11),0))</f>
        <v/>
      </c>
      <c r="H110" s="43" t="str">
        <f aca="false">IF($A110="","",IF(AND(IF(Team!$I45="",DATE(Settings!$B$3,1,1),Team!$I45)&lt;=EOMONTH(H$69,0),IF(Team!$J45="",DATE(Settings!$B$3,12,31),Team!$J45)&gt;=H$69),IF(Team!$G45="",Settings!$B$4,Team!$G45)*(1-N(Team!$H45)/12/Settings!$B$12),0))</f>
        <v/>
      </c>
      <c r="I110" s="43" t="str">
        <f aca="false">IF($A110="","",IF(AND(IF(Team!$I45="",DATE(Settings!$B$3,1,1),Team!$I45)&lt;=EOMONTH(I$69,0),IF(Team!$J45="",DATE(Settings!$B$3,12,31),Team!$J45)&gt;=I$69),IF(Team!$G45="",Settings!$B$4,Team!$G45)*(1-N(Team!$H45)/12/Settings!$B$13),0))</f>
        <v/>
      </c>
      <c r="J110" s="43" t="str">
        <f aca="false">IF($A110="","",IF(AND(IF(Team!$I45="",DATE(Settings!$B$3,1,1),Team!$I45)&lt;=EOMONTH(J$69,0),IF(Team!$J45="",DATE(Settings!$B$3,12,31),Team!$J45)&gt;=J$69),IF(Team!$G45="",Settings!$B$4,Team!$G45)*(1-N(Team!$H45)/12/Settings!$B$14),0))</f>
        <v/>
      </c>
      <c r="K110" s="43" t="str">
        <f aca="false">IF($A110="","",IF(AND(IF(Team!$I45="",DATE(Settings!$B$3,1,1),Team!$I45)&lt;=EOMONTH(K$69,0),IF(Team!$J45="",DATE(Settings!$B$3,12,31),Team!$J45)&gt;=K$69),IF(Team!$G45="",Settings!$B$4,Team!$G45)*(1-N(Team!$H45)/12/Settings!$B$15),0))</f>
        <v/>
      </c>
      <c r="L110" s="43" t="str">
        <f aca="false">IF($A110="","",IF(AND(IF(Team!$I45="",DATE(Settings!$B$3,1,1),Team!$I45)&lt;=EOMONTH(L$69,0),IF(Team!$J45="",DATE(Settings!$B$3,12,31),Team!$J45)&gt;=L$69),IF(Team!$G45="",Settings!$B$4,Team!$G45)*(1-N(Team!$H45)/12/Settings!$B$16),0))</f>
        <v/>
      </c>
      <c r="M110" s="43" t="str">
        <f aca="false">IF($A110="","",IF(AND(IF(Team!$I45="",DATE(Settings!$B$3,1,1),Team!$I45)&lt;=EOMONTH(M$69,0),IF(Team!$J45="",DATE(Settings!$B$3,12,31),Team!$J45)&gt;=M$69),IF(Team!$G45="",Settings!$B$4,Team!$G45)*(1-N(Team!$H45)/12/Settings!$B$17),0))</f>
        <v/>
      </c>
      <c r="N110" s="43" t="str">
        <f aca="false">IF($A110="","",IF(AND(IF(Team!$I45="",DATE(Settings!$B$3,1,1),Team!$I45)&lt;=EOMONTH(N$69,0),IF(Team!$J45="",DATE(Settings!$B$3,12,31),Team!$J45)&gt;=N$69),IF(Team!$G45="",Settings!$B$4,Team!$G45)*(1-N(Team!$H45)/12/Settings!$B$18),0))</f>
        <v/>
      </c>
      <c r="O110" s="43" t="str">
        <f aca="false">IF($A110="","",IF(AND(IF(Team!$I45="",DATE(Settings!$B$3,1,1),Team!$I45)&lt;=EOMONTH(O$69,0),IF(Team!$J45="",DATE(Settings!$B$3,12,31),Team!$J45)&gt;=O$69),IF(Team!$G45="",Settings!$B$4,Team!$G45)*(1-N(Team!$H45)/12/Settings!$B$19),0))</f>
        <v/>
      </c>
      <c r="P110" s="19" t="str">
        <f aca="false">IF($A110="","",SUM(D110:O110))</f>
        <v/>
      </c>
      <c r="Q110" s="2"/>
      <c r="R110" s="2"/>
      <c r="S110" s="2"/>
    </row>
    <row r="111" customFormat="false" ht="15" hidden="false" customHeight="false" outlineLevel="0" collapsed="false">
      <c r="A111" s="26" t="str">
        <f aca="false">IF(Team!$A46="","",Team!$A46)</f>
        <v/>
      </c>
      <c r="B111" s="26" t="str">
        <f aca="false">IF(Team!$A46="","",Team!$B46)</f>
        <v/>
      </c>
      <c r="C111" s="26" t="str">
        <f aca="false">IF(Team!$A46="","",Team!$C46)</f>
        <v/>
      </c>
      <c r="D111" s="43" t="str">
        <f aca="false">IF($A111="","",IF(AND(IF(Team!$I46="",DATE(Settings!$B$3,1,1),Team!$I46)&lt;=EOMONTH(D$69,0),IF(Team!$J46="",DATE(Settings!$B$3,12,31),Team!$J46)&gt;=D$69),IF(Team!$G46="",Settings!$B$4,Team!$G46)*(1-N(Team!$H46)/12/Settings!$B$8),0))</f>
        <v/>
      </c>
      <c r="E111" s="43" t="str">
        <f aca="false">IF($A111="","",IF(AND(IF(Team!$I46="",DATE(Settings!$B$3,1,1),Team!$I46)&lt;=EOMONTH(E$69,0),IF(Team!$J46="",DATE(Settings!$B$3,12,31),Team!$J46)&gt;=E$69),IF(Team!$G46="",Settings!$B$4,Team!$G46)*(1-N(Team!$H46)/12/Settings!$B$9),0))</f>
        <v/>
      </c>
      <c r="F111" s="43" t="str">
        <f aca="false">IF($A111="","",IF(AND(IF(Team!$I46="",DATE(Settings!$B$3,1,1),Team!$I46)&lt;=EOMONTH(F$69,0),IF(Team!$J46="",DATE(Settings!$B$3,12,31),Team!$J46)&gt;=F$69),IF(Team!$G46="",Settings!$B$4,Team!$G46)*(1-N(Team!$H46)/12/Settings!$B$10),0))</f>
        <v/>
      </c>
      <c r="G111" s="43" t="str">
        <f aca="false">IF($A111="","",IF(AND(IF(Team!$I46="",DATE(Settings!$B$3,1,1),Team!$I46)&lt;=EOMONTH(G$69,0),IF(Team!$J46="",DATE(Settings!$B$3,12,31),Team!$J46)&gt;=G$69),IF(Team!$G46="",Settings!$B$4,Team!$G46)*(1-N(Team!$H46)/12/Settings!$B$11),0))</f>
        <v/>
      </c>
      <c r="H111" s="43" t="str">
        <f aca="false">IF($A111="","",IF(AND(IF(Team!$I46="",DATE(Settings!$B$3,1,1),Team!$I46)&lt;=EOMONTH(H$69,0),IF(Team!$J46="",DATE(Settings!$B$3,12,31),Team!$J46)&gt;=H$69),IF(Team!$G46="",Settings!$B$4,Team!$G46)*(1-N(Team!$H46)/12/Settings!$B$12),0))</f>
        <v/>
      </c>
      <c r="I111" s="43" t="str">
        <f aca="false">IF($A111="","",IF(AND(IF(Team!$I46="",DATE(Settings!$B$3,1,1),Team!$I46)&lt;=EOMONTH(I$69,0),IF(Team!$J46="",DATE(Settings!$B$3,12,31),Team!$J46)&gt;=I$69),IF(Team!$G46="",Settings!$B$4,Team!$G46)*(1-N(Team!$H46)/12/Settings!$B$13),0))</f>
        <v/>
      </c>
      <c r="J111" s="43" t="str">
        <f aca="false">IF($A111="","",IF(AND(IF(Team!$I46="",DATE(Settings!$B$3,1,1),Team!$I46)&lt;=EOMONTH(J$69,0),IF(Team!$J46="",DATE(Settings!$B$3,12,31),Team!$J46)&gt;=J$69),IF(Team!$G46="",Settings!$B$4,Team!$G46)*(1-N(Team!$H46)/12/Settings!$B$14),0))</f>
        <v/>
      </c>
      <c r="K111" s="43" t="str">
        <f aca="false">IF($A111="","",IF(AND(IF(Team!$I46="",DATE(Settings!$B$3,1,1),Team!$I46)&lt;=EOMONTH(K$69,0),IF(Team!$J46="",DATE(Settings!$B$3,12,31),Team!$J46)&gt;=K$69),IF(Team!$G46="",Settings!$B$4,Team!$G46)*(1-N(Team!$H46)/12/Settings!$B$15),0))</f>
        <v/>
      </c>
      <c r="L111" s="43" t="str">
        <f aca="false">IF($A111="","",IF(AND(IF(Team!$I46="",DATE(Settings!$B$3,1,1),Team!$I46)&lt;=EOMONTH(L$69,0),IF(Team!$J46="",DATE(Settings!$B$3,12,31),Team!$J46)&gt;=L$69),IF(Team!$G46="",Settings!$B$4,Team!$G46)*(1-N(Team!$H46)/12/Settings!$B$16),0))</f>
        <v/>
      </c>
      <c r="M111" s="43" t="str">
        <f aca="false">IF($A111="","",IF(AND(IF(Team!$I46="",DATE(Settings!$B$3,1,1),Team!$I46)&lt;=EOMONTH(M$69,0),IF(Team!$J46="",DATE(Settings!$B$3,12,31),Team!$J46)&gt;=M$69),IF(Team!$G46="",Settings!$B$4,Team!$G46)*(1-N(Team!$H46)/12/Settings!$B$17),0))</f>
        <v/>
      </c>
      <c r="N111" s="43" t="str">
        <f aca="false">IF($A111="","",IF(AND(IF(Team!$I46="",DATE(Settings!$B$3,1,1),Team!$I46)&lt;=EOMONTH(N$69,0),IF(Team!$J46="",DATE(Settings!$B$3,12,31),Team!$J46)&gt;=N$69),IF(Team!$G46="",Settings!$B$4,Team!$G46)*(1-N(Team!$H46)/12/Settings!$B$18),0))</f>
        <v/>
      </c>
      <c r="O111" s="43" t="str">
        <f aca="false">IF($A111="","",IF(AND(IF(Team!$I46="",DATE(Settings!$B$3,1,1),Team!$I46)&lt;=EOMONTH(O$69,0),IF(Team!$J46="",DATE(Settings!$B$3,12,31),Team!$J46)&gt;=O$69),IF(Team!$G46="",Settings!$B$4,Team!$G46)*(1-N(Team!$H46)/12/Settings!$B$19),0))</f>
        <v/>
      </c>
      <c r="P111" s="19" t="str">
        <f aca="false">IF($A111="","",SUM(D111:O111))</f>
        <v/>
      </c>
      <c r="Q111" s="2"/>
      <c r="R111" s="2"/>
      <c r="S111" s="2"/>
    </row>
    <row r="112" customFormat="false" ht="15" hidden="false" customHeight="false" outlineLevel="0" collapsed="false">
      <c r="A112" s="26" t="str">
        <f aca="false">IF(Team!$A47="","",Team!$A47)</f>
        <v/>
      </c>
      <c r="B112" s="26" t="str">
        <f aca="false">IF(Team!$A47="","",Team!$B47)</f>
        <v/>
      </c>
      <c r="C112" s="26" t="str">
        <f aca="false">IF(Team!$A47="","",Team!$C47)</f>
        <v/>
      </c>
      <c r="D112" s="43" t="str">
        <f aca="false">IF($A112="","",IF(AND(IF(Team!$I47="",DATE(Settings!$B$3,1,1),Team!$I47)&lt;=EOMONTH(D$69,0),IF(Team!$J47="",DATE(Settings!$B$3,12,31),Team!$J47)&gt;=D$69),IF(Team!$G47="",Settings!$B$4,Team!$G47)*(1-N(Team!$H47)/12/Settings!$B$8),0))</f>
        <v/>
      </c>
      <c r="E112" s="43" t="str">
        <f aca="false">IF($A112="","",IF(AND(IF(Team!$I47="",DATE(Settings!$B$3,1,1),Team!$I47)&lt;=EOMONTH(E$69,0),IF(Team!$J47="",DATE(Settings!$B$3,12,31),Team!$J47)&gt;=E$69),IF(Team!$G47="",Settings!$B$4,Team!$G47)*(1-N(Team!$H47)/12/Settings!$B$9),0))</f>
        <v/>
      </c>
      <c r="F112" s="43" t="str">
        <f aca="false">IF($A112="","",IF(AND(IF(Team!$I47="",DATE(Settings!$B$3,1,1),Team!$I47)&lt;=EOMONTH(F$69,0),IF(Team!$J47="",DATE(Settings!$B$3,12,31),Team!$J47)&gt;=F$69),IF(Team!$G47="",Settings!$B$4,Team!$G47)*(1-N(Team!$H47)/12/Settings!$B$10),0))</f>
        <v/>
      </c>
      <c r="G112" s="43" t="str">
        <f aca="false">IF($A112="","",IF(AND(IF(Team!$I47="",DATE(Settings!$B$3,1,1),Team!$I47)&lt;=EOMONTH(G$69,0),IF(Team!$J47="",DATE(Settings!$B$3,12,31),Team!$J47)&gt;=G$69),IF(Team!$G47="",Settings!$B$4,Team!$G47)*(1-N(Team!$H47)/12/Settings!$B$11),0))</f>
        <v/>
      </c>
      <c r="H112" s="43" t="str">
        <f aca="false">IF($A112="","",IF(AND(IF(Team!$I47="",DATE(Settings!$B$3,1,1),Team!$I47)&lt;=EOMONTH(H$69,0),IF(Team!$J47="",DATE(Settings!$B$3,12,31),Team!$J47)&gt;=H$69),IF(Team!$G47="",Settings!$B$4,Team!$G47)*(1-N(Team!$H47)/12/Settings!$B$12),0))</f>
        <v/>
      </c>
      <c r="I112" s="43" t="str">
        <f aca="false">IF($A112="","",IF(AND(IF(Team!$I47="",DATE(Settings!$B$3,1,1),Team!$I47)&lt;=EOMONTH(I$69,0),IF(Team!$J47="",DATE(Settings!$B$3,12,31),Team!$J47)&gt;=I$69),IF(Team!$G47="",Settings!$B$4,Team!$G47)*(1-N(Team!$H47)/12/Settings!$B$13),0))</f>
        <v/>
      </c>
      <c r="J112" s="43" t="str">
        <f aca="false">IF($A112="","",IF(AND(IF(Team!$I47="",DATE(Settings!$B$3,1,1),Team!$I47)&lt;=EOMONTH(J$69,0),IF(Team!$J47="",DATE(Settings!$B$3,12,31),Team!$J47)&gt;=J$69),IF(Team!$G47="",Settings!$B$4,Team!$G47)*(1-N(Team!$H47)/12/Settings!$B$14),0))</f>
        <v/>
      </c>
      <c r="K112" s="43" t="str">
        <f aca="false">IF($A112="","",IF(AND(IF(Team!$I47="",DATE(Settings!$B$3,1,1),Team!$I47)&lt;=EOMONTH(K$69,0),IF(Team!$J47="",DATE(Settings!$B$3,12,31),Team!$J47)&gt;=K$69),IF(Team!$G47="",Settings!$B$4,Team!$G47)*(1-N(Team!$H47)/12/Settings!$B$15),0))</f>
        <v/>
      </c>
      <c r="L112" s="43" t="str">
        <f aca="false">IF($A112="","",IF(AND(IF(Team!$I47="",DATE(Settings!$B$3,1,1),Team!$I47)&lt;=EOMONTH(L$69,0),IF(Team!$J47="",DATE(Settings!$B$3,12,31),Team!$J47)&gt;=L$69),IF(Team!$G47="",Settings!$B$4,Team!$G47)*(1-N(Team!$H47)/12/Settings!$B$16),0))</f>
        <v/>
      </c>
      <c r="M112" s="43" t="str">
        <f aca="false">IF($A112="","",IF(AND(IF(Team!$I47="",DATE(Settings!$B$3,1,1),Team!$I47)&lt;=EOMONTH(M$69,0),IF(Team!$J47="",DATE(Settings!$B$3,12,31),Team!$J47)&gt;=M$69),IF(Team!$G47="",Settings!$B$4,Team!$G47)*(1-N(Team!$H47)/12/Settings!$B$17),0))</f>
        <v/>
      </c>
      <c r="N112" s="43" t="str">
        <f aca="false">IF($A112="","",IF(AND(IF(Team!$I47="",DATE(Settings!$B$3,1,1),Team!$I47)&lt;=EOMONTH(N$69,0),IF(Team!$J47="",DATE(Settings!$B$3,12,31),Team!$J47)&gt;=N$69),IF(Team!$G47="",Settings!$B$4,Team!$G47)*(1-N(Team!$H47)/12/Settings!$B$18),0))</f>
        <v/>
      </c>
      <c r="O112" s="43" t="str">
        <f aca="false">IF($A112="","",IF(AND(IF(Team!$I47="",DATE(Settings!$B$3,1,1),Team!$I47)&lt;=EOMONTH(O$69,0),IF(Team!$J47="",DATE(Settings!$B$3,12,31),Team!$J47)&gt;=O$69),IF(Team!$G47="",Settings!$B$4,Team!$G47)*(1-N(Team!$H47)/12/Settings!$B$19),0))</f>
        <v/>
      </c>
      <c r="P112" s="19" t="str">
        <f aca="false">IF($A112="","",SUM(D112:O112))</f>
        <v/>
      </c>
      <c r="Q112" s="2"/>
      <c r="R112" s="2"/>
      <c r="S112" s="2"/>
    </row>
    <row r="113" customFormat="false" ht="15" hidden="false" customHeight="false" outlineLevel="0" collapsed="false">
      <c r="A113" s="26" t="str">
        <f aca="false">IF(Team!$A48="","",Team!$A48)</f>
        <v/>
      </c>
      <c r="B113" s="26" t="str">
        <f aca="false">IF(Team!$A48="","",Team!$B48)</f>
        <v/>
      </c>
      <c r="C113" s="26" t="str">
        <f aca="false">IF(Team!$A48="","",Team!$C48)</f>
        <v/>
      </c>
      <c r="D113" s="43" t="str">
        <f aca="false">IF($A113="","",IF(AND(IF(Team!$I48="",DATE(Settings!$B$3,1,1),Team!$I48)&lt;=EOMONTH(D$69,0),IF(Team!$J48="",DATE(Settings!$B$3,12,31),Team!$J48)&gt;=D$69),IF(Team!$G48="",Settings!$B$4,Team!$G48)*(1-N(Team!$H48)/12/Settings!$B$8),0))</f>
        <v/>
      </c>
      <c r="E113" s="43" t="str">
        <f aca="false">IF($A113="","",IF(AND(IF(Team!$I48="",DATE(Settings!$B$3,1,1),Team!$I48)&lt;=EOMONTH(E$69,0),IF(Team!$J48="",DATE(Settings!$B$3,12,31),Team!$J48)&gt;=E$69),IF(Team!$G48="",Settings!$B$4,Team!$G48)*(1-N(Team!$H48)/12/Settings!$B$9),0))</f>
        <v/>
      </c>
      <c r="F113" s="43" t="str">
        <f aca="false">IF($A113="","",IF(AND(IF(Team!$I48="",DATE(Settings!$B$3,1,1),Team!$I48)&lt;=EOMONTH(F$69,0),IF(Team!$J48="",DATE(Settings!$B$3,12,31),Team!$J48)&gt;=F$69),IF(Team!$G48="",Settings!$B$4,Team!$G48)*(1-N(Team!$H48)/12/Settings!$B$10),0))</f>
        <v/>
      </c>
      <c r="G113" s="43" t="str">
        <f aca="false">IF($A113="","",IF(AND(IF(Team!$I48="",DATE(Settings!$B$3,1,1),Team!$I48)&lt;=EOMONTH(G$69,0),IF(Team!$J48="",DATE(Settings!$B$3,12,31),Team!$J48)&gt;=G$69),IF(Team!$G48="",Settings!$B$4,Team!$G48)*(1-N(Team!$H48)/12/Settings!$B$11),0))</f>
        <v/>
      </c>
      <c r="H113" s="43" t="str">
        <f aca="false">IF($A113="","",IF(AND(IF(Team!$I48="",DATE(Settings!$B$3,1,1),Team!$I48)&lt;=EOMONTH(H$69,0),IF(Team!$J48="",DATE(Settings!$B$3,12,31),Team!$J48)&gt;=H$69),IF(Team!$G48="",Settings!$B$4,Team!$G48)*(1-N(Team!$H48)/12/Settings!$B$12),0))</f>
        <v/>
      </c>
      <c r="I113" s="43" t="str">
        <f aca="false">IF($A113="","",IF(AND(IF(Team!$I48="",DATE(Settings!$B$3,1,1),Team!$I48)&lt;=EOMONTH(I$69,0),IF(Team!$J48="",DATE(Settings!$B$3,12,31),Team!$J48)&gt;=I$69),IF(Team!$G48="",Settings!$B$4,Team!$G48)*(1-N(Team!$H48)/12/Settings!$B$13),0))</f>
        <v/>
      </c>
      <c r="J113" s="43" t="str">
        <f aca="false">IF($A113="","",IF(AND(IF(Team!$I48="",DATE(Settings!$B$3,1,1),Team!$I48)&lt;=EOMONTH(J$69,0),IF(Team!$J48="",DATE(Settings!$B$3,12,31),Team!$J48)&gt;=J$69),IF(Team!$G48="",Settings!$B$4,Team!$G48)*(1-N(Team!$H48)/12/Settings!$B$14),0))</f>
        <v/>
      </c>
      <c r="K113" s="43" t="str">
        <f aca="false">IF($A113="","",IF(AND(IF(Team!$I48="",DATE(Settings!$B$3,1,1),Team!$I48)&lt;=EOMONTH(K$69,0),IF(Team!$J48="",DATE(Settings!$B$3,12,31),Team!$J48)&gt;=K$69),IF(Team!$G48="",Settings!$B$4,Team!$G48)*(1-N(Team!$H48)/12/Settings!$B$15),0))</f>
        <v/>
      </c>
      <c r="L113" s="43" t="str">
        <f aca="false">IF($A113="","",IF(AND(IF(Team!$I48="",DATE(Settings!$B$3,1,1),Team!$I48)&lt;=EOMONTH(L$69,0),IF(Team!$J48="",DATE(Settings!$B$3,12,31),Team!$J48)&gt;=L$69),IF(Team!$G48="",Settings!$B$4,Team!$G48)*(1-N(Team!$H48)/12/Settings!$B$16),0))</f>
        <v/>
      </c>
      <c r="M113" s="43" t="str">
        <f aca="false">IF($A113="","",IF(AND(IF(Team!$I48="",DATE(Settings!$B$3,1,1),Team!$I48)&lt;=EOMONTH(M$69,0),IF(Team!$J48="",DATE(Settings!$B$3,12,31),Team!$J48)&gt;=M$69),IF(Team!$G48="",Settings!$B$4,Team!$G48)*(1-N(Team!$H48)/12/Settings!$B$17),0))</f>
        <v/>
      </c>
      <c r="N113" s="43" t="str">
        <f aca="false">IF($A113="","",IF(AND(IF(Team!$I48="",DATE(Settings!$B$3,1,1),Team!$I48)&lt;=EOMONTH(N$69,0),IF(Team!$J48="",DATE(Settings!$B$3,12,31),Team!$J48)&gt;=N$69),IF(Team!$G48="",Settings!$B$4,Team!$G48)*(1-N(Team!$H48)/12/Settings!$B$18),0))</f>
        <v/>
      </c>
      <c r="O113" s="43" t="str">
        <f aca="false">IF($A113="","",IF(AND(IF(Team!$I48="",DATE(Settings!$B$3,1,1),Team!$I48)&lt;=EOMONTH(O$69,0),IF(Team!$J48="",DATE(Settings!$B$3,12,31),Team!$J48)&gt;=O$69),IF(Team!$G48="",Settings!$B$4,Team!$G48)*(1-N(Team!$H48)/12/Settings!$B$19),0))</f>
        <v/>
      </c>
      <c r="P113" s="19" t="str">
        <f aca="false">IF($A113="","",SUM(D113:O113))</f>
        <v/>
      </c>
      <c r="Q113" s="2"/>
      <c r="R113" s="2"/>
      <c r="S113" s="2"/>
    </row>
    <row r="114" customFormat="false" ht="15" hidden="false" customHeight="false" outlineLevel="0" collapsed="false">
      <c r="A114" s="26" t="str">
        <f aca="false">IF(Team!$A49="","",Team!$A49)</f>
        <v/>
      </c>
      <c r="B114" s="26" t="str">
        <f aca="false">IF(Team!$A49="","",Team!$B49)</f>
        <v/>
      </c>
      <c r="C114" s="26" t="str">
        <f aca="false">IF(Team!$A49="","",Team!$C49)</f>
        <v/>
      </c>
      <c r="D114" s="43" t="str">
        <f aca="false">IF($A114="","",IF(AND(IF(Team!$I49="",DATE(Settings!$B$3,1,1),Team!$I49)&lt;=EOMONTH(D$69,0),IF(Team!$J49="",DATE(Settings!$B$3,12,31),Team!$J49)&gt;=D$69),IF(Team!$G49="",Settings!$B$4,Team!$G49)*(1-N(Team!$H49)/12/Settings!$B$8),0))</f>
        <v/>
      </c>
      <c r="E114" s="43" t="str">
        <f aca="false">IF($A114="","",IF(AND(IF(Team!$I49="",DATE(Settings!$B$3,1,1),Team!$I49)&lt;=EOMONTH(E$69,0),IF(Team!$J49="",DATE(Settings!$B$3,12,31),Team!$J49)&gt;=E$69),IF(Team!$G49="",Settings!$B$4,Team!$G49)*(1-N(Team!$H49)/12/Settings!$B$9),0))</f>
        <v/>
      </c>
      <c r="F114" s="43" t="str">
        <f aca="false">IF($A114="","",IF(AND(IF(Team!$I49="",DATE(Settings!$B$3,1,1),Team!$I49)&lt;=EOMONTH(F$69,0),IF(Team!$J49="",DATE(Settings!$B$3,12,31),Team!$J49)&gt;=F$69),IF(Team!$G49="",Settings!$B$4,Team!$G49)*(1-N(Team!$H49)/12/Settings!$B$10),0))</f>
        <v/>
      </c>
      <c r="G114" s="43" t="str">
        <f aca="false">IF($A114="","",IF(AND(IF(Team!$I49="",DATE(Settings!$B$3,1,1),Team!$I49)&lt;=EOMONTH(G$69,0),IF(Team!$J49="",DATE(Settings!$B$3,12,31),Team!$J49)&gt;=G$69),IF(Team!$G49="",Settings!$B$4,Team!$G49)*(1-N(Team!$H49)/12/Settings!$B$11),0))</f>
        <v/>
      </c>
      <c r="H114" s="43" t="str">
        <f aca="false">IF($A114="","",IF(AND(IF(Team!$I49="",DATE(Settings!$B$3,1,1),Team!$I49)&lt;=EOMONTH(H$69,0),IF(Team!$J49="",DATE(Settings!$B$3,12,31),Team!$J49)&gt;=H$69),IF(Team!$G49="",Settings!$B$4,Team!$G49)*(1-N(Team!$H49)/12/Settings!$B$12),0))</f>
        <v/>
      </c>
      <c r="I114" s="43" t="str">
        <f aca="false">IF($A114="","",IF(AND(IF(Team!$I49="",DATE(Settings!$B$3,1,1),Team!$I49)&lt;=EOMONTH(I$69,0),IF(Team!$J49="",DATE(Settings!$B$3,12,31),Team!$J49)&gt;=I$69),IF(Team!$G49="",Settings!$B$4,Team!$G49)*(1-N(Team!$H49)/12/Settings!$B$13),0))</f>
        <v/>
      </c>
      <c r="J114" s="43" t="str">
        <f aca="false">IF($A114="","",IF(AND(IF(Team!$I49="",DATE(Settings!$B$3,1,1),Team!$I49)&lt;=EOMONTH(J$69,0),IF(Team!$J49="",DATE(Settings!$B$3,12,31),Team!$J49)&gt;=J$69),IF(Team!$G49="",Settings!$B$4,Team!$G49)*(1-N(Team!$H49)/12/Settings!$B$14),0))</f>
        <v/>
      </c>
      <c r="K114" s="43" t="str">
        <f aca="false">IF($A114="","",IF(AND(IF(Team!$I49="",DATE(Settings!$B$3,1,1),Team!$I49)&lt;=EOMONTH(K$69,0),IF(Team!$J49="",DATE(Settings!$B$3,12,31),Team!$J49)&gt;=K$69),IF(Team!$G49="",Settings!$B$4,Team!$G49)*(1-N(Team!$H49)/12/Settings!$B$15),0))</f>
        <v/>
      </c>
      <c r="L114" s="43" t="str">
        <f aca="false">IF($A114="","",IF(AND(IF(Team!$I49="",DATE(Settings!$B$3,1,1),Team!$I49)&lt;=EOMONTH(L$69,0),IF(Team!$J49="",DATE(Settings!$B$3,12,31),Team!$J49)&gt;=L$69),IF(Team!$G49="",Settings!$B$4,Team!$G49)*(1-N(Team!$H49)/12/Settings!$B$16),0))</f>
        <v/>
      </c>
      <c r="M114" s="43" t="str">
        <f aca="false">IF($A114="","",IF(AND(IF(Team!$I49="",DATE(Settings!$B$3,1,1),Team!$I49)&lt;=EOMONTH(M$69,0),IF(Team!$J49="",DATE(Settings!$B$3,12,31),Team!$J49)&gt;=M$69),IF(Team!$G49="",Settings!$B$4,Team!$G49)*(1-N(Team!$H49)/12/Settings!$B$17),0))</f>
        <v/>
      </c>
      <c r="N114" s="43" t="str">
        <f aca="false">IF($A114="","",IF(AND(IF(Team!$I49="",DATE(Settings!$B$3,1,1),Team!$I49)&lt;=EOMONTH(N$69,0),IF(Team!$J49="",DATE(Settings!$B$3,12,31),Team!$J49)&gt;=N$69),IF(Team!$G49="",Settings!$B$4,Team!$G49)*(1-N(Team!$H49)/12/Settings!$B$18),0))</f>
        <v/>
      </c>
      <c r="O114" s="43" t="str">
        <f aca="false">IF($A114="","",IF(AND(IF(Team!$I49="",DATE(Settings!$B$3,1,1),Team!$I49)&lt;=EOMONTH(O$69,0),IF(Team!$J49="",DATE(Settings!$B$3,12,31),Team!$J49)&gt;=O$69),IF(Team!$G49="",Settings!$B$4,Team!$G49)*(1-N(Team!$H49)/12/Settings!$B$19),0))</f>
        <v/>
      </c>
      <c r="P114" s="19" t="str">
        <f aca="false">IF($A114="","",SUM(D114:O114))</f>
        <v/>
      </c>
      <c r="Q114" s="2"/>
      <c r="R114" s="2"/>
      <c r="S114" s="2"/>
    </row>
    <row r="115" customFormat="false" ht="15" hidden="false" customHeight="false" outlineLevel="0" collapsed="false">
      <c r="A115" s="26" t="str">
        <f aca="false">IF(Team!$A50="","",Team!$A50)</f>
        <v/>
      </c>
      <c r="B115" s="26" t="str">
        <f aca="false">IF(Team!$A50="","",Team!$B50)</f>
        <v/>
      </c>
      <c r="C115" s="26" t="str">
        <f aca="false">IF(Team!$A50="","",Team!$C50)</f>
        <v/>
      </c>
      <c r="D115" s="43" t="str">
        <f aca="false">IF($A115="","",IF(AND(IF(Team!$I50="",DATE(Settings!$B$3,1,1),Team!$I50)&lt;=EOMONTH(D$69,0),IF(Team!$J50="",DATE(Settings!$B$3,12,31),Team!$J50)&gt;=D$69),IF(Team!$G50="",Settings!$B$4,Team!$G50)*(1-N(Team!$H50)/12/Settings!$B$8),0))</f>
        <v/>
      </c>
      <c r="E115" s="43" t="str">
        <f aca="false">IF($A115="","",IF(AND(IF(Team!$I50="",DATE(Settings!$B$3,1,1),Team!$I50)&lt;=EOMONTH(E$69,0),IF(Team!$J50="",DATE(Settings!$B$3,12,31),Team!$J50)&gt;=E$69),IF(Team!$G50="",Settings!$B$4,Team!$G50)*(1-N(Team!$H50)/12/Settings!$B$9),0))</f>
        <v/>
      </c>
      <c r="F115" s="43" t="str">
        <f aca="false">IF($A115="","",IF(AND(IF(Team!$I50="",DATE(Settings!$B$3,1,1),Team!$I50)&lt;=EOMONTH(F$69,0),IF(Team!$J50="",DATE(Settings!$B$3,12,31),Team!$J50)&gt;=F$69),IF(Team!$G50="",Settings!$B$4,Team!$G50)*(1-N(Team!$H50)/12/Settings!$B$10),0))</f>
        <v/>
      </c>
      <c r="G115" s="43" t="str">
        <f aca="false">IF($A115="","",IF(AND(IF(Team!$I50="",DATE(Settings!$B$3,1,1),Team!$I50)&lt;=EOMONTH(G$69,0),IF(Team!$J50="",DATE(Settings!$B$3,12,31),Team!$J50)&gt;=G$69),IF(Team!$G50="",Settings!$B$4,Team!$G50)*(1-N(Team!$H50)/12/Settings!$B$11),0))</f>
        <v/>
      </c>
      <c r="H115" s="43" t="str">
        <f aca="false">IF($A115="","",IF(AND(IF(Team!$I50="",DATE(Settings!$B$3,1,1),Team!$I50)&lt;=EOMONTH(H$69,0),IF(Team!$J50="",DATE(Settings!$B$3,12,31),Team!$J50)&gt;=H$69),IF(Team!$G50="",Settings!$B$4,Team!$G50)*(1-N(Team!$H50)/12/Settings!$B$12),0))</f>
        <v/>
      </c>
      <c r="I115" s="43" t="str">
        <f aca="false">IF($A115="","",IF(AND(IF(Team!$I50="",DATE(Settings!$B$3,1,1),Team!$I50)&lt;=EOMONTH(I$69,0),IF(Team!$J50="",DATE(Settings!$B$3,12,31),Team!$J50)&gt;=I$69),IF(Team!$G50="",Settings!$B$4,Team!$G50)*(1-N(Team!$H50)/12/Settings!$B$13),0))</f>
        <v/>
      </c>
      <c r="J115" s="43" t="str">
        <f aca="false">IF($A115="","",IF(AND(IF(Team!$I50="",DATE(Settings!$B$3,1,1),Team!$I50)&lt;=EOMONTH(J$69,0),IF(Team!$J50="",DATE(Settings!$B$3,12,31),Team!$J50)&gt;=J$69),IF(Team!$G50="",Settings!$B$4,Team!$G50)*(1-N(Team!$H50)/12/Settings!$B$14),0))</f>
        <v/>
      </c>
      <c r="K115" s="43" t="str">
        <f aca="false">IF($A115="","",IF(AND(IF(Team!$I50="",DATE(Settings!$B$3,1,1),Team!$I50)&lt;=EOMONTH(K$69,0),IF(Team!$J50="",DATE(Settings!$B$3,12,31),Team!$J50)&gt;=K$69),IF(Team!$G50="",Settings!$B$4,Team!$G50)*(1-N(Team!$H50)/12/Settings!$B$15),0))</f>
        <v/>
      </c>
      <c r="L115" s="43" t="str">
        <f aca="false">IF($A115="","",IF(AND(IF(Team!$I50="",DATE(Settings!$B$3,1,1),Team!$I50)&lt;=EOMONTH(L$69,0),IF(Team!$J50="",DATE(Settings!$B$3,12,31),Team!$J50)&gt;=L$69),IF(Team!$G50="",Settings!$B$4,Team!$G50)*(1-N(Team!$H50)/12/Settings!$B$16),0))</f>
        <v/>
      </c>
      <c r="M115" s="43" t="str">
        <f aca="false">IF($A115="","",IF(AND(IF(Team!$I50="",DATE(Settings!$B$3,1,1),Team!$I50)&lt;=EOMONTH(M$69,0),IF(Team!$J50="",DATE(Settings!$B$3,12,31),Team!$J50)&gt;=M$69),IF(Team!$G50="",Settings!$B$4,Team!$G50)*(1-N(Team!$H50)/12/Settings!$B$17),0))</f>
        <v/>
      </c>
      <c r="N115" s="43" t="str">
        <f aca="false">IF($A115="","",IF(AND(IF(Team!$I50="",DATE(Settings!$B$3,1,1),Team!$I50)&lt;=EOMONTH(N$69,0),IF(Team!$J50="",DATE(Settings!$B$3,12,31),Team!$J50)&gt;=N$69),IF(Team!$G50="",Settings!$B$4,Team!$G50)*(1-N(Team!$H50)/12/Settings!$B$18),0))</f>
        <v/>
      </c>
      <c r="O115" s="43" t="str">
        <f aca="false">IF($A115="","",IF(AND(IF(Team!$I50="",DATE(Settings!$B$3,1,1),Team!$I50)&lt;=EOMONTH(O$69,0),IF(Team!$J50="",DATE(Settings!$B$3,12,31),Team!$J50)&gt;=O$69),IF(Team!$G50="",Settings!$B$4,Team!$G50)*(1-N(Team!$H50)/12/Settings!$B$19),0))</f>
        <v/>
      </c>
      <c r="P115" s="19" t="str">
        <f aca="false">IF($A115="","",SUM(D115:O115))</f>
        <v/>
      </c>
      <c r="Q115" s="2"/>
      <c r="R115" s="2"/>
      <c r="S115" s="2"/>
    </row>
    <row r="116" customFormat="false" ht="15" hidden="false" customHeight="false" outlineLevel="0" collapsed="false">
      <c r="A116" s="26" t="str">
        <f aca="false">IF(Team!$A51="","",Team!$A51)</f>
        <v/>
      </c>
      <c r="B116" s="26" t="str">
        <f aca="false">IF(Team!$A51="","",Team!$B51)</f>
        <v/>
      </c>
      <c r="C116" s="26" t="str">
        <f aca="false">IF(Team!$A51="","",Team!$C51)</f>
        <v/>
      </c>
      <c r="D116" s="43" t="str">
        <f aca="false">IF($A116="","",IF(AND(IF(Team!$I51="",DATE(Settings!$B$3,1,1),Team!$I51)&lt;=EOMONTH(D$69,0),IF(Team!$J51="",DATE(Settings!$B$3,12,31),Team!$J51)&gt;=D$69),IF(Team!$G51="",Settings!$B$4,Team!$G51)*(1-N(Team!$H51)/12/Settings!$B$8),0))</f>
        <v/>
      </c>
      <c r="E116" s="43" t="str">
        <f aca="false">IF($A116="","",IF(AND(IF(Team!$I51="",DATE(Settings!$B$3,1,1),Team!$I51)&lt;=EOMONTH(E$69,0),IF(Team!$J51="",DATE(Settings!$B$3,12,31),Team!$J51)&gt;=E$69),IF(Team!$G51="",Settings!$B$4,Team!$G51)*(1-N(Team!$H51)/12/Settings!$B$9),0))</f>
        <v/>
      </c>
      <c r="F116" s="43" t="str">
        <f aca="false">IF($A116="","",IF(AND(IF(Team!$I51="",DATE(Settings!$B$3,1,1),Team!$I51)&lt;=EOMONTH(F$69,0),IF(Team!$J51="",DATE(Settings!$B$3,12,31),Team!$J51)&gt;=F$69),IF(Team!$G51="",Settings!$B$4,Team!$G51)*(1-N(Team!$H51)/12/Settings!$B$10),0))</f>
        <v/>
      </c>
      <c r="G116" s="43" t="str">
        <f aca="false">IF($A116="","",IF(AND(IF(Team!$I51="",DATE(Settings!$B$3,1,1),Team!$I51)&lt;=EOMONTH(G$69,0),IF(Team!$J51="",DATE(Settings!$B$3,12,31),Team!$J51)&gt;=G$69),IF(Team!$G51="",Settings!$B$4,Team!$G51)*(1-N(Team!$H51)/12/Settings!$B$11),0))</f>
        <v/>
      </c>
      <c r="H116" s="43" t="str">
        <f aca="false">IF($A116="","",IF(AND(IF(Team!$I51="",DATE(Settings!$B$3,1,1),Team!$I51)&lt;=EOMONTH(H$69,0),IF(Team!$J51="",DATE(Settings!$B$3,12,31),Team!$J51)&gt;=H$69),IF(Team!$G51="",Settings!$B$4,Team!$G51)*(1-N(Team!$H51)/12/Settings!$B$12),0))</f>
        <v/>
      </c>
      <c r="I116" s="43" t="str">
        <f aca="false">IF($A116="","",IF(AND(IF(Team!$I51="",DATE(Settings!$B$3,1,1),Team!$I51)&lt;=EOMONTH(I$69,0),IF(Team!$J51="",DATE(Settings!$B$3,12,31),Team!$J51)&gt;=I$69),IF(Team!$G51="",Settings!$B$4,Team!$G51)*(1-N(Team!$H51)/12/Settings!$B$13),0))</f>
        <v/>
      </c>
      <c r="J116" s="43" t="str">
        <f aca="false">IF($A116="","",IF(AND(IF(Team!$I51="",DATE(Settings!$B$3,1,1),Team!$I51)&lt;=EOMONTH(J$69,0),IF(Team!$J51="",DATE(Settings!$B$3,12,31),Team!$J51)&gt;=J$69),IF(Team!$G51="",Settings!$B$4,Team!$G51)*(1-N(Team!$H51)/12/Settings!$B$14),0))</f>
        <v/>
      </c>
      <c r="K116" s="43" t="str">
        <f aca="false">IF($A116="","",IF(AND(IF(Team!$I51="",DATE(Settings!$B$3,1,1),Team!$I51)&lt;=EOMONTH(K$69,0),IF(Team!$J51="",DATE(Settings!$B$3,12,31),Team!$J51)&gt;=K$69),IF(Team!$G51="",Settings!$B$4,Team!$G51)*(1-N(Team!$H51)/12/Settings!$B$15),0))</f>
        <v/>
      </c>
      <c r="L116" s="43" t="str">
        <f aca="false">IF($A116="","",IF(AND(IF(Team!$I51="",DATE(Settings!$B$3,1,1),Team!$I51)&lt;=EOMONTH(L$69,0),IF(Team!$J51="",DATE(Settings!$B$3,12,31),Team!$J51)&gt;=L$69),IF(Team!$G51="",Settings!$B$4,Team!$G51)*(1-N(Team!$H51)/12/Settings!$B$16),0))</f>
        <v/>
      </c>
      <c r="M116" s="43" t="str">
        <f aca="false">IF($A116="","",IF(AND(IF(Team!$I51="",DATE(Settings!$B$3,1,1),Team!$I51)&lt;=EOMONTH(M$69,0),IF(Team!$J51="",DATE(Settings!$B$3,12,31),Team!$J51)&gt;=M$69),IF(Team!$G51="",Settings!$B$4,Team!$G51)*(1-N(Team!$H51)/12/Settings!$B$17),0))</f>
        <v/>
      </c>
      <c r="N116" s="43" t="str">
        <f aca="false">IF($A116="","",IF(AND(IF(Team!$I51="",DATE(Settings!$B$3,1,1),Team!$I51)&lt;=EOMONTH(N$69,0),IF(Team!$J51="",DATE(Settings!$B$3,12,31),Team!$J51)&gt;=N$69),IF(Team!$G51="",Settings!$B$4,Team!$G51)*(1-N(Team!$H51)/12/Settings!$B$18),0))</f>
        <v/>
      </c>
      <c r="O116" s="43" t="str">
        <f aca="false">IF($A116="","",IF(AND(IF(Team!$I51="",DATE(Settings!$B$3,1,1),Team!$I51)&lt;=EOMONTH(O$69,0),IF(Team!$J51="",DATE(Settings!$B$3,12,31),Team!$J51)&gt;=O$69),IF(Team!$G51="",Settings!$B$4,Team!$G51)*(1-N(Team!$H51)/12/Settings!$B$19),0))</f>
        <v/>
      </c>
      <c r="P116" s="19" t="str">
        <f aca="false">IF($A116="","",SUM(D116:O116))</f>
        <v/>
      </c>
      <c r="Q116" s="2"/>
      <c r="R116" s="2"/>
      <c r="S116" s="2"/>
    </row>
    <row r="117" customFormat="false" ht="15" hidden="false" customHeight="false" outlineLevel="0" collapsed="false">
      <c r="A117" s="26" t="str">
        <f aca="false">IF(Team!$A52="","",Team!$A52)</f>
        <v/>
      </c>
      <c r="B117" s="26" t="str">
        <f aca="false">IF(Team!$A52="","",Team!$B52)</f>
        <v/>
      </c>
      <c r="C117" s="26" t="str">
        <f aca="false">IF(Team!$A52="","",Team!$C52)</f>
        <v/>
      </c>
      <c r="D117" s="43" t="str">
        <f aca="false">IF($A117="","",IF(AND(IF(Team!$I52="",DATE(Settings!$B$3,1,1),Team!$I52)&lt;=EOMONTH(D$69,0),IF(Team!$J52="",DATE(Settings!$B$3,12,31),Team!$J52)&gt;=D$69),IF(Team!$G52="",Settings!$B$4,Team!$G52)*(1-N(Team!$H52)/12/Settings!$B$8),0))</f>
        <v/>
      </c>
      <c r="E117" s="43" t="str">
        <f aca="false">IF($A117="","",IF(AND(IF(Team!$I52="",DATE(Settings!$B$3,1,1),Team!$I52)&lt;=EOMONTH(E$69,0),IF(Team!$J52="",DATE(Settings!$B$3,12,31),Team!$J52)&gt;=E$69),IF(Team!$G52="",Settings!$B$4,Team!$G52)*(1-N(Team!$H52)/12/Settings!$B$9),0))</f>
        <v/>
      </c>
      <c r="F117" s="43" t="str">
        <f aca="false">IF($A117="","",IF(AND(IF(Team!$I52="",DATE(Settings!$B$3,1,1),Team!$I52)&lt;=EOMONTH(F$69,0),IF(Team!$J52="",DATE(Settings!$B$3,12,31),Team!$J52)&gt;=F$69),IF(Team!$G52="",Settings!$B$4,Team!$G52)*(1-N(Team!$H52)/12/Settings!$B$10),0))</f>
        <v/>
      </c>
      <c r="G117" s="43" t="str">
        <f aca="false">IF($A117="","",IF(AND(IF(Team!$I52="",DATE(Settings!$B$3,1,1),Team!$I52)&lt;=EOMONTH(G$69,0),IF(Team!$J52="",DATE(Settings!$B$3,12,31),Team!$J52)&gt;=G$69),IF(Team!$G52="",Settings!$B$4,Team!$G52)*(1-N(Team!$H52)/12/Settings!$B$11),0))</f>
        <v/>
      </c>
      <c r="H117" s="43" t="str">
        <f aca="false">IF($A117="","",IF(AND(IF(Team!$I52="",DATE(Settings!$B$3,1,1),Team!$I52)&lt;=EOMONTH(H$69,0),IF(Team!$J52="",DATE(Settings!$B$3,12,31),Team!$J52)&gt;=H$69),IF(Team!$G52="",Settings!$B$4,Team!$G52)*(1-N(Team!$H52)/12/Settings!$B$12),0))</f>
        <v/>
      </c>
      <c r="I117" s="43" t="str">
        <f aca="false">IF($A117="","",IF(AND(IF(Team!$I52="",DATE(Settings!$B$3,1,1),Team!$I52)&lt;=EOMONTH(I$69,0),IF(Team!$J52="",DATE(Settings!$B$3,12,31),Team!$J52)&gt;=I$69),IF(Team!$G52="",Settings!$B$4,Team!$G52)*(1-N(Team!$H52)/12/Settings!$B$13),0))</f>
        <v/>
      </c>
      <c r="J117" s="43" t="str">
        <f aca="false">IF($A117="","",IF(AND(IF(Team!$I52="",DATE(Settings!$B$3,1,1),Team!$I52)&lt;=EOMONTH(J$69,0),IF(Team!$J52="",DATE(Settings!$B$3,12,31),Team!$J52)&gt;=J$69),IF(Team!$G52="",Settings!$B$4,Team!$G52)*(1-N(Team!$H52)/12/Settings!$B$14),0))</f>
        <v/>
      </c>
      <c r="K117" s="43" t="str">
        <f aca="false">IF($A117="","",IF(AND(IF(Team!$I52="",DATE(Settings!$B$3,1,1),Team!$I52)&lt;=EOMONTH(K$69,0),IF(Team!$J52="",DATE(Settings!$B$3,12,31),Team!$J52)&gt;=K$69),IF(Team!$G52="",Settings!$B$4,Team!$G52)*(1-N(Team!$H52)/12/Settings!$B$15),0))</f>
        <v/>
      </c>
      <c r="L117" s="43" t="str">
        <f aca="false">IF($A117="","",IF(AND(IF(Team!$I52="",DATE(Settings!$B$3,1,1),Team!$I52)&lt;=EOMONTH(L$69,0),IF(Team!$J52="",DATE(Settings!$B$3,12,31),Team!$J52)&gt;=L$69),IF(Team!$G52="",Settings!$B$4,Team!$G52)*(1-N(Team!$H52)/12/Settings!$B$16),0))</f>
        <v/>
      </c>
      <c r="M117" s="43" t="str">
        <f aca="false">IF($A117="","",IF(AND(IF(Team!$I52="",DATE(Settings!$B$3,1,1),Team!$I52)&lt;=EOMONTH(M$69,0),IF(Team!$J52="",DATE(Settings!$B$3,12,31),Team!$J52)&gt;=M$69),IF(Team!$G52="",Settings!$B$4,Team!$G52)*(1-N(Team!$H52)/12/Settings!$B$17),0))</f>
        <v/>
      </c>
      <c r="N117" s="43" t="str">
        <f aca="false">IF($A117="","",IF(AND(IF(Team!$I52="",DATE(Settings!$B$3,1,1),Team!$I52)&lt;=EOMONTH(N$69,0),IF(Team!$J52="",DATE(Settings!$B$3,12,31),Team!$J52)&gt;=N$69),IF(Team!$G52="",Settings!$B$4,Team!$G52)*(1-N(Team!$H52)/12/Settings!$B$18),0))</f>
        <v/>
      </c>
      <c r="O117" s="43" t="str">
        <f aca="false">IF($A117="","",IF(AND(IF(Team!$I52="",DATE(Settings!$B$3,1,1),Team!$I52)&lt;=EOMONTH(O$69,0),IF(Team!$J52="",DATE(Settings!$B$3,12,31),Team!$J52)&gt;=O$69),IF(Team!$G52="",Settings!$B$4,Team!$G52)*(1-N(Team!$H52)/12/Settings!$B$19),0))</f>
        <v/>
      </c>
      <c r="P117" s="19" t="str">
        <f aca="false">IF($A117="","",SUM(D117:O117))</f>
        <v/>
      </c>
      <c r="Q117" s="2"/>
      <c r="R117" s="2"/>
      <c r="S117" s="2"/>
    </row>
    <row r="118" customFormat="false" ht="15" hidden="false" customHeight="false" outlineLevel="0" collapsed="false">
      <c r="A118" s="26" t="str">
        <f aca="false">IF(Team!$A53="","",Team!$A53)</f>
        <v/>
      </c>
      <c r="B118" s="26" t="str">
        <f aca="false">IF(Team!$A53="","",Team!$B53)</f>
        <v/>
      </c>
      <c r="C118" s="26" t="str">
        <f aca="false">IF(Team!$A53="","",Team!$C53)</f>
        <v/>
      </c>
      <c r="D118" s="43" t="str">
        <f aca="false">IF($A118="","",IF(AND(IF(Team!$I53="",DATE(Settings!$B$3,1,1),Team!$I53)&lt;=EOMONTH(D$69,0),IF(Team!$J53="",DATE(Settings!$B$3,12,31),Team!$J53)&gt;=D$69),IF(Team!$G53="",Settings!$B$4,Team!$G53)*(1-N(Team!$H53)/12/Settings!$B$8),0))</f>
        <v/>
      </c>
      <c r="E118" s="43" t="str">
        <f aca="false">IF($A118="","",IF(AND(IF(Team!$I53="",DATE(Settings!$B$3,1,1),Team!$I53)&lt;=EOMONTH(E$69,0),IF(Team!$J53="",DATE(Settings!$B$3,12,31),Team!$J53)&gt;=E$69),IF(Team!$G53="",Settings!$B$4,Team!$G53)*(1-N(Team!$H53)/12/Settings!$B$9),0))</f>
        <v/>
      </c>
      <c r="F118" s="43" t="str">
        <f aca="false">IF($A118="","",IF(AND(IF(Team!$I53="",DATE(Settings!$B$3,1,1),Team!$I53)&lt;=EOMONTH(F$69,0),IF(Team!$J53="",DATE(Settings!$B$3,12,31),Team!$J53)&gt;=F$69),IF(Team!$G53="",Settings!$B$4,Team!$G53)*(1-N(Team!$H53)/12/Settings!$B$10),0))</f>
        <v/>
      </c>
      <c r="G118" s="43" t="str">
        <f aca="false">IF($A118="","",IF(AND(IF(Team!$I53="",DATE(Settings!$B$3,1,1),Team!$I53)&lt;=EOMONTH(G$69,0),IF(Team!$J53="",DATE(Settings!$B$3,12,31),Team!$J53)&gt;=G$69),IF(Team!$G53="",Settings!$B$4,Team!$G53)*(1-N(Team!$H53)/12/Settings!$B$11),0))</f>
        <v/>
      </c>
      <c r="H118" s="43" t="str">
        <f aca="false">IF($A118="","",IF(AND(IF(Team!$I53="",DATE(Settings!$B$3,1,1),Team!$I53)&lt;=EOMONTH(H$69,0),IF(Team!$J53="",DATE(Settings!$B$3,12,31),Team!$J53)&gt;=H$69),IF(Team!$G53="",Settings!$B$4,Team!$G53)*(1-N(Team!$H53)/12/Settings!$B$12),0))</f>
        <v/>
      </c>
      <c r="I118" s="43" t="str">
        <f aca="false">IF($A118="","",IF(AND(IF(Team!$I53="",DATE(Settings!$B$3,1,1),Team!$I53)&lt;=EOMONTH(I$69,0),IF(Team!$J53="",DATE(Settings!$B$3,12,31),Team!$J53)&gt;=I$69),IF(Team!$G53="",Settings!$B$4,Team!$G53)*(1-N(Team!$H53)/12/Settings!$B$13),0))</f>
        <v/>
      </c>
      <c r="J118" s="43" t="str">
        <f aca="false">IF($A118="","",IF(AND(IF(Team!$I53="",DATE(Settings!$B$3,1,1),Team!$I53)&lt;=EOMONTH(J$69,0),IF(Team!$J53="",DATE(Settings!$B$3,12,31),Team!$J53)&gt;=J$69),IF(Team!$G53="",Settings!$B$4,Team!$G53)*(1-N(Team!$H53)/12/Settings!$B$14),0))</f>
        <v/>
      </c>
      <c r="K118" s="43" t="str">
        <f aca="false">IF($A118="","",IF(AND(IF(Team!$I53="",DATE(Settings!$B$3,1,1),Team!$I53)&lt;=EOMONTH(K$69,0),IF(Team!$J53="",DATE(Settings!$B$3,12,31),Team!$J53)&gt;=K$69),IF(Team!$G53="",Settings!$B$4,Team!$G53)*(1-N(Team!$H53)/12/Settings!$B$15),0))</f>
        <v/>
      </c>
      <c r="L118" s="43" t="str">
        <f aca="false">IF($A118="","",IF(AND(IF(Team!$I53="",DATE(Settings!$B$3,1,1),Team!$I53)&lt;=EOMONTH(L$69,0),IF(Team!$J53="",DATE(Settings!$B$3,12,31),Team!$J53)&gt;=L$69),IF(Team!$G53="",Settings!$B$4,Team!$G53)*(1-N(Team!$H53)/12/Settings!$B$16),0))</f>
        <v/>
      </c>
      <c r="M118" s="43" t="str">
        <f aca="false">IF($A118="","",IF(AND(IF(Team!$I53="",DATE(Settings!$B$3,1,1),Team!$I53)&lt;=EOMONTH(M$69,0),IF(Team!$J53="",DATE(Settings!$B$3,12,31),Team!$J53)&gt;=M$69),IF(Team!$G53="",Settings!$B$4,Team!$G53)*(1-N(Team!$H53)/12/Settings!$B$17),0))</f>
        <v/>
      </c>
      <c r="N118" s="43" t="str">
        <f aca="false">IF($A118="","",IF(AND(IF(Team!$I53="",DATE(Settings!$B$3,1,1),Team!$I53)&lt;=EOMONTH(N$69,0),IF(Team!$J53="",DATE(Settings!$B$3,12,31),Team!$J53)&gt;=N$69),IF(Team!$G53="",Settings!$B$4,Team!$G53)*(1-N(Team!$H53)/12/Settings!$B$18),0))</f>
        <v/>
      </c>
      <c r="O118" s="43" t="str">
        <f aca="false">IF($A118="","",IF(AND(IF(Team!$I53="",DATE(Settings!$B$3,1,1),Team!$I53)&lt;=EOMONTH(O$69,0),IF(Team!$J53="",DATE(Settings!$B$3,12,31),Team!$J53)&gt;=O$69),IF(Team!$G53="",Settings!$B$4,Team!$G53)*(1-N(Team!$H53)/12/Settings!$B$19),0))</f>
        <v/>
      </c>
      <c r="P118" s="19" t="str">
        <f aca="false">IF($A118="","",SUM(D118:O118))</f>
        <v/>
      </c>
      <c r="Q118" s="2"/>
      <c r="R118" s="2"/>
      <c r="S118" s="2"/>
    </row>
    <row r="119" customFormat="false" ht="15" hidden="false" customHeight="false" outlineLevel="0" collapsed="false">
      <c r="A119" s="26" t="str">
        <f aca="false">IF(Team!$A54="","",Team!$A54)</f>
        <v/>
      </c>
      <c r="B119" s="26" t="str">
        <f aca="false">IF(Team!$A54="","",Team!$B54)</f>
        <v/>
      </c>
      <c r="C119" s="26" t="str">
        <f aca="false">IF(Team!$A54="","",Team!$C54)</f>
        <v/>
      </c>
      <c r="D119" s="43" t="str">
        <f aca="false">IF($A119="","",IF(AND(IF(Team!$I54="",DATE(Settings!$B$3,1,1),Team!$I54)&lt;=EOMONTH(D$69,0),IF(Team!$J54="",DATE(Settings!$B$3,12,31),Team!$J54)&gt;=D$69),IF(Team!$G54="",Settings!$B$4,Team!$G54)*(1-N(Team!$H54)/12/Settings!$B$8),0))</f>
        <v/>
      </c>
      <c r="E119" s="43" t="str">
        <f aca="false">IF($A119="","",IF(AND(IF(Team!$I54="",DATE(Settings!$B$3,1,1),Team!$I54)&lt;=EOMONTH(E$69,0),IF(Team!$J54="",DATE(Settings!$B$3,12,31),Team!$J54)&gt;=E$69),IF(Team!$G54="",Settings!$B$4,Team!$G54)*(1-N(Team!$H54)/12/Settings!$B$9),0))</f>
        <v/>
      </c>
      <c r="F119" s="43" t="str">
        <f aca="false">IF($A119="","",IF(AND(IF(Team!$I54="",DATE(Settings!$B$3,1,1),Team!$I54)&lt;=EOMONTH(F$69,0),IF(Team!$J54="",DATE(Settings!$B$3,12,31),Team!$J54)&gt;=F$69),IF(Team!$G54="",Settings!$B$4,Team!$G54)*(1-N(Team!$H54)/12/Settings!$B$10),0))</f>
        <v/>
      </c>
      <c r="G119" s="43" t="str">
        <f aca="false">IF($A119="","",IF(AND(IF(Team!$I54="",DATE(Settings!$B$3,1,1),Team!$I54)&lt;=EOMONTH(G$69,0),IF(Team!$J54="",DATE(Settings!$B$3,12,31),Team!$J54)&gt;=G$69),IF(Team!$G54="",Settings!$B$4,Team!$G54)*(1-N(Team!$H54)/12/Settings!$B$11),0))</f>
        <v/>
      </c>
      <c r="H119" s="43" t="str">
        <f aca="false">IF($A119="","",IF(AND(IF(Team!$I54="",DATE(Settings!$B$3,1,1),Team!$I54)&lt;=EOMONTH(H$69,0),IF(Team!$J54="",DATE(Settings!$B$3,12,31),Team!$J54)&gt;=H$69),IF(Team!$G54="",Settings!$B$4,Team!$G54)*(1-N(Team!$H54)/12/Settings!$B$12),0))</f>
        <v/>
      </c>
      <c r="I119" s="43" t="str">
        <f aca="false">IF($A119="","",IF(AND(IF(Team!$I54="",DATE(Settings!$B$3,1,1),Team!$I54)&lt;=EOMONTH(I$69,0),IF(Team!$J54="",DATE(Settings!$B$3,12,31),Team!$J54)&gt;=I$69),IF(Team!$G54="",Settings!$B$4,Team!$G54)*(1-N(Team!$H54)/12/Settings!$B$13),0))</f>
        <v/>
      </c>
      <c r="J119" s="43" t="str">
        <f aca="false">IF($A119="","",IF(AND(IF(Team!$I54="",DATE(Settings!$B$3,1,1),Team!$I54)&lt;=EOMONTH(J$69,0),IF(Team!$J54="",DATE(Settings!$B$3,12,31),Team!$J54)&gt;=J$69),IF(Team!$G54="",Settings!$B$4,Team!$G54)*(1-N(Team!$H54)/12/Settings!$B$14),0))</f>
        <v/>
      </c>
      <c r="K119" s="43" t="str">
        <f aca="false">IF($A119="","",IF(AND(IF(Team!$I54="",DATE(Settings!$B$3,1,1),Team!$I54)&lt;=EOMONTH(K$69,0),IF(Team!$J54="",DATE(Settings!$B$3,12,31),Team!$J54)&gt;=K$69),IF(Team!$G54="",Settings!$B$4,Team!$G54)*(1-N(Team!$H54)/12/Settings!$B$15),0))</f>
        <v/>
      </c>
      <c r="L119" s="43" t="str">
        <f aca="false">IF($A119="","",IF(AND(IF(Team!$I54="",DATE(Settings!$B$3,1,1),Team!$I54)&lt;=EOMONTH(L$69,0),IF(Team!$J54="",DATE(Settings!$B$3,12,31),Team!$J54)&gt;=L$69),IF(Team!$G54="",Settings!$B$4,Team!$G54)*(1-N(Team!$H54)/12/Settings!$B$16),0))</f>
        <v/>
      </c>
      <c r="M119" s="43" t="str">
        <f aca="false">IF($A119="","",IF(AND(IF(Team!$I54="",DATE(Settings!$B$3,1,1),Team!$I54)&lt;=EOMONTH(M$69,0),IF(Team!$J54="",DATE(Settings!$B$3,12,31),Team!$J54)&gt;=M$69),IF(Team!$G54="",Settings!$B$4,Team!$G54)*(1-N(Team!$H54)/12/Settings!$B$17),0))</f>
        <v/>
      </c>
      <c r="N119" s="43" t="str">
        <f aca="false">IF($A119="","",IF(AND(IF(Team!$I54="",DATE(Settings!$B$3,1,1),Team!$I54)&lt;=EOMONTH(N$69,0),IF(Team!$J54="",DATE(Settings!$B$3,12,31),Team!$J54)&gt;=N$69),IF(Team!$G54="",Settings!$B$4,Team!$G54)*(1-N(Team!$H54)/12/Settings!$B$18),0))</f>
        <v/>
      </c>
      <c r="O119" s="43" t="str">
        <f aca="false">IF($A119="","",IF(AND(IF(Team!$I54="",DATE(Settings!$B$3,1,1),Team!$I54)&lt;=EOMONTH(O$69,0),IF(Team!$J54="",DATE(Settings!$B$3,12,31),Team!$J54)&gt;=O$69),IF(Team!$G54="",Settings!$B$4,Team!$G54)*(1-N(Team!$H54)/12/Settings!$B$19),0))</f>
        <v/>
      </c>
      <c r="P119" s="19" t="str">
        <f aca="false">IF($A119="","",SUM(D119:O119))</f>
        <v/>
      </c>
      <c r="Q119" s="2"/>
      <c r="R119" s="2"/>
      <c r="S119" s="2"/>
    </row>
    <row r="120" customFormat="false" ht="15" hidden="false" customHeight="false" outlineLevel="0" collapsed="false">
      <c r="A120" s="26" t="str">
        <f aca="false">IF(Team!$A55="","",Team!$A55)</f>
        <v/>
      </c>
      <c r="B120" s="26" t="str">
        <f aca="false">IF(Team!$A55="","",Team!$B55)</f>
        <v/>
      </c>
      <c r="C120" s="26" t="str">
        <f aca="false">IF(Team!$A55="","",Team!$C55)</f>
        <v/>
      </c>
      <c r="D120" s="43" t="str">
        <f aca="false">IF($A120="","",IF(AND(IF(Team!$I55="",DATE(Settings!$B$3,1,1),Team!$I55)&lt;=EOMONTH(D$69,0),IF(Team!$J55="",DATE(Settings!$B$3,12,31),Team!$J55)&gt;=D$69),IF(Team!$G55="",Settings!$B$4,Team!$G55)*(1-N(Team!$H55)/12/Settings!$B$8),0))</f>
        <v/>
      </c>
      <c r="E120" s="43" t="str">
        <f aca="false">IF($A120="","",IF(AND(IF(Team!$I55="",DATE(Settings!$B$3,1,1),Team!$I55)&lt;=EOMONTH(E$69,0),IF(Team!$J55="",DATE(Settings!$B$3,12,31),Team!$J55)&gt;=E$69),IF(Team!$G55="",Settings!$B$4,Team!$G55)*(1-N(Team!$H55)/12/Settings!$B$9),0))</f>
        <v/>
      </c>
      <c r="F120" s="43" t="str">
        <f aca="false">IF($A120="","",IF(AND(IF(Team!$I55="",DATE(Settings!$B$3,1,1),Team!$I55)&lt;=EOMONTH(F$69,0),IF(Team!$J55="",DATE(Settings!$B$3,12,31),Team!$J55)&gt;=F$69),IF(Team!$G55="",Settings!$B$4,Team!$G55)*(1-N(Team!$H55)/12/Settings!$B$10),0))</f>
        <v/>
      </c>
      <c r="G120" s="43" t="str">
        <f aca="false">IF($A120="","",IF(AND(IF(Team!$I55="",DATE(Settings!$B$3,1,1),Team!$I55)&lt;=EOMONTH(G$69,0),IF(Team!$J55="",DATE(Settings!$B$3,12,31),Team!$J55)&gt;=G$69),IF(Team!$G55="",Settings!$B$4,Team!$G55)*(1-N(Team!$H55)/12/Settings!$B$11),0))</f>
        <v/>
      </c>
      <c r="H120" s="43" t="str">
        <f aca="false">IF($A120="","",IF(AND(IF(Team!$I55="",DATE(Settings!$B$3,1,1),Team!$I55)&lt;=EOMONTH(H$69,0),IF(Team!$J55="",DATE(Settings!$B$3,12,31),Team!$J55)&gt;=H$69),IF(Team!$G55="",Settings!$B$4,Team!$G55)*(1-N(Team!$H55)/12/Settings!$B$12),0))</f>
        <v/>
      </c>
      <c r="I120" s="43" t="str">
        <f aca="false">IF($A120="","",IF(AND(IF(Team!$I55="",DATE(Settings!$B$3,1,1),Team!$I55)&lt;=EOMONTH(I$69,0),IF(Team!$J55="",DATE(Settings!$B$3,12,31),Team!$J55)&gt;=I$69),IF(Team!$G55="",Settings!$B$4,Team!$G55)*(1-N(Team!$H55)/12/Settings!$B$13),0))</f>
        <v/>
      </c>
      <c r="J120" s="43" t="str">
        <f aca="false">IF($A120="","",IF(AND(IF(Team!$I55="",DATE(Settings!$B$3,1,1),Team!$I55)&lt;=EOMONTH(J$69,0),IF(Team!$J55="",DATE(Settings!$B$3,12,31),Team!$J55)&gt;=J$69),IF(Team!$G55="",Settings!$B$4,Team!$G55)*(1-N(Team!$H55)/12/Settings!$B$14),0))</f>
        <v/>
      </c>
      <c r="K120" s="43" t="str">
        <f aca="false">IF($A120="","",IF(AND(IF(Team!$I55="",DATE(Settings!$B$3,1,1),Team!$I55)&lt;=EOMONTH(K$69,0),IF(Team!$J55="",DATE(Settings!$B$3,12,31),Team!$J55)&gt;=K$69),IF(Team!$G55="",Settings!$B$4,Team!$G55)*(1-N(Team!$H55)/12/Settings!$B$15),0))</f>
        <v/>
      </c>
      <c r="L120" s="43" t="str">
        <f aca="false">IF($A120="","",IF(AND(IF(Team!$I55="",DATE(Settings!$B$3,1,1),Team!$I55)&lt;=EOMONTH(L$69,0),IF(Team!$J55="",DATE(Settings!$B$3,12,31),Team!$J55)&gt;=L$69),IF(Team!$G55="",Settings!$B$4,Team!$G55)*(1-N(Team!$H55)/12/Settings!$B$16),0))</f>
        <v/>
      </c>
      <c r="M120" s="43" t="str">
        <f aca="false">IF($A120="","",IF(AND(IF(Team!$I55="",DATE(Settings!$B$3,1,1),Team!$I55)&lt;=EOMONTH(M$69,0),IF(Team!$J55="",DATE(Settings!$B$3,12,31),Team!$J55)&gt;=M$69),IF(Team!$G55="",Settings!$B$4,Team!$G55)*(1-N(Team!$H55)/12/Settings!$B$17),0))</f>
        <v/>
      </c>
      <c r="N120" s="43" t="str">
        <f aca="false">IF($A120="","",IF(AND(IF(Team!$I55="",DATE(Settings!$B$3,1,1),Team!$I55)&lt;=EOMONTH(N$69,0),IF(Team!$J55="",DATE(Settings!$B$3,12,31),Team!$J55)&gt;=N$69),IF(Team!$G55="",Settings!$B$4,Team!$G55)*(1-N(Team!$H55)/12/Settings!$B$18),0))</f>
        <v/>
      </c>
      <c r="O120" s="43" t="str">
        <f aca="false">IF($A120="","",IF(AND(IF(Team!$I55="",DATE(Settings!$B$3,1,1),Team!$I55)&lt;=EOMONTH(O$69,0),IF(Team!$J55="",DATE(Settings!$B$3,12,31),Team!$J55)&gt;=O$69),IF(Team!$G55="",Settings!$B$4,Team!$G55)*(1-N(Team!$H55)/12/Settings!$B$19),0))</f>
        <v/>
      </c>
      <c r="P120" s="19" t="str">
        <f aca="false">IF($A120="","",SUM(D120:O120))</f>
        <v/>
      </c>
      <c r="Q120" s="2"/>
      <c r="R120" s="2"/>
      <c r="S120" s="2"/>
    </row>
    <row r="121" customFormat="false" ht="15" hidden="false" customHeight="false" outlineLevel="0" collapsed="false">
      <c r="A121" s="26" t="str">
        <f aca="false">IF(Team!$A56="","",Team!$A56)</f>
        <v/>
      </c>
      <c r="B121" s="26" t="str">
        <f aca="false">IF(Team!$A56="","",Team!$B56)</f>
        <v/>
      </c>
      <c r="C121" s="26" t="str">
        <f aca="false">IF(Team!$A56="","",Team!$C56)</f>
        <v/>
      </c>
      <c r="D121" s="43" t="str">
        <f aca="false">IF($A121="","",IF(AND(IF(Team!$I56="",DATE(Settings!$B$3,1,1),Team!$I56)&lt;=EOMONTH(D$69,0),IF(Team!$J56="",DATE(Settings!$B$3,12,31),Team!$J56)&gt;=D$69),IF(Team!$G56="",Settings!$B$4,Team!$G56)*(1-N(Team!$H56)/12/Settings!$B$8),0))</f>
        <v/>
      </c>
      <c r="E121" s="43" t="str">
        <f aca="false">IF($A121="","",IF(AND(IF(Team!$I56="",DATE(Settings!$B$3,1,1),Team!$I56)&lt;=EOMONTH(E$69,0),IF(Team!$J56="",DATE(Settings!$B$3,12,31),Team!$J56)&gt;=E$69),IF(Team!$G56="",Settings!$B$4,Team!$G56)*(1-N(Team!$H56)/12/Settings!$B$9),0))</f>
        <v/>
      </c>
      <c r="F121" s="43" t="str">
        <f aca="false">IF($A121="","",IF(AND(IF(Team!$I56="",DATE(Settings!$B$3,1,1),Team!$I56)&lt;=EOMONTH(F$69,0),IF(Team!$J56="",DATE(Settings!$B$3,12,31),Team!$J56)&gt;=F$69),IF(Team!$G56="",Settings!$B$4,Team!$G56)*(1-N(Team!$H56)/12/Settings!$B$10),0))</f>
        <v/>
      </c>
      <c r="G121" s="43" t="str">
        <f aca="false">IF($A121="","",IF(AND(IF(Team!$I56="",DATE(Settings!$B$3,1,1),Team!$I56)&lt;=EOMONTH(G$69,0),IF(Team!$J56="",DATE(Settings!$B$3,12,31),Team!$J56)&gt;=G$69),IF(Team!$G56="",Settings!$B$4,Team!$G56)*(1-N(Team!$H56)/12/Settings!$B$11),0))</f>
        <v/>
      </c>
      <c r="H121" s="43" t="str">
        <f aca="false">IF($A121="","",IF(AND(IF(Team!$I56="",DATE(Settings!$B$3,1,1),Team!$I56)&lt;=EOMONTH(H$69,0),IF(Team!$J56="",DATE(Settings!$B$3,12,31),Team!$J56)&gt;=H$69),IF(Team!$G56="",Settings!$B$4,Team!$G56)*(1-N(Team!$H56)/12/Settings!$B$12),0))</f>
        <v/>
      </c>
      <c r="I121" s="43" t="str">
        <f aca="false">IF($A121="","",IF(AND(IF(Team!$I56="",DATE(Settings!$B$3,1,1),Team!$I56)&lt;=EOMONTH(I$69,0),IF(Team!$J56="",DATE(Settings!$B$3,12,31),Team!$J56)&gt;=I$69),IF(Team!$G56="",Settings!$B$4,Team!$G56)*(1-N(Team!$H56)/12/Settings!$B$13),0))</f>
        <v/>
      </c>
      <c r="J121" s="43" t="str">
        <f aca="false">IF($A121="","",IF(AND(IF(Team!$I56="",DATE(Settings!$B$3,1,1),Team!$I56)&lt;=EOMONTH(J$69,0),IF(Team!$J56="",DATE(Settings!$B$3,12,31),Team!$J56)&gt;=J$69),IF(Team!$G56="",Settings!$B$4,Team!$G56)*(1-N(Team!$H56)/12/Settings!$B$14),0))</f>
        <v/>
      </c>
      <c r="K121" s="43" t="str">
        <f aca="false">IF($A121="","",IF(AND(IF(Team!$I56="",DATE(Settings!$B$3,1,1),Team!$I56)&lt;=EOMONTH(K$69,0),IF(Team!$J56="",DATE(Settings!$B$3,12,31),Team!$J56)&gt;=K$69),IF(Team!$G56="",Settings!$B$4,Team!$G56)*(1-N(Team!$H56)/12/Settings!$B$15),0))</f>
        <v/>
      </c>
      <c r="L121" s="43" t="str">
        <f aca="false">IF($A121="","",IF(AND(IF(Team!$I56="",DATE(Settings!$B$3,1,1),Team!$I56)&lt;=EOMONTH(L$69,0),IF(Team!$J56="",DATE(Settings!$B$3,12,31),Team!$J56)&gt;=L$69),IF(Team!$G56="",Settings!$B$4,Team!$G56)*(1-N(Team!$H56)/12/Settings!$B$16),0))</f>
        <v/>
      </c>
      <c r="M121" s="43" t="str">
        <f aca="false">IF($A121="","",IF(AND(IF(Team!$I56="",DATE(Settings!$B$3,1,1),Team!$I56)&lt;=EOMONTH(M$69,0),IF(Team!$J56="",DATE(Settings!$B$3,12,31),Team!$J56)&gt;=M$69),IF(Team!$G56="",Settings!$B$4,Team!$G56)*(1-N(Team!$H56)/12/Settings!$B$17),0))</f>
        <v/>
      </c>
      <c r="N121" s="43" t="str">
        <f aca="false">IF($A121="","",IF(AND(IF(Team!$I56="",DATE(Settings!$B$3,1,1),Team!$I56)&lt;=EOMONTH(N$69,0),IF(Team!$J56="",DATE(Settings!$B$3,12,31),Team!$J56)&gt;=N$69),IF(Team!$G56="",Settings!$B$4,Team!$G56)*(1-N(Team!$H56)/12/Settings!$B$18),0))</f>
        <v/>
      </c>
      <c r="O121" s="43" t="str">
        <f aca="false">IF($A121="","",IF(AND(IF(Team!$I56="",DATE(Settings!$B$3,1,1),Team!$I56)&lt;=EOMONTH(O$69,0),IF(Team!$J56="",DATE(Settings!$B$3,12,31),Team!$J56)&gt;=O$69),IF(Team!$G56="",Settings!$B$4,Team!$G56)*(1-N(Team!$H56)/12/Settings!$B$19),0))</f>
        <v/>
      </c>
      <c r="P121" s="19" t="str">
        <f aca="false">IF($A121="","",SUM(D121:O121))</f>
        <v/>
      </c>
      <c r="Q121" s="2"/>
      <c r="R121" s="2"/>
      <c r="S121" s="2"/>
    </row>
    <row r="122" customFormat="false" ht="15" hidden="false" customHeight="false" outlineLevel="0" collapsed="false">
      <c r="A122" s="26" t="str">
        <f aca="false">IF(Team!$A57="","",Team!$A57)</f>
        <v/>
      </c>
      <c r="B122" s="26" t="str">
        <f aca="false">IF(Team!$A57="","",Team!$B57)</f>
        <v/>
      </c>
      <c r="C122" s="26" t="str">
        <f aca="false">IF(Team!$A57="","",Team!$C57)</f>
        <v/>
      </c>
      <c r="D122" s="43" t="str">
        <f aca="false">IF($A122="","",IF(AND(IF(Team!$I57="",DATE(Settings!$B$3,1,1),Team!$I57)&lt;=EOMONTH(D$69,0),IF(Team!$J57="",DATE(Settings!$B$3,12,31),Team!$J57)&gt;=D$69),IF(Team!$G57="",Settings!$B$4,Team!$G57)*(1-N(Team!$H57)/12/Settings!$B$8),0))</f>
        <v/>
      </c>
      <c r="E122" s="43" t="str">
        <f aca="false">IF($A122="","",IF(AND(IF(Team!$I57="",DATE(Settings!$B$3,1,1),Team!$I57)&lt;=EOMONTH(E$69,0),IF(Team!$J57="",DATE(Settings!$B$3,12,31),Team!$J57)&gt;=E$69),IF(Team!$G57="",Settings!$B$4,Team!$G57)*(1-N(Team!$H57)/12/Settings!$B$9),0))</f>
        <v/>
      </c>
      <c r="F122" s="43" t="str">
        <f aca="false">IF($A122="","",IF(AND(IF(Team!$I57="",DATE(Settings!$B$3,1,1),Team!$I57)&lt;=EOMONTH(F$69,0),IF(Team!$J57="",DATE(Settings!$B$3,12,31),Team!$J57)&gt;=F$69),IF(Team!$G57="",Settings!$B$4,Team!$G57)*(1-N(Team!$H57)/12/Settings!$B$10),0))</f>
        <v/>
      </c>
      <c r="G122" s="43" t="str">
        <f aca="false">IF($A122="","",IF(AND(IF(Team!$I57="",DATE(Settings!$B$3,1,1),Team!$I57)&lt;=EOMONTH(G$69,0),IF(Team!$J57="",DATE(Settings!$B$3,12,31),Team!$J57)&gt;=G$69),IF(Team!$G57="",Settings!$B$4,Team!$G57)*(1-N(Team!$H57)/12/Settings!$B$11),0))</f>
        <v/>
      </c>
      <c r="H122" s="43" t="str">
        <f aca="false">IF($A122="","",IF(AND(IF(Team!$I57="",DATE(Settings!$B$3,1,1),Team!$I57)&lt;=EOMONTH(H$69,0),IF(Team!$J57="",DATE(Settings!$B$3,12,31),Team!$J57)&gt;=H$69),IF(Team!$G57="",Settings!$B$4,Team!$G57)*(1-N(Team!$H57)/12/Settings!$B$12),0))</f>
        <v/>
      </c>
      <c r="I122" s="43" t="str">
        <f aca="false">IF($A122="","",IF(AND(IF(Team!$I57="",DATE(Settings!$B$3,1,1),Team!$I57)&lt;=EOMONTH(I$69,0),IF(Team!$J57="",DATE(Settings!$B$3,12,31),Team!$J57)&gt;=I$69),IF(Team!$G57="",Settings!$B$4,Team!$G57)*(1-N(Team!$H57)/12/Settings!$B$13),0))</f>
        <v/>
      </c>
      <c r="J122" s="43" t="str">
        <f aca="false">IF($A122="","",IF(AND(IF(Team!$I57="",DATE(Settings!$B$3,1,1),Team!$I57)&lt;=EOMONTH(J$69,0),IF(Team!$J57="",DATE(Settings!$B$3,12,31),Team!$J57)&gt;=J$69),IF(Team!$G57="",Settings!$B$4,Team!$G57)*(1-N(Team!$H57)/12/Settings!$B$14),0))</f>
        <v/>
      </c>
      <c r="K122" s="43" t="str">
        <f aca="false">IF($A122="","",IF(AND(IF(Team!$I57="",DATE(Settings!$B$3,1,1),Team!$I57)&lt;=EOMONTH(K$69,0),IF(Team!$J57="",DATE(Settings!$B$3,12,31),Team!$J57)&gt;=K$69),IF(Team!$G57="",Settings!$B$4,Team!$G57)*(1-N(Team!$H57)/12/Settings!$B$15),0))</f>
        <v/>
      </c>
      <c r="L122" s="43" t="str">
        <f aca="false">IF($A122="","",IF(AND(IF(Team!$I57="",DATE(Settings!$B$3,1,1),Team!$I57)&lt;=EOMONTH(L$69,0),IF(Team!$J57="",DATE(Settings!$B$3,12,31),Team!$J57)&gt;=L$69),IF(Team!$G57="",Settings!$B$4,Team!$G57)*(1-N(Team!$H57)/12/Settings!$B$16),0))</f>
        <v/>
      </c>
      <c r="M122" s="43" t="str">
        <f aca="false">IF($A122="","",IF(AND(IF(Team!$I57="",DATE(Settings!$B$3,1,1),Team!$I57)&lt;=EOMONTH(M$69,0),IF(Team!$J57="",DATE(Settings!$B$3,12,31),Team!$J57)&gt;=M$69),IF(Team!$G57="",Settings!$B$4,Team!$G57)*(1-N(Team!$H57)/12/Settings!$B$17),0))</f>
        <v/>
      </c>
      <c r="N122" s="43" t="str">
        <f aca="false">IF($A122="","",IF(AND(IF(Team!$I57="",DATE(Settings!$B$3,1,1),Team!$I57)&lt;=EOMONTH(N$69,0),IF(Team!$J57="",DATE(Settings!$B$3,12,31),Team!$J57)&gt;=N$69),IF(Team!$G57="",Settings!$B$4,Team!$G57)*(1-N(Team!$H57)/12/Settings!$B$18),0))</f>
        <v/>
      </c>
      <c r="O122" s="43" t="str">
        <f aca="false">IF($A122="","",IF(AND(IF(Team!$I57="",DATE(Settings!$B$3,1,1),Team!$I57)&lt;=EOMONTH(O$69,0),IF(Team!$J57="",DATE(Settings!$B$3,12,31),Team!$J57)&gt;=O$69),IF(Team!$G57="",Settings!$B$4,Team!$G57)*(1-N(Team!$H57)/12/Settings!$B$19),0))</f>
        <v/>
      </c>
      <c r="P122" s="19" t="str">
        <f aca="false">IF($A122="","",SUM(D122:O122))</f>
        <v/>
      </c>
      <c r="Q122" s="2"/>
      <c r="R122" s="2"/>
      <c r="S122" s="2"/>
    </row>
    <row r="123" customFormat="false" ht="15" hidden="false" customHeight="false" outlineLevel="0" collapsed="false">
      <c r="A123" s="26" t="str">
        <f aca="false">IF(Team!$A58="","",Team!$A58)</f>
        <v/>
      </c>
      <c r="B123" s="26" t="str">
        <f aca="false">IF(Team!$A58="","",Team!$B58)</f>
        <v/>
      </c>
      <c r="C123" s="26" t="str">
        <f aca="false">IF(Team!$A58="","",Team!$C58)</f>
        <v/>
      </c>
      <c r="D123" s="43" t="str">
        <f aca="false">IF($A123="","",IF(AND(IF(Team!$I58="",DATE(Settings!$B$3,1,1),Team!$I58)&lt;=EOMONTH(D$69,0),IF(Team!$J58="",DATE(Settings!$B$3,12,31),Team!$J58)&gt;=D$69),IF(Team!$G58="",Settings!$B$4,Team!$G58)*(1-N(Team!$H58)/12/Settings!$B$8),0))</f>
        <v/>
      </c>
      <c r="E123" s="43" t="str">
        <f aca="false">IF($A123="","",IF(AND(IF(Team!$I58="",DATE(Settings!$B$3,1,1),Team!$I58)&lt;=EOMONTH(E$69,0),IF(Team!$J58="",DATE(Settings!$B$3,12,31),Team!$J58)&gt;=E$69),IF(Team!$G58="",Settings!$B$4,Team!$G58)*(1-N(Team!$H58)/12/Settings!$B$9),0))</f>
        <v/>
      </c>
      <c r="F123" s="43" t="str">
        <f aca="false">IF($A123="","",IF(AND(IF(Team!$I58="",DATE(Settings!$B$3,1,1),Team!$I58)&lt;=EOMONTH(F$69,0),IF(Team!$J58="",DATE(Settings!$B$3,12,31),Team!$J58)&gt;=F$69),IF(Team!$G58="",Settings!$B$4,Team!$G58)*(1-N(Team!$H58)/12/Settings!$B$10),0))</f>
        <v/>
      </c>
      <c r="G123" s="43" t="str">
        <f aca="false">IF($A123="","",IF(AND(IF(Team!$I58="",DATE(Settings!$B$3,1,1),Team!$I58)&lt;=EOMONTH(G$69,0),IF(Team!$J58="",DATE(Settings!$B$3,12,31),Team!$J58)&gt;=G$69),IF(Team!$G58="",Settings!$B$4,Team!$G58)*(1-N(Team!$H58)/12/Settings!$B$11),0))</f>
        <v/>
      </c>
      <c r="H123" s="43" t="str">
        <f aca="false">IF($A123="","",IF(AND(IF(Team!$I58="",DATE(Settings!$B$3,1,1),Team!$I58)&lt;=EOMONTH(H$69,0),IF(Team!$J58="",DATE(Settings!$B$3,12,31),Team!$J58)&gt;=H$69),IF(Team!$G58="",Settings!$B$4,Team!$G58)*(1-N(Team!$H58)/12/Settings!$B$12),0))</f>
        <v/>
      </c>
      <c r="I123" s="43" t="str">
        <f aca="false">IF($A123="","",IF(AND(IF(Team!$I58="",DATE(Settings!$B$3,1,1),Team!$I58)&lt;=EOMONTH(I$69,0),IF(Team!$J58="",DATE(Settings!$B$3,12,31),Team!$J58)&gt;=I$69),IF(Team!$G58="",Settings!$B$4,Team!$G58)*(1-N(Team!$H58)/12/Settings!$B$13),0))</f>
        <v/>
      </c>
      <c r="J123" s="43" t="str">
        <f aca="false">IF($A123="","",IF(AND(IF(Team!$I58="",DATE(Settings!$B$3,1,1),Team!$I58)&lt;=EOMONTH(J$69,0),IF(Team!$J58="",DATE(Settings!$B$3,12,31),Team!$J58)&gt;=J$69),IF(Team!$G58="",Settings!$B$4,Team!$G58)*(1-N(Team!$H58)/12/Settings!$B$14),0))</f>
        <v/>
      </c>
      <c r="K123" s="43" t="str">
        <f aca="false">IF($A123="","",IF(AND(IF(Team!$I58="",DATE(Settings!$B$3,1,1),Team!$I58)&lt;=EOMONTH(K$69,0),IF(Team!$J58="",DATE(Settings!$B$3,12,31),Team!$J58)&gt;=K$69),IF(Team!$G58="",Settings!$B$4,Team!$G58)*(1-N(Team!$H58)/12/Settings!$B$15),0))</f>
        <v/>
      </c>
      <c r="L123" s="43" t="str">
        <f aca="false">IF($A123="","",IF(AND(IF(Team!$I58="",DATE(Settings!$B$3,1,1),Team!$I58)&lt;=EOMONTH(L$69,0),IF(Team!$J58="",DATE(Settings!$B$3,12,31),Team!$J58)&gt;=L$69),IF(Team!$G58="",Settings!$B$4,Team!$G58)*(1-N(Team!$H58)/12/Settings!$B$16),0))</f>
        <v/>
      </c>
      <c r="M123" s="43" t="str">
        <f aca="false">IF($A123="","",IF(AND(IF(Team!$I58="",DATE(Settings!$B$3,1,1),Team!$I58)&lt;=EOMONTH(M$69,0),IF(Team!$J58="",DATE(Settings!$B$3,12,31),Team!$J58)&gt;=M$69),IF(Team!$G58="",Settings!$B$4,Team!$G58)*(1-N(Team!$H58)/12/Settings!$B$17),0))</f>
        <v/>
      </c>
      <c r="N123" s="43" t="str">
        <f aca="false">IF($A123="","",IF(AND(IF(Team!$I58="",DATE(Settings!$B$3,1,1),Team!$I58)&lt;=EOMONTH(N$69,0),IF(Team!$J58="",DATE(Settings!$B$3,12,31),Team!$J58)&gt;=N$69),IF(Team!$G58="",Settings!$B$4,Team!$G58)*(1-N(Team!$H58)/12/Settings!$B$18),0))</f>
        <v/>
      </c>
      <c r="O123" s="43" t="str">
        <f aca="false">IF($A123="","",IF(AND(IF(Team!$I58="",DATE(Settings!$B$3,1,1),Team!$I58)&lt;=EOMONTH(O$69,0),IF(Team!$J58="",DATE(Settings!$B$3,12,31),Team!$J58)&gt;=O$69),IF(Team!$G58="",Settings!$B$4,Team!$G58)*(1-N(Team!$H58)/12/Settings!$B$19),0))</f>
        <v/>
      </c>
      <c r="P123" s="19" t="str">
        <f aca="false">IF($A123="","",SUM(D123:O123))</f>
        <v/>
      </c>
      <c r="Q123" s="2"/>
      <c r="R123" s="2"/>
      <c r="S123" s="2"/>
    </row>
    <row r="124" customFormat="false" ht="15" hidden="false" customHeight="false" outlineLevel="0" collapsed="false">
      <c r="A124" s="26" t="str">
        <f aca="false">IF(Team!$A59="","",Team!$A59)</f>
        <v/>
      </c>
      <c r="B124" s="26" t="str">
        <f aca="false">IF(Team!$A59="","",Team!$B59)</f>
        <v/>
      </c>
      <c r="C124" s="26" t="str">
        <f aca="false">IF(Team!$A59="","",Team!$C59)</f>
        <v/>
      </c>
      <c r="D124" s="43" t="str">
        <f aca="false">IF($A124="","",IF(AND(IF(Team!$I59="",DATE(Settings!$B$3,1,1),Team!$I59)&lt;=EOMONTH(D$69,0),IF(Team!$J59="",DATE(Settings!$B$3,12,31),Team!$J59)&gt;=D$69),IF(Team!$G59="",Settings!$B$4,Team!$G59)*(1-N(Team!$H59)/12/Settings!$B$8),0))</f>
        <v/>
      </c>
      <c r="E124" s="43" t="str">
        <f aca="false">IF($A124="","",IF(AND(IF(Team!$I59="",DATE(Settings!$B$3,1,1),Team!$I59)&lt;=EOMONTH(E$69,0),IF(Team!$J59="",DATE(Settings!$B$3,12,31),Team!$J59)&gt;=E$69),IF(Team!$G59="",Settings!$B$4,Team!$G59)*(1-N(Team!$H59)/12/Settings!$B$9),0))</f>
        <v/>
      </c>
      <c r="F124" s="43" t="str">
        <f aca="false">IF($A124="","",IF(AND(IF(Team!$I59="",DATE(Settings!$B$3,1,1),Team!$I59)&lt;=EOMONTH(F$69,0),IF(Team!$J59="",DATE(Settings!$B$3,12,31),Team!$J59)&gt;=F$69),IF(Team!$G59="",Settings!$B$4,Team!$G59)*(1-N(Team!$H59)/12/Settings!$B$10),0))</f>
        <v/>
      </c>
      <c r="G124" s="43" t="str">
        <f aca="false">IF($A124="","",IF(AND(IF(Team!$I59="",DATE(Settings!$B$3,1,1),Team!$I59)&lt;=EOMONTH(G$69,0),IF(Team!$J59="",DATE(Settings!$B$3,12,31),Team!$J59)&gt;=G$69),IF(Team!$G59="",Settings!$B$4,Team!$G59)*(1-N(Team!$H59)/12/Settings!$B$11),0))</f>
        <v/>
      </c>
      <c r="H124" s="43" t="str">
        <f aca="false">IF($A124="","",IF(AND(IF(Team!$I59="",DATE(Settings!$B$3,1,1),Team!$I59)&lt;=EOMONTH(H$69,0),IF(Team!$J59="",DATE(Settings!$B$3,12,31),Team!$J59)&gt;=H$69),IF(Team!$G59="",Settings!$B$4,Team!$G59)*(1-N(Team!$H59)/12/Settings!$B$12),0))</f>
        <v/>
      </c>
      <c r="I124" s="43" t="str">
        <f aca="false">IF($A124="","",IF(AND(IF(Team!$I59="",DATE(Settings!$B$3,1,1),Team!$I59)&lt;=EOMONTH(I$69,0),IF(Team!$J59="",DATE(Settings!$B$3,12,31),Team!$J59)&gt;=I$69),IF(Team!$G59="",Settings!$B$4,Team!$G59)*(1-N(Team!$H59)/12/Settings!$B$13),0))</f>
        <v/>
      </c>
      <c r="J124" s="43" t="str">
        <f aca="false">IF($A124="","",IF(AND(IF(Team!$I59="",DATE(Settings!$B$3,1,1),Team!$I59)&lt;=EOMONTH(J$69,0),IF(Team!$J59="",DATE(Settings!$B$3,12,31),Team!$J59)&gt;=J$69),IF(Team!$G59="",Settings!$B$4,Team!$G59)*(1-N(Team!$H59)/12/Settings!$B$14),0))</f>
        <v/>
      </c>
      <c r="K124" s="43" t="str">
        <f aca="false">IF($A124="","",IF(AND(IF(Team!$I59="",DATE(Settings!$B$3,1,1),Team!$I59)&lt;=EOMONTH(K$69,0),IF(Team!$J59="",DATE(Settings!$B$3,12,31),Team!$J59)&gt;=K$69),IF(Team!$G59="",Settings!$B$4,Team!$G59)*(1-N(Team!$H59)/12/Settings!$B$15),0))</f>
        <v/>
      </c>
      <c r="L124" s="43" t="str">
        <f aca="false">IF($A124="","",IF(AND(IF(Team!$I59="",DATE(Settings!$B$3,1,1),Team!$I59)&lt;=EOMONTH(L$69,0),IF(Team!$J59="",DATE(Settings!$B$3,12,31),Team!$J59)&gt;=L$69),IF(Team!$G59="",Settings!$B$4,Team!$G59)*(1-N(Team!$H59)/12/Settings!$B$16),0))</f>
        <v/>
      </c>
      <c r="M124" s="43" t="str">
        <f aca="false">IF($A124="","",IF(AND(IF(Team!$I59="",DATE(Settings!$B$3,1,1),Team!$I59)&lt;=EOMONTH(M$69,0),IF(Team!$J59="",DATE(Settings!$B$3,12,31),Team!$J59)&gt;=M$69),IF(Team!$G59="",Settings!$B$4,Team!$G59)*(1-N(Team!$H59)/12/Settings!$B$17),0))</f>
        <v/>
      </c>
      <c r="N124" s="43" t="str">
        <f aca="false">IF($A124="","",IF(AND(IF(Team!$I59="",DATE(Settings!$B$3,1,1),Team!$I59)&lt;=EOMONTH(N$69,0),IF(Team!$J59="",DATE(Settings!$B$3,12,31),Team!$J59)&gt;=N$69),IF(Team!$G59="",Settings!$B$4,Team!$G59)*(1-N(Team!$H59)/12/Settings!$B$18),0))</f>
        <v/>
      </c>
      <c r="O124" s="43" t="str">
        <f aca="false">IF($A124="","",IF(AND(IF(Team!$I59="",DATE(Settings!$B$3,1,1),Team!$I59)&lt;=EOMONTH(O$69,0),IF(Team!$J59="",DATE(Settings!$B$3,12,31),Team!$J59)&gt;=O$69),IF(Team!$G59="",Settings!$B$4,Team!$G59)*(1-N(Team!$H59)/12/Settings!$B$19),0))</f>
        <v/>
      </c>
      <c r="P124" s="19" t="str">
        <f aca="false">IF($A124="","",SUM(D124:O124))</f>
        <v/>
      </c>
      <c r="Q124" s="2"/>
      <c r="R124" s="2"/>
      <c r="S124" s="2"/>
    </row>
    <row r="125" customFormat="false" ht="15" hidden="false" customHeight="false" outlineLevel="0" collapsed="false">
      <c r="A125" s="26" t="str">
        <f aca="false">IF(Team!$A60="","",Team!$A60)</f>
        <v/>
      </c>
      <c r="B125" s="26" t="str">
        <f aca="false">IF(Team!$A60="","",Team!$B60)</f>
        <v/>
      </c>
      <c r="C125" s="26" t="str">
        <f aca="false">IF(Team!$A60="","",Team!$C60)</f>
        <v/>
      </c>
      <c r="D125" s="43" t="str">
        <f aca="false">IF($A125="","",IF(AND(IF(Team!$I60="",DATE(Settings!$B$3,1,1),Team!$I60)&lt;=EOMONTH(D$69,0),IF(Team!$J60="",DATE(Settings!$B$3,12,31),Team!$J60)&gt;=D$69),IF(Team!$G60="",Settings!$B$4,Team!$G60)*(1-N(Team!$H60)/12/Settings!$B$8),0))</f>
        <v/>
      </c>
      <c r="E125" s="43" t="str">
        <f aca="false">IF($A125="","",IF(AND(IF(Team!$I60="",DATE(Settings!$B$3,1,1),Team!$I60)&lt;=EOMONTH(E$69,0),IF(Team!$J60="",DATE(Settings!$B$3,12,31),Team!$J60)&gt;=E$69),IF(Team!$G60="",Settings!$B$4,Team!$G60)*(1-N(Team!$H60)/12/Settings!$B$9),0))</f>
        <v/>
      </c>
      <c r="F125" s="43" t="str">
        <f aca="false">IF($A125="","",IF(AND(IF(Team!$I60="",DATE(Settings!$B$3,1,1),Team!$I60)&lt;=EOMONTH(F$69,0),IF(Team!$J60="",DATE(Settings!$B$3,12,31),Team!$J60)&gt;=F$69),IF(Team!$G60="",Settings!$B$4,Team!$G60)*(1-N(Team!$H60)/12/Settings!$B$10),0))</f>
        <v/>
      </c>
      <c r="G125" s="43" t="str">
        <f aca="false">IF($A125="","",IF(AND(IF(Team!$I60="",DATE(Settings!$B$3,1,1),Team!$I60)&lt;=EOMONTH(G$69,0),IF(Team!$J60="",DATE(Settings!$B$3,12,31),Team!$J60)&gt;=G$69),IF(Team!$G60="",Settings!$B$4,Team!$G60)*(1-N(Team!$H60)/12/Settings!$B$11),0))</f>
        <v/>
      </c>
      <c r="H125" s="43" t="str">
        <f aca="false">IF($A125="","",IF(AND(IF(Team!$I60="",DATE(Settings!$B$3,1,1),Team!$I60)&lt;=EOMONTH(H$69,0),IF(Team!$J60="",DATE(Settings!$B$3,12,31),Team!$J60)&gt;=H$69),IF(Team!$G60="",Settings!$B$4,Team!$G60)*(1-N(Team!$H60)/12/Settings!$B$12),0))</f>
        <v/>
      </c>
      <c r="I125" s="43" t="str">
        <f aca="false">IF($A125="","",IF(AND(IF(Team!$I60="",DATE(Settings!$B$3,1,1),Team!$I60)&lt;=EOMONTH(I$69,0),IF(Team!$J60="",DATE(Settings!$B$3,12,31),Team!$J60)&gt;=I$69),IF(Team!$G60="",Settings!$B$4,Team!$G60)*(1-N(Team!$H60)/12/Settings!$B$13),0))</f>
        <v/>
      </c>
      <c r="J125" s="43" t="str">
        <f aca="false">IF($A125="","",IF(AND(IF(Team!$I60="",DATE(Settings!$B$3,1,1),Team!$I60)&lt;=EOMONTH(J$69,0),IF(Team!$J60="",DATE(Settings!$B$3,12,31),Team!$J60)&gt;=J$69),IF(Team!$G60="",Settings!$B$4,Team!$G60)*(1-N(Team!$H60)/12/Settings!$B$14),0))</f>
        <v/>
      </c>
      <c r="K125" s="43" t="str">
        <f aca="false">IF($A125="","",IF(AND(IF(Team!$I60="",DATE(Settings!$B$3,1,1),Team!$I60)&lt;=EOMONTH(K$69,0),IF(Team!$J60="",DATE(Settings!$B$3,12,31),Team!$J60)&gt;=K$69),IF(Team!$G60="",Settings!$B$4,Team!$G60)*(1-N(Team!$H60)/12/Settings!$B$15),0))</f>
        <v/>
      </c>
      <c r="L125" s="43" t="str">
        <f aca="false">IF($A125="","",IF(AND(IF(Team!$I60="",DATE(Settings!$B$3,1,1),Team!$I60)&lt;=EOMONTH(L$69,0),IF(Team!$J60="",DATE(Settings!$B$3,12,31),Team!$J60)&gt;=L$69),IF(Team!$G60="",Settings!$B$4,Team!$G60)*(1-N(Team!$H60)/12/Settings!$B$16),0))</f>
        <v/>
      </c>
      <c r="M125" s="43" t="str">
        <f aca="false">IF($A125="","",IF(AND(IF(Team!$I60="",DATE(Settings!$B$3,1,1),Team!$I60)&lt;=EOMONTH(M$69,0),IF(Team!$J60="",DATE(Settings!$B$3,12,31),Team!$J60)&gt;=M$69),IF(Team!$G60="",Settings!$B$4,Team!$G60)*(1-N(Team!$H60)/12/Settings!$B$17),0))</f>
        <v/>
      </c>
      <c r="N125" s="43" t="str">
        <f aca="false">IF($A125="","",IF(AND(IF(Team!$I60="",DATE(Settings!$B$3,1,1),Team!$I60)&lt;=EOMONTH(N$69,0),IF(Team!$J60="",DATE(Settings!$B$3,12,31),Team!$J60)&gt;=N$69),IF(Team!$G60="",Settings!$B$4,Team!$G60)*(1-N(Team!$H60)/12/Settings!$B$18),0))</f>
        <v/>
      </c>
      <c r="O125" s="43" t="str">
        <f aca="false">IF($A125="","",IF(AND(IF(Team!$I60="",DATE(Settings!$B$3,1,1),Team!$I60)&lt;=EOMONTH(O$69,0),IF(Team!$J60="",DATE(Settings!$B$3,12,31),Team!$J60)&gt;=O$69),IF(Team!$G60="",Settings!$B$4,Team!$G60)*(1-N(Team!$H60)/12/Settings!$B$19),0))</f>
        <v/>
      </c>
      <c r="P125" s="19" t="str">
        <f aca="false">IF($A125="","",SUM(D125:O125))</f>
        <v/>
      </c>
      <c r="Q125" s="2"/>
      <c r="R125" s="2"/>
      <c r="S125" s="2"/>
    </row>
    <row r="126" customFormat="false" ht="15" hidden="false" customHeight="false" outlineLevel="0" collapsed="false">
      <c r="A126" s="26" t="str">
        <f aca="false">IF(Team!$A61="","",Team!$A61)</f>
        <v/>
      </c>
      <c r="B126" s="26" t="str">
        <f aca="false">IF(Team!$A61="","",Team!$B61)</f>
        <v/>
      </c>
      <c r="C126" s="26" t="str">
        <f aca="false">IF(Team!$A61="","",Team!$C61)</f>
        <v/>
      </c>
      <c r="D126" s="43" t="str">
        <f aca="false">IF($A126="","",IF(AND(IF(Team!$I61="",DATE(Settings!$B$3,1,1),Team!$I61)&lt;=EOMONTH(D$69,0),IF(Team!$J61="",DATE(Settings!$B$3,12,31),Team!$J61)&gt;=D$69),IF(Team!$G61="",Settings!$B$4,Team!$G61)*(1-N(Team!$H61)/12/Settings!$B$8),0))</f>
        <v/>
      </c>
      <c r="E126" s="43" t="str">
        <f aca="false">IF($A126="","",IF(AND(IF(Team!$I61="",DATE(Settings!$B$3,1,1),Team!$I61)&lt;=EOMONTH(E$69,0),IF(Team!$J61="",DATE(Settings!$B$3,12,31),Team!$J61)&gt;=E$69),IF(Team!$G61="",Settings!$B$4,Team!$G61)*(1-N(Team!$H61)/12/Settings!$B$9),0))</f>
        <v/>
      </c>
      <c r="F126" s="43" t="str">
        <f aca="false">IF($A126="","",IF(AND(IF(Team!$I61="",DATE(Settings!$B$3,1,1),Team!$I61)&lt;=EOMONTH(F$69,0),IF(Team!$J61="",DATE(Settings!$B$3,12,31),Team!$J61)&gt;=F$69),IF(Team!$G61="",Settings!$B$4,Team!$G61)*(1-N(Team!$H61)/12/Settings!$B$10),0))</f>
        <v/>
      </c>
      <c r="G126" s="43" t="str">
        <f aca="false">IF($A126="","",IF(AND(IF(Team!$I61="",DATE(Settings!$B$3,1,1),Team!$I61)&lt;=EOMONTH(G$69,0),IF(Team!$J61="",DATE(Settings!$B$3,12,31),Team!$J61)&gt;=G$69),IF(Team!$G61="",Settings!$B$4,Team!$G61)*(1-N(Team!$H61)/12/Settings!$B$11),0))</f>
        <v/>
      </c>
      <c r="H126" s="43" t="str">
        <f aca="false">IF($A126="","",IF(AND(IF(Team!$I61="",DATE(Settings!$B$3,1,1),Team!$I61)&lt;=EOMONTH(H$69,0),IF(Team!$J61="",DATE(Settings!$B$3,12,31),Team!$J61)&gt;=H$69),IF(Team!$G61="",Settings!$B$4,Team!$G61)*(1-N(Team!$H61)/12/Settings!$B$12),0))</f>
        <v/>
      </c>
      <c r="I126" s="43" t="str">
        <f aca="false">IF($A126="","",IF(AND(IF(Team!$I61="",DATE(Settings!$B$3,1,1),Team!$I61)&lt;=EOMONTH(I$69,0),IF(Team!$J61="",DATE(Settings!$B$3,12,31),Team!$J61)&gt;=I$69),IF(Team!$G61="",Settings!$B$4,Team!$G61)*(1-N(Team!$H61)/12/Settings!$B$13),0))</f>
        <v/>
      </c>
      <c r="J126" s="43" t="str">
        <f aca="false">IF($A126="","",IF(AND(IF(Team!$I61="",DATE(Settings!$B$3,1,1),Team!$I61)&lt;=EOMONTH(J$69,0),IF(Team!$J61="",DATE(Settings!$B$3,12,31),Team!$J61)&gt;=J$69),IF(Team!$G61="",Settings!$B$4,Team!$G61)*(1-N(Team!$H61)/12/Settings!$B$14),0))</f>
        <v/>
      </c>
      <c r="K126" s="43" t="str">
        <f aca="false">IF($A126="","",IF(AND(IF(Team!$I61="",DATE(Settings!$B$3,1,1),Team!$I61)&lt;=EOMONTH(K$69,0),IF(Team!$J61="",DATE(Settings!$B$3,12,31),Team!$J61)&gt;=K$69),IF(Team!$G61="",Settings!$B$4,Team!$G61)*(1-N(Team!$H61)/12/Settings!$B$15),0))</f>
        <v/>
      </c>
      <c r="L126" s="43" t="str">
        <f aca="false">IF($A126="","",IF(AND(IF(Team!$I61="",DATE(Settings!$B$3,1,1),Team!$I61)&lt;=EOMONTH(L$69,0),IF(Team!$J61="",DATE(Settings!$B$3,12,31),Team!$J61)&gt;=L$69),IF(Team!$G61="",Settings!$B$4,Team!$G61)*(1-N(Team!$H61)/12/Settings!$B$16),0))</f>
        <v/>
      </c>
      <c r="M126" s="43" t="str">
        <f aca="false">IF($A126="","",IF(AND(IF(Team!$I61="",DATE(Settings!$B$3,1,1),Team!$I61)&lt;=EOMONTH(M$69,0),IF(Team!$J61="",DATE(Settings!$B$3,12,31),Team!$J61)&gt;=M$69),IF(Team!$G61="",Settings!$B$4,Team!$G61)*(1-N(Team!$H61)/12/Settings!$B$17),0))</f>
        <v/>
      </c>
      <c r="N126" s="43" t="str">
        <f aca="false">IF($A126="","",IF(AND(IF(Team!$I61="",DATE(Settings!$B$3,1,1),Team!$I61)&lt;=EOMONTH(N$69,0),IF(Team!$J61="",DATE(Settings!$B$3,12,31),Team!$J61)&gt;=N$69),IF(Team!$G61="",Settings!$B$4,Team!$G61)*(1-N(Team!$H61)/12/Settings!$B$18),0))</f>
        <v/>
      </c>
      <c r="O126" s="43" t="str">
        <f aca="false">IF($A126="","",IF(AND(IF(Team!$I61="",DATE(Settings!$B$3,1,1),Team!$I61)&lt;=EOMONTH(O$69,0),IF(Team!$J61="",DATE(Settings!$B$3,12,31),Team!$J61)&gt;=O$69),IF(Team!$G61="",Settings!$B$4,Team!$G61)*(1-N(Team!$H61)/12/Settings!$B$19),0))</f>
        <v/>
      </c>
      <c r="P126" s="19" t="str">
        <f aca="false">IF($A126="","",SUM(D126:O126))</f>
        <v/>
      </c>
      <c r="Q126" s="2"/>
      <c r="R126" s="2"/>
      <c r="S126" s="2"/>
    </row>
    <row r="127" customFormat="false" ht="15" hidden="false" customHeight="false" outlineLevel="0" collapsed="false">
      <c r="A127" s="26" t="str">
        <f aca="false">IF(Team!$A62="","",Team!$A62)</f>
        <v/>
      </c>
      <c r="B127" s="26" t="str">
        <f aca="false">IF(Team!$A62="","",Team!$B62)</f>
        <v/>
      </c>
      <c r="C127" s="26" t="str">
        <f aca="false">IF(Team!$A62="","",Team!$C62)</f>
        <v/>
      </c>
      <c r="D127" s="43" t="str">
        <f aca="false">IF($A127="","",IF(AND(IF(Team!$I62="",DATE(Settings!$B$3,1,1),Team!$I62)&lt;=EOMONTH(D$69,0),IF(Team!$J62="",DATE(Settings!$B$3,12,31),Team!$J62)&gt;=D$69),IF(Team!$G62="",Settings!$B$4,Team!$G62)*(1-N(Team!$H62)/12/Settings!$B$8),0))</f>
        <v/>
      </c>
      <c r="E127" s="43" t="str">
        <f aca="false">IF($A127="","",IF(AND(IF(Team!$I62="",DATE(Settings!$B$3,1,1),Team!$I62)&lt;=EOMONTH(E$69,0),IF(Team!$J62="",DATE(Settings!$B$3,12,31),Team!$J62)&gt;=E$69),IF(Team!$G62="",Settings!$B$4,Team!$G62)*(1-N(Team!$H62)/12/Settings!$B$9),0))</f>
        <v/>
      </c>
      <c r="F127" s="43" t="str">
        <f aca="false">IF($A127="","",IF(AND(IF(Team!$I62="",DATE(Settings!$B$3,1,1),Team!$I62)&lt;=EOMONTH(F$69,0),IF(Team!$J62="",DATE(Settings!$B$3,12,31),Team!$J62)&gt;=F$69),IF(Team!$G62="",Settings!$B$4,Team!$G62)*(1-N(Team!$H62)/12/Settings!$B$10),0))</f>
        <v/>
      </c>
      <c r="G127" s="43" t="str">
        <f aca="false">IF($A127="","",IF(AND(IF(Team!$I62="",DATE(Settings!$B$3,1,1),Team!$I62)&lt;=EOMONTH(G$69,0),IF(Team!$J62="",DATE(Settings!$B$3,12,31),Team!$J62)&gt;=G$69),IF(Team!$G62="",Settings!$B$4,Team!$G62)*(1-N(Team!$H62)/12/Settings!$B$11),0))</f>
        <v/>
      </c>
      <c r="H127" s="43" t="str">
        <f aca="false">IF($A127="","",IF(AND(IF(Team!$I62="",DATE(Settings!$B$3,1,1),Team!$I62)&lt;=EOMONTH(H$69,0),IF(Team!$J62="",DATE(Settings!$B$3,12,31),Team!$J62)&gt;=H$69),IF(Team!$G62="",Settings!$B$4,Team!$G62)*(1-N(Team!$H62)/12/Settings!$B$12),0))</f>
        <v/>
      </c>
      <c r="I127" s="43" t="str">
        <f aca="false">IF($A127="","",IF(AND(IF(Team!$I62="",DATE(Settings!$B$3,1,1),Team!$I62)&lt;=EOMONTH(I$69,0),IF(Team!$J62="",DATE(Settings!$B$3,12,31),Team!$J62)&gt;=I$69),IF(Team!$G62="",Settings!$B$4,Team!$G62)*(1-N(Team!$H62)/12/Settings!$B$13),0))</f>
        <v/>
      </c>
      <c r="J127" s="43" t="str">
        <f aca="false">IF($A127="","",IF(AND(IF(Team!$I62="",DATE(Settings!$B$3,1,1),Team!$I62)&lt;=EOMONTH(J$69,0),IF(Team!$J62="",DATE(Settings!$B$3,12,31),Team!$J62)&gt;=J$69),IF(Team!$G62="",Settings!$B$4,Team!$G62)*(1-N(Team!$H62)/12/Settings!$B$14),0))</f>
        <v/>
      </c>
      <c r="K127" s="43" t="str">
        <f aca="false">IF($A127="","",IF(AND(IF(Team!$I62="",DATE(Settings!$B$3,1,1),Team!$I62)&lt;=EOMONTH(K$69,0),IF(Team!$J62="",DATE(Settings!$B$3,12,31),Team!$J62)&gt;=K$69),IF(Team!$G62="",Settings!$B$4,Team!$G62)*(1-N(Team!$H62)/12/Settings!$B$15),0))</f>
        <v/>
      </c>
      <c r="L127" s="43" t="str">
        <f aca="false">IF($A127="","",IF(AND(IF(Team!$I62="",DATE(Settings!$B$3,1,1),Team!$I62)&lt;=EOMONTH(L$69,0),IF(Team!$J62="",DATE(Settings!$B$3,12,31),Team!$J62)&gt;=L$69),IF(Team!$G62="",Settings!$B$4,Team!$G62)*(1-N(Team!$H62)/12/Settings!$B$16),0))</f>
        <v/>
      </c>
      <c r="M127" s="43" t="str">
        <f aca="false">IF($A127="","",IF(AND(IF(Team!$I62="",DATE(Settings!$B$3,1,1),Team!$I62)&lt;=EOMONTH(M$69,0),IF(Team!$J62="",DATE(Settings!$B$3,12,31),Team!$J62)&gt;=M$69),IF(Team!$G62="",Settings!$B$4,Team!$G62)*(1-N(Team!$H62)/12/Settings!$B$17),0))</f>
        <v/>
      </c>
      <c r="N127" s="43" t="str">
        <f aca="false">IF($A127="","",IF(AND(IF(Team!$I62="",DATE(Settings!$B$3,1,1),Team!$I62)&lt;=EOMONTH(N$69,0),IF(Team!$J62="",DATE(Settings!$B$3,12,31),Team!$J62)&gt;=N$69),IF(Team!$G62="",Settings!$B$4,Team!$G62)*(1-N(Team!$H62)/12/Settings!$B$18),0))</f>
        <v/>
      </c>
      <c r="O127" s="43" t="str">
        <f aca="false">IF($A127="","",IF(AND(IF(Team!$I62="",DATE(Settings!$B$3,1,1),Team!$I62)&lt;=EOMONTH(O$69,0),IF(Team!$J62="",DATE(Settings!$B$3,12,31),Team!$J62)&gt;=O$69),IF(Team!$G62="",Settings!$B$4,Team!$G62)*(1-N(Team!$H62)/12/Settings!$B$19),0))</f>
        <v/>
      </c>
      <c r="P127" s="19" t="str">
        <f aca="false">IF($A127="","",SUM(D127:O127))</f>
        <v/>
      </c>
      <c r="Q127" s="2"/>
      <c r="R127" s="2"/>
      <c r="S127" s="2"/>
    </row>
    <row r="128" customFormat="false" ht="15" hidden="false" customHeight="false" outlineLevel="0" collapsed="false">
      <c r="A128" s="26" t="str">
        <f aca="false">IF(Team!$A63="","",Team!$A63)</f>
        <v/>
      </c>
      <c r="B128" s="26" t="str">
        <f aca="false">IF(Team!$A63="","",Team!$B63)</f>
        <v/>
      </c>
      <c r="C128" s="26" t="str">
        <f aca="false">IF(Team!$A63="","",Team!$C63)</f>
        <v/>
      </c>
      <c r="D128" s="43" t="str">
        <f aca="false">IF($A128="","",IF(AND(IF(Team!$I63="",DATE(Settings!$B$3,1,1),Team!$I63)&lt;=EOMONTH(D$69,0),IF(Team!$J63="",DATE(Settings!$B$3,12,31),Team!$J63)&gt;=D$69),IF(Team!$G63="",Settings!$B$4,Team!$G63)*(1-N(Team!$H63)/12/Settings!$B$8),0))</f>
        <v/>
      </c>
      <c r="E128" s="43" t="str">
        <f aca="false">IF($A128="","",IF(AND(IF(Team!$I63="",DATE(Settings!$B$3,1,1),Team!$I63)&lt;=EOMONTH(E$69,0),IF(Team!$J63="",DATE(Settings!$B$3,12,31),Team!$J63)&gt;=E$69),IF(Team!$G63="",Settings!$B$4,Team!$G63)*(1-N(Team!$H63)/12/Settings!$B$9),0))</f>
        <v/>
      </c>
      <c r="F128" s="43" t="str">
        <f aca="false">IF($A128="","",IF(AND(IF(Team!$I63="",DATE(Settings!$B$3,1,1),Team!$I63)&lt;=EOMONTH(F$69,0),IF(Team!$J63="",DATE(Settings!$B$3,12,31),Team!$J63)&gt;=F$69),IF(Team!$G63="",Settings!$B$4,Team!$G63)*(1-N(Team!$H63)/12/Settings!$B$10),0))</f>
        <v/>
      </c>
      <c r="G128" s="43" t="str">
        <f aca="false">IF($A128="","",IF(AND(IF(Team!$I63="",DATE(Settings!$B$3,1,1),Team!$I63)&lt;=EOMONTH(G$69,0),IF(Team!$J63="",DATE(Settings!$B$3,12,31),Team!$J63)&gt;=G$69),IF(Team!$G63="",Settings!$B$4,Team!$G63)*(1-N(Team!$H63)/12/Settings!$B$11),0))</f>
        <v/>
      </c>
      <c r="H128" s="43" t="str">
        <f aca="false">IF($A128="","",IF(AND(IF(Team!$I63="",DATE(Settings!$B$3,1,1),Team!$I63)&lt;=EOMONTH(H$69,0),IF(Team!$J63="",DATE(Settings!$B$3,12,31),Team!$J63)&gt;=H$69),IF(Team!$G63="",Settings!$B$4,Team!$G63)*(1-N(Team!$H63)/12/Settings!$B$12),0))</f>
        <v/>
      </c>
      <c r="I128" s="43" t="str">
        <f aca="false">IF($A128="","",IF(AND(IF(Team!$I63="",DATE(Settings!$B$3,1,1),Team!$I63)&lt;=EOMONTH(I$69,0),IF(Team!$J63="",DATE(Settings!$B$3,12,31),Team!$J63)&gt;=I$69),IF(Team!$G63="",Settings!$B$4,Team!$G63)*(1-N(Team!$H63)/12/Settings!$B$13),0))</f>
        <v/>
      </c>
      <c r="J128" s="43" t="str">
        <f aca="false">IF($A128="","",IF(AND(IF(Team!$I63="",DATE(Settings!$B$3,1,1),Team!$I63)&lt;=EOMONTH(J$69,0),IF(Team!$J63="",DATE(Settings!$B$3,12,31),Team!$J63)&gt;=J$69),IF(Team!$G63="",Settings!$B$4,Team!$G63)*(1-N(Team!$H63)/12/Settings!$B$14),0))</f>
        <v/>
      </c>
      <c r="K128" s="43" t="str">
        <f aca="false">IF($A128="","",IF(AND(IF(Team!$I63="",DATE(Settings!$B$3,1,1),Team!$I63)&lt;=EOMONTH(K$69,0),IF(Team!$J63="",DATE(Settings!$B$3,12,31),Team!$J63)&gt;=K$69),IF(Team!$G63="",Settings!$B$4,Team!$G63)*(1-N(Team!$H63)/12/Settings!$B$15),0))</f>
        <v/>
      </c>
      <c r="L128" s="43" t="str">
        <f aca="false">IF($A128="","",IF(AND(IF(Team!$I63="",DATE(Settings!$B$3,1,1),Team!$I63)&lt;=EOMONTH(L$69,0),IF(Team!$J63="",DATE(Settings!$B$3,12,31),Team!$J63)&gt;=L$69),IF(Team!$G63="",Settings!$B$4,Team!$G63)*(1-N(Team!$H63)/12/Settings!$B$16),0))</f>
        <v/>
      </c>
      <c r="M128" s="43" t="str">
        <f aca="false">IF($A128="","",IF(AND(IF(Team!$I63="",DATE(Settings!$B$3,1,1),Team!$I63)&lt;=EOMONTH(M$69,0),IF(Team!$J63="",DATE(Settings!$B$3,12,31),Team!$J63)&gt;=M$69),IF(Team!$G63="",Settings!$B$4,Team!$G63)*(1-N(Team!$H63)/12/Settings!$B$17),0))</f>
        <v/>
      </c>
      <c r="N128" s="43" t="str">
        <f aca="false">IF($A128="","",IF(AND(IF(Team!$I63="",DATE(Settings!$B$3,1,1),Team!$I63)&lt;=EOMONTH(N$69,0),IF(Team!$J63="",DATE(Settings!$B$3,12,31),Team!$J63)&gt;=N$69),IF(Team!$G63="",Settings!$B$4,Team!$G63)*(1-N(Team!$H63)/12/Settings!$B$18),0))</f>
        <v/>
      </c>
      <c r="O128" s="43" t="str">
        <f aca="false">IF($A128="","",IF(AND(IF(Team!$I63="",DATE(Settings!$B$3,1,1),Team!$I63)&lt;=EOMONTH(O$69,0),IF(Team!$J63="",DATE(Settings!$B$3,12,31),Team!$J63)&gt;=O$69),IF(Team!$G63="",Settings!$B$4,Team!$G63)*(1-N(Team!$H63)/12/Settings!$B$19),0))</f>
        <v/>
      </c>
      <c r="P128" s="19" t="str">
        <f aca="false">IF($A128="","",SUM(D128:O128))</f>
        <v/>
      </c>
      <c r="Q128" s="2"/>
      <c r="R128" s="2"/>
      <c r="S128" s="2"/>
    </row>
    <row r="129" customFormat="false" ht="15" hidden="false" customHeight="false" outlineLevel="0" collapsed="false">
      <c r="A129" s="26" t="str">
        <f aca="false">IF(Team!$A64="","",Team!$A64)</f>
        <v/>
      </c>
      <c r="B129" s="26" t="str">
        <f aca="false">IF(Team!$A64="","",Team!$B64)</f>
        <v/>
      </c>
      <c r="C129" s="26" t="str">
        <f aca="false">IF(Team!$A64="","",Team!$C64)</f>
        <v/>
      </c>
      <c r="D129" s="43" t="str">
        <f aca="false">IF($A129="","",IF(AND(IF(Team!$I64="",DATE(Settings!$B$3,1,1),Team!$I64)&lt;=EOMONTH(D$69,0),IF(Team!$J64="",DATE(Settings!$B$3,12,31),Team!$J64)&gt;=D$69),IF(Team!$G64="",Settings!$B$4,Team!$G64)*(1-N(Team!$H64)/12/Settings!$B$8),0))</f>
        <v/>
      </c>
      <c r="E129" s="43" t="str">
        <f aca="false">IF($A129="","",IF(AND(IF(Team!$I64="",DATE(Settings!$B$3,1,1),Team!$I64)&lt;=EOMONTH(E$69,0),IF(Team!$J64="",DATE(Settings!$B$3,12,31),Team!$J64)&gt;=E$69),IF(Team!$G64="",Settings!$B$4,Team!$G64)*(1-N(Team!$H64)/12/Settings!$B$9),0))</f>
        <v/>
      </c>
      <c r="F129" s="43" t="str">
        <f aca="false">IF($A129="","",IF(AND(IF(Team!$I64="",DATE(Settings!$B$3,1,1),Team!$I64)&lt;=EOMONTH(F$69,0),IF(Team!$J64="",DATE(Settings!$B$3,12,31),Team!$J64)&gt;=F$69),IF(Team!$G64="",Settings!$B$4,Team!$G64)*(1-N(Team!$H64)/12/Settings!$B$10),0))</f>
        <v/>
      </c>
      <c r="G129" s="43" t="str">
        <f aca="false">IF($A129="","",IF(AND(IF(Team!$I64="",DATE(Settings!$B$3,1,1),Team!$I64)&lt;=EOMONTH(G$69,0),IF(Team!$J64="",DATE(Settings!$B$3,12,31),Team!$J64)&gt;=G$69),IF(Team!$G64="",Settings!$B$4,Team!$G64)*(1-N(Team!$H64)/12/Settings!$B$11),0))</f>
        <v/>
      </c>
      <c r="H129" s="43" t="str">
        <f aca="false">IF($A129="","",IF(AND(IF(Team!$I64="",DATE(Settings!$B$3,1,1),Team!$I64)&lt;=EOMONTH(H$69,0),IF(Team!$J64="",DATE(Settings!$B$3,12,31),Team!$J64)&gt;=H$69),IF(Team!$G64="",Settings!$B$4,Team!$G64)*(1-N(Team!$H64)/12/Settings!$B$12),0))</f>
        <v/>
      </c>
      <c r="I129" s="43" t="str">
        <f aca="false">IF($A129="","",IF(AND(IF(Team!$I64="",DATE(Settings!$B$3,1,1),Team!$I64)&lt;=EOMONTH(I$69,0),IF(Team!$J64="",DATE(Settings!$B$3,12,31),Team!$J64)&gt;=I$69),IF(Team!$G64="",Settings!$B$4,Team!$G64)*(1-N(Team!$H64)/12/Settings!$B$13),0))</f>
        <v/>
      </c>
      <c r="J129" s="43" t="str">
        <f aca="false">IF($A129="","",IF(AND(IF(Team!$I64="",DATE(Settings!$B$3,1,1),Team!$I64)&lt;=EOMONTH(J$69,0),IF(Team!$J64="",DATE(Settings!$B$3,12,31),Team!$J64)&gt;=J$69),IF(Team!$G64="",Settings!$B$4,Team!$G64)*(1-N(Team!$H64)/12/Settings!$B$14),0))</f>
        <v/>
      </c>
      <c r="K129" s="43" t="str">
        <f aca="false">IF($A129="","",IF(AND(IF(Team!$I64="",DATE(Settings!$B$3,1,1),Team!$I64)&lt;=EOMONTH(K$69,0),IF(Team!$J64="",DATE(Settings!$B$3,12,31),Team!$J64)&gt;=K$69),IF(Team!$G64="",Settings!$B$4,Team!$G64)*(1-N(Team!$H64)/12/Settings!$B$15),0))</f>
        <v/>
      </c>
      <c r="L129" s="43" t="str">
        <f aca="false">IF($A129="","",IF(AND(IF(Team!$I64="",DATE(Settings!$B$3,1,1),Team!$I64)&lt;=EOMONTH(L$69,0),IF(Team!$J64="",DATE(Settings!$B$3,12,31),Team!$J64)&gt;=L$69),IF(Team!$G64="",Settings!$B$4,Team!$G64)*(1-N(Team!$H64)/12/Settings!$B$16),0))</f>
        <v/>
      </c>
      <c r="M129" s="43" t="str">
        <f aca="false">IF($A129="","",IF(AND(IF(Team!$I64="",DATE(Settings!$B$3,1,1),Team!$I64)&lt;=EOMONTH(M$69,0),IF(Team!$J64="",DATE(Settings!$B$3,12,31),Team!$J64)&gt;=M$69),IF(Team!$G64="",Settings!$B$4,Team!$G64)*(1-N(Team!$H64)/12/Settings!$B$17),0))</f>
        <v/>
      </c>
      <c r="N129" s="43" t="str">
        <f aca="false">IF($A129="","",IF(AND(IF(Team!$I64="",DATE(Settings!$B$3,1,1),Team!$I64)&lt;=EOMONTH(N$69,0),IF(Team!$J64="",DATE(Settings!$B$3,12,31),Team!$J64)&gt;=N$69),IF(Team!$G64="",Settings!$B$4,Team!$G64)*(1-N(Team!$H64)/12/Settings!$B$18),0))</f>
        <v/>
      </c>
      <c r="O129" s="43" t="str">
        <f aca="false">IF($A129="","",IF(AND(IF(Team!$I64="",DATE(Settings!$B$3,1,1),Team!$I64)&lt;=EOMONTH(O$69,0),IF(Team!$J64="",DATE(Settings!$B$3,12,31),Team!$J64)&gt;=O$69),IF(Team!$G64="",Settings!$B$4,Team!$G64)*(1-N(Team!$H64)/12/Settings!$B$19),0))</f>
        <v/>
      </c>
      <c r="P129" s="19" t="str">
        <f aca="false">IF($A129="","",SUM(D129:O129))</f>
        <v/>
      </c>
      <c r="Q129" s="2"/>
      <c r="R129" s="2"/>
      <c r="S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customFormat="false" ht="15" hidden="false" customHeight="false" outlineLevel="0" collapsed="false">
      <c r="A132" s="16" t="s">
        <v>200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customFormat="false" ht="30" hidden="false" customHeight="true" outlineLevel="0" collapsed="false">
      <c r="A133" s="17" t="s">
        <v>136</v>
      </c>
      <c r="B133" s="17" t="s">
        <v>59</v>
      </c>
      <c r="C133" s="17" t="s">
        <v>137</v>
      </c>
      <c r="D133" s="34" t="n">
        <f aca="false">Settings!$A$8</f>
        <v>46388</v>
      </c>
      <c r="E133" s="34" t="n">
        <f aca="false">Settings!$A$9</f>
        <v>46419</v>
      </c>
      <c r="F133" s="34" t="n">
        <f aca="false">Settings!$A$10</f>
        <v>46447</v>
      </c>
      <c r="G133" s="34" t="n">
        <f aca="false">Settings!$A$11</f>
        <v>46478</v>
      </c>
      <c r="H133" s="34" t="n">
        <f aca="false">Settings!$A$12</f>
        <v>46508</v>
      </c>
      <c r="I133" s="34" t="n">
        <f aca="false">Settings!$A$13</f>
        <v>46539</v>
      </c>
      <c r="J133" s="34" t="n">
        <f aca="false">Settings!$A$14</f>
        <v>46569</v>
      </c>
      <c r="K133" s="34" t="n">
        <f aca="false">Settings!$A$15</f>
        <v>46600</v>
      </c>
      <c r="L133" s="34" t="n">
        <f aca="false">Settings!$A$16</f>
        <v>46631</v>
      </c>
      <c r="M133" s="34" t="n">
        <f aca="false">Settings!$A$17</f>
        <v>46661</v>
      </c>
      <c r="N133" s="34" t="n">
        <f aca="false">Settings!$A$18</f>
        <v>46692</v>
      </c>
      <c r="O133" s="34" t="n">
        <f aca="false">Settings!$A$19</f>
        <v>46722</v>
      </c>
      <c r="P133" s="17" t="s">
        <v>199</v>
      </c>
      <c r="Q133" s="2"/>
      <c r="R133" s="2"/>
      <c r="S133" s="2"/>
    </row>
    <row r="134" customFormat="false" ht="15" hidden="false" customHeight="false" outlineLevel="0" collapsed="false">
      <c r="A134" s="26" t="str">
        <f aca="false">IF(Team!$A5="","",Team!$A5)</f>
        <v>Tech Lead 1</v>
      </c>
      <c r="B134" s="26" t="str">
        <f aca="false">IF(Team!$A5="","",Team!$B5)</f>
        <v>Tech Lead</v>
      </c>
      <c r="C134" s="26" t="str">
        <f aca="false">IF(Team!$A5="","",Team!$C5)</f>
        <v>FTE</v>
      </c>
      <c r="D134" s="43" t="n">
        <f aca="false">IF($A134="","",SUMIFS(Allocation!E$5:E$204,Allocation!$A$5:$A$204,$A134))</f>
        <v>0.8</v>
      </c>
      <c r="E134" s="43" t="n">
        <f aca="false">IF($A134="","",SUMIFS(Allocation!F$5:F$204,Allocation!$A$5:$A$204,$A134))</f>
        <v>0.8</v>
      </c>
      <c r="F134" s="43" t="n">
        <f aca="false">IF($A134="","",SUMIFS(Allocation!G$5:G$204,Allocation!$A$5:$A$204,$A134))</f>
        <v>1</v>
      </c>
      <c r="G134" s="43" t="n">
        <f aca="false">IF($A134="","",SUMIFS(Allocation!H$5:H$204,Allocation!$A$5:$A$204,$A134))</f>
        <v>1</v>
      </c>
      <c r="H134" s="43" t="n">
        <f aca="false">IF($A134="","",SUMIFS(Allocation!I$5:I$204,Allocation!$A$5:$A$204,$A134))</f>
        <v>0.8</v>
      </c>
      <c r="I134" s="43" t="n">
        <f aca="false">IF($A134="","",SUMIFS(Allocation!J$5:J$204,Allocation!$A$5:$A$204,$A134))</f>
        <v>0.8</v>
      </c>
      <c r="J134" s="43" t="n">
        <f aca="false">IF($A134="","",SUMIFS(Allocation!K$5:K$204,Allocation!$A$5:$A$204,$A134))</f>
        <v>0.8</v>
      </c>
      <c r="K134" s="43" t="n">
        <f aca="false">IF($A134="","",SUMIFS(Allocation!L$5:L$204,Allocation!$A$5:$A$204,$A134))</f>
        <v>0.8</v>
      </c>
      <c r="L134" s="43" t="n">
        <f aca="false">IF($A134="","",SUMIFS(Allocation!M$5:M$204,Allocation!$A$5:$A$204,$A134))</f>
        <v>0.6</v>
      </c>
      <c r="M134" s="43" t="n">
        <f aca="false">IF($A134="","",SUMIFS(Allocation!N$5:N$204,Allocation!$A$5:$A$204,$A134))</f>
        <v>0.6</v>
      </c>
      <c r="N134" s="43" t="n">
        <f aca="false">IF($A134="","",SUMIFS(Allocation!O$5:O$204,Allocation!$A$5:$A$204,$A134))</f>
        <v>0.6</v>
      </c>
      <c r="O134" s="43" t="n">
        <f aca="false">IF($A134="","",SUMIFS(Allocation!P$5:P$204,Allocation!$A$5:$A$204,$A134))</f>
        <v>0.6</v>
      </c>
      <c r="P134" s="19" t="n">
        <f aca="false">IF($A134="","",SUM(D134:O134))</f>
        <v>9.2</v>
      </c>
      <c r="Q134" s="2"/>
      <c r="R134" s="2"/>
      <c r="S134" s="2"/>
    </row>
    <row r="135" customFormat="false" ht="15" hidden="false" customHeight="false" outlineLevel="0" collapsed="false">
      <c r="A135" s="26" t="str">
        <f aca="false">IF(Team!$A6="","",Team!$A6)</f>
        <v>Java Dev 1</v>
      </c>
      <c r="B135" s="26" t="str">
        <f aca="false">IF(Team!$A6="","",Team!$B6)</f>
        <v>Backend Developer</v>
      </c>
      <c r="C135" s="26" t="str">
        <f aca="false">IF(Team!$A6="","",Team!$C6)</f>
        <v>FTE</v>
      </c>
      <c r="D135" s="43" t="n">
        <f aca="false">IF($A135="","",SUMIFS(Allocation!E$5:E$204,Allocation!$A$5:$A$204,$A135))</f>
        <v>0.5</v>
      </c>
      <c r="E135" s="43" t="n">
        <f aca="false">IF($A135="","",SUMIFS(Allocation!F$5:F$204,Allocation!$A$5:$A$204,$A135))</f>
        <v>0.5</v>
      </c>
      <c r="F135" s="43" t="n">
        <f aca="false">IF($A135="","",SUMIFS(Allocation!G$5:G$204,Allocation!$A$5:$A$204,$A135))</f>
        <v>0.9</v>
      </c>
      <c r="G135" s="43" t="n">
        <f aca="false">IF($A135="","",SUMIFS(Allocation!H$5:H$204,Allocation!$A$5:$A$204,$A135))</f>
        <v>0.9</v>
      </c>
      <c r="H135" s="43" t="n">
        <f aca="false">IF($A135="","",SUMIFS(Allocation!I$5:I$204,Allocation!$A$5:$A$204,$A135))</f>
        <v>0.9</v>
      </c>
      <c r="I135" s="43" t="n">
        <f aca="false">IF($A135="","",SUMIFS(Allocation!J$5:J$204,Allocation!$A$5:$A$204,$A135))</f>
        <v>0.9</v>
      </c>
      <c r="J135" s="43" t="n">
        <f aca="false">IF($A135="","",SUMIFS(Allocation!K$5:K$204,Allocation!$A$5:$A$204,$A135))</f>
        <v>0.9</v>
      </c>
      <c r="K135" s="43" t="n">
        <f aca="false">IF($A135="","",SUMIFS(Allocation!L$5:L$204,Allocation!$A$5:$A$204,$A135))</f>
        <v>0.9</v>
      </c>
      <c r="L135" s="43" t="n">
        <f aca="false">IF($A135="","",SUMIFS(Allocation!M$5:M$204,Allocation!$A$5:$A$204,$A135))</f>
        <v>0.5</v>
      </c>
      <c r="M135" s="43" t="n">
        <f aca="false">IF($A135="","",SUMIFS(Allocation!N$5:N$204,Allocation!$A$5:$A$204,$A135))</f>
        <v>0.5</v>
      </c>
      <c r="N135" s="43" t="n">
        <f aca="false">IF($A135="","",SUMIFS(Allocation!O$5:O$204,Allocation!$A$5:$A$204,$A135))</f>
        <v>0.5</v>
      </c>
      <c r="O135" s="43" t="n">
        <f aca="false">IF($A135="","",SUMIFS(Allocation!P$5:P$204,Allocation!$A$5:$A$204,$A135))</f>
        <v>0.5</v>
      </c>
      <c r="P135" s="19" t="n">
        <f aca="false">IF($A135="","",SUM(D135:O135))</f>
        <v>8.4</v>
      </c>
      <c r="Q135" s="2"/>
      <c r="R135" s="2"/>
      <c r="S135" s="2"/>
    </row>
    <row r="136" customFormat="false" ht="15" hidden="false" customHeight="false" outlineLevel="0" collapsed="false">
      <c r="A136" s="26" t="str">
        <f aca="false">IF(Team!$A7="","",Team!$A7)</f>
        <v>Angular Dev 1</v>
      </c>
      <c r="B136" s="26" t="str">
        <f aca="false">IF(Team!$A7="","",Team!$B7)</f>
        <v>Frontend Developer</v>
      </c>
      <c r="C136" s="26" t="str">
        <f aca="false">IF(Team!$A7="","",Team!$C7)</f>
        <v>Contractor</v>
      </c>
      <c r="D136" s="43" t="n">
        <f aca="false">IF($A136="","",SUMIFS(Allocation!E$5:E$204,Allocation!$A$5:$A$204,$A136))</f>
        <v>0.9</v>
      </c>
      <c r="E136" s="43" t="n">
        <f aca="false">IF($A136="","",SUMIFS(Allocation!F$5:F$204,Allocation!$A$5:$A$204,$A136))</f>
        <v>0.9</v>
      </c>
      <c r="F136" s="43" t="n">
        <f aca="false">IF($A136="","",SUMIFS(Allocation!G$5:G$204,Allocation!$A$5:$A$204,$A136))</f>
        <v>0.9</v>
      </c>
      <c r="G136" s="43" t="n">
        <f aca="false">IF($A136="","",SUMIFS(Allocation!H$5:H$204,Allocation!$A$5:$A$204,$A136))</f>
        <v>0.9</v>
      </c>
      <c r="H136" s="43" t="n">
        <f aca="false">IF($A136="","",SUMIFS(Allocation!I$5:I$204,Allocation!$A$5:$A$204,$A136))</f>
        <v>0.9</v>
      </c>
      <c r="I136" s="43" t="n">
        <f aca="false">IF($A136="","",SUMIFS(Allocation!J$5:J$204,Allocation!$A$5:$A$204,$A136))</f>
        <v>0.9</v>
      </c>
      <c r="J136" s="43" t="n">
        <f aca="false">IF($A136="","",SUMIFS(Allocation!K$5:K$204,Allocation!$A$5:$A$204,$A136))</f>
        <v>0.9</v>
      </c>
      <c r="K136" s="43" t="n">
        <f aca="false">IF($A136="","",SUMIFS(Allocation!L$5:L$204,Allocation!$A$5:$A$204,$A136))</f>
        <v>0.9</v>
      </c>
      <c r="L136" s="43" t="n">
        <f aca="false">IF($A136="","",SUMIFS(Allocation!M$5:M$204,Allocation!$A$5:$A$204,$A136))</f>
        <v>0.9</v>
      </c>
      <c r="M136" s="43" t="n">
        <f aca="false">IF($A136="","",SUMIFS(Allocation!N$5:N$204,Allocation!$A$5:$A$204,$A136))</f>
        <v>0.9</v>
      </c>
      <c r="N136" s="43" t="n">
        <f aca="false">IF($A136="","",SUMIFS(Allocation!O$5:O$204,Allocation!$A$5:$A$204,$A136))</f>
        <v>0.9</v>
      </c>
      <c r="O136" s="43" t="n">
        <f aca="false">IF($A136="","",SUMIFS(Allocation!P$5:P$204,Allocation!$A$5:$A$204,$A136))</f>
        <v>0.9</v>
      </c>
      <c r="P136" s="19" t="n">
        <f aca="false">IF($A136="","",SUM(D136:O136))</f>
        <v>10.8</v>
      </c>
      <c r="Q136" s="2"/>
      <c r="R136" s="2"/>
      <c r="S136" s="2"/>
    </row>
    <row r="137" customFormat="false" ht="15" hidden="false" customHeight="false" outlineLevel="0" collapsed="false">
      <c r="A137" s="26" t="str">
        <f aca="false">IF(Team!$A8="","",Team!$A8)</f>
        <v>Angular Dev 2</v>
      </c>
      <c r="B137" s="26" t="str">
        <f aca="false">IF(Team!$A8="","",Team!$B8)</f>
        <v>Full-stack Developer</v>
      </c>
      <c r="C137" s="26" t="str">
        <f aca="false">IF(Team!$A8="","",Team!$C8)</f>
        <v>Contractor</v>
      </c>
      <c r="D137" s="43" t="n">
        <f aca="false">IF($A137="","",SUMIFS(Allocation!E$5:E$204,Allocation!$A$5:$A$204,$A137))</f>
        <v>0.9</v>
      </c>
      <c r="E137" s="43" t="n">
        <f aca="false">IF($A137="","",SUMIFS(Allocation!F$5:F$204,Allocation!$A$5:$A$204,$A137))</f>
        <v>0.9</v>
      </c>
      <c r="F137" s="43" t="n">
        <f aca="false">IF($A137="","",SUMIFS(Allocation!G$5:G$204,Allocation!$A$5:$A$204,$A137))</f>
        <v>0.9</v>
      </c>
      <c r="G137" s="43" t="n">
        <f aca="false">IF($A137="","",SUMIFS(Allocation!H$5:H$204,Allocation!$A$5:$A$204,$A137))</f>
        <v>0.9</v>
      </c>
      <c r="H137" s="43" t="n">
        <f aca="false">IF($A137="","",SUMIFS(Allocation!I$5:I$204,Allocation!$A$5:$A$204,$A137))</f>
        <v>0.5</v>
      </c>
      <c r="I137" s="43" t="n">
        <f aca="false">IF($A137="","",SUMIFS(Allocation!J$5:J$204,Allocation!$A$5:$A$204,$A137))</f>
        <v>0.5</v>
      </c>
      <c r="J137" s="43" t="n">
        <f aca="false">IF($A137="","",SUMIFS(Allocation!K$5:K$204,Allocation!$A$5:$A$204,$A137))</f>
        <v>0.5</v>
      </c>
      <c r="K137" s="43" t="n">
        <f aca="false">IF($A137="","",SUMIFS(Allocation!L$5:L$204,Allocation!$A$5:$A$204,$A137))</f>
        <v>0.5</v>
      </c>
      <c r="L137" s="43" t="n">
        <f aca="false">IF($A137="","",SUMIFS(Allocation!M$5:M$204,Allocation!$A$5:$A$204,$A137))</f>
        <v>0.5</v>
      </c>
      <c r="M137" s="43" t="n">
        <f aca="false">IF($A137="","",SUMIFS(Allocation!N$5:N$204,Allocation!$A$5:$A$204,$A137))</f>
        <v>0.5</v>
      </c>
      <c r="N137" s="43" t="n">
        <f aca="false">IF($A137="","",SUMIFS(Allocation!O$5:O$204,Allocation!$A$5:$A$204,$A137))</f>
        <v>0.5</v>
      </c>
      <c r="O137" s="43" t="n">
        <f aca="false">IF($A137="","",SUMIFS(Allocation!P$5:P$204,Allocation!$A$5:$A$204,$A137))</f>
        <v>0.5</v>
      </c>
      <c r="P137" s="19" t="n">
        <f aca="false">IF($A137="","",SUM(D137:O137))</f>
        <v>7.6</v>
      </c>
      <c r="Q137" s="2"/>
      <c r="R137" s="2"/>
      <c r="S137" s="2"/>
    </row>
    <row r="138" customFormat="false" ht="15" hidden="false" customHeight="false" outlineLevel="0" collapsed="false">
      <c r="A138" s="26" t="str">
        <f aca="false">IF(Team!$A9="","",Team!$A9)</f>
        <v>QA Engineer 1</v>
      </c>
      <c r="B138" s="26" t="str">
        <f aca="false">IF(Team!$A9="","",Team!$B9)</f>
        <v>QA / SDET</v>
      </c>
      <c r="C138" s="26" t="str">
        <f aca="false">IF(Team!$A9="","",Team!$C9)</f>
        <v>Contractor</v>
      </c>
      <c r="D138" s="43" t="n">
        <f aca="false">IF($A138="","",SUMIFS(Allocation!E$5:E$204,Allocation!$A$5:$A$204,$A138))</f>
        <v>0.6</v>
      </c>
      <c r="E138" s="43" t="n">
        <f aca="false">IF($A138="","",SUMIFS(Allocation!F$5:F$204,Allocation!$A$5:$A$204,$A138))</f>
        <v>0.6</v>
      </c>
      <c r="F138" s="43" t="n">
        <f aca="false">IF($A138="","",SUMIFS(Allocation!G$5:G$204,Allocation!$A$5:$A$204,$A138))</f>
        <v>0.9</v>
      </c>
      <c r="G138" s="43" t="n">
        <f aca="false">IF($A138="","",SUMIFS(Allocation!H$5:H$204,Allocation!$A$5:$A$204,$A138))</f>
        <v>0.9</v>
      </c>
      <c r="H138" s="43" t="n">
        <f aca="false">IF($A138="","",SUMIFS(Allocation!I$5:I$204,Allocation!$A$5:$A$204,$A138))</f>
        <v>0.9</v>
      </c>
      <c r="I138" s="43" t="n">
        <f aca="false">IF($A138="","",SUMIFS(Allocation!J$5:J$204,Allocation!$A$5:$A$204,$A138))</f>
        <v>0.9</v>
      </c>
      <c r="J138" s="43" t="n">
        <f aca="false">IF($A138="","",SUMIFS(Allocation!K$5:K$204,Allocation!$A$5:$A$204,$A138))</f>
        <v>0.9</v>
      </c>
      <c r="K138" s="43" t="n">
        <f aca="false">IF($A138="","",SUMIFS(Allocation!L$5:L$204,Allocation!$A$5:$A$204,$A138))</f>
        <v>0.9</v>
      </c>
      <c r="L138" s="43" t="n">
        <f aca="false">IF($A138="","",SUMIFS(Allocation!M$5:M$204,Allocation!$A$5:$A$204,$A138))</f>
        <v>0.6</v>
      </c>
      <c r="M138" s="43" t="n">
        <f aca="false">IF($A138="","",SUMIFS(Allocation!N$5:N$204,Allocation!$A$5:$A$204,$A138))</f>
        <v>0.6</v>
      </c>
      <c r="N138" s="43" t="n">
        <f aca="false">IF($A138="","",SUMIFS(Allocation!O$5:O$204,Allocation!$A$5:$A$204,$A138))</f>
        <v>0.6</v>
      </c>
      <c r="O138" s="43" t="n">
        <f aca="false">IF($A138="","",SUMIFS(Allocation!P$5:P$204,Allocation!$A$5:$A$204,$A138))</f>
        <v>0.6</v>
      </c>
      <c r="P138" s="19" t="n">
        <f aca="false">IF($A138="","",SUM(D138:O138))</f>
        <v>9</v>
      </c>
      <c r="Q138" s="2"/>
      <c r="R138" s="2"/>
      <c r="S138" s="2"/>
    </row>
    <row r="139" customFormat="false" ht="15" hidden="false" customHeight="false" outlineLevel="0" collapsed="false">
      <c r="A139" s="26" t="str">
        <f aca="false">IF(Team!$A10="","",Team!$A10)</f>
        <v>TBH Angular Dev</v>
      </c>
      <c r="B139" s="26" t="str">
        <f aca="false">IF(Team!$A10="","",Team!$B10)</f>
        <v>Frontend Developer</v>
      </c>
      <c r="C139" s="26" t="str">
        <f aca="false">IF(Team!$A10="","",Team!$C10)</f>
        <v>Open Req</v>
      </c>
      <c r="D139" s="43" t="n">
        <f aca="false">IF($A139="","",SUMIFS(Allocation!E$5:E$204,Allocation!$A$5:$A$204,$A139))</f>
        <v>0</v>
      </c>
      <c r="E139" s="43" t="n">
        <f aca="false">IF($A139="","",SUMIFS(Allocation!F$5:F$204,Allocation!$A$5:$A$204,$A139))</f>
        <v>0</v>
      </c>
      <c r="F139" s="43" t="n">
        <f aca="false">IF($A139="","",SUMIFS(Allocation!G$5:G$204,Allocation!$A$5:$A$204,$A139))</f>
        <v>0</v>
      </c>
      <c r="G139" s="43" t="n">
        <f aca="false">IF($A139="","",SUMIFS(Allocation!H$5:H$204,Allocation!$A$5:$A$204,$A139))</f>
        <v>0.8</v>
      </c>
      <c r="H139" s="43" t="n">
        <f aca="false">IF($A139="","",SUMIFS(Allocation!I$5:I$204,Allocation!$A$5:$A$204,$A139))</f>
        <v>0.8</v>
      </c>
      <c r="I139" s="43" t="n">
        <f aca="false">IF($A139="","",SUMIFS(Allocation!J$5:J$204,Allocation!$A$5:$A$204,$A139))</f>
        <v>0.8</v>
      </c>
      <c r="J139" s="43" t="n">
        <f aca="false">IF($A139="","",SUMIFS(Allocation!K$5:K$204,Allocation!$A$5:$A$204,$A139))</f>
        <v>0.8</v>
      </c>
      <c r="K139" s="43" t="n">
        <f aca="false">IF($A139="","",SUMIFS(Allocation!L$5:L$204,Allocation!$A$5:$A$204,$A139))</f>
        <v>0.8</v>
      </c>
      <c r="L139" s="43" t="n">
        <f aca="false">IF($A139="","",SUMIFS(Allocation!M$5:M$204,Allocation!$A$5:$A$204,$A139))</f>
        <v>0.8</v>
      </c>
      <c r="M139" s="43" t="n">
        <f aca="false">IF($A139="","",SUMIFS(Allocation!N$5:N$204,Allocation!$A$5:$A$204,$A139))</f>
        <v>0.8</v>
      </c>
      <c r="N139" s="43" t="n">
        <f aca="false">IF($A139="","",SUMIFS(Allocation!O$5:O$204,Allocation!$A$5:$A$204,$A139))</f>
        <v>0.8</v>
      </c>
      <c r="O139" s="43" t="n">
        <f aca="false">IF($A139="","",SUMIFS(Allocation!P$5:P$204,Allocation!$A$5:$A$204,$A139))</f>
        <v>0.8</v>
      </c>
      <c r="P139" s="19" t="n">
        <f aca="false">IF($A139="","",SUM(D139:O139))</f>
        <v>7.2</v>
      </c>
      <c r="Q139" s="2"/>
      <c r="R139" s="2"/>
      <c r="S139" s="2"/>
    </row>
    <row r="140" customFormat="false" ht="15" hidden="false" customHeight="false" outlineLevel="0" collapsed="false">
      <c r="A140" s="26" t="str">
        <f aca="false">IF(Team!$A11="","",Team!$A11)</f>
        <v/>
      </c>
      <c r="B140" s="26" t="str">
        <f aca="false">IF(Team!$A11="","",Team!$B11)</f>
        <v/>
      </c>
      <c r="C140" s="26" t="str">
        <f aca="false">IF(Team!$A11="","",Team!$C11)</f>
        <v/>
      </c>
      <c r="D140" s="43" t="str">
        <f aca="false">IF($A140="","",SUMIFS(Allocation!E$5:E$204,Allocation!$A$5:$A$204,$A140))</f>
        <v/>
      </c>
      <c r="E140" s="43" t="str">
        <f aca="false">IF($A140="","",SUMIFS(Allocation!F$5:F$204,Allocation!$A$5:$A$204,$A140))</f>
        <v/>
      </c>
      <c r="F140" s="43" t="str">
        <f aca="false">IF($A140="","",SUMIFS(Allocation!G$5:G$204,Allocation!$A$5:$A$204,$A140))</f>
        <v/>
      </c>
      <c r="G140" s="43" t="str">
        <f aca="false">IF($A140="","",SUMIFS(Allocation!H$5:H$204,Allocation!$A$5:$A$204,$A140))</f>
        <v/>
      </c>
      <c r="H140" s="43" t="str">
        <f aca="false">IF($A140="","",SUMIFS(Allocation!I$5:I$204,Allocation!$A$5:$A$204,$A140))</f>
        <v/>
      </c>
      <c r="I140" s="43" t="str">
        <f aca="false">IF($A140="","",SUMIFS(Allocation!J$5:J$204,Allocation!$A$5:$A$204,$A140))</f>
        <v/>
      </c>
      <c r="J140" s="43" t="str">
        <f aca="false">IF($A140="","",SUMIFS(Allocation!K$5:K$204,Allocation!$A$5:$A$204,$A140))</f>
        <v/>
      </c>
      <c r="K140" s="43" t="str">
        <f aca="false">IF($A140="","",SUMIFS(Allocation!L$5:L$204,Allocation!$A$5:$A$204,$A140))</f>
        <v/>
      </c>
      <c r="L140" s="43" t="str">
        <f aca="false">IF($A140="","",SUMIFS(Allocation!M$5:M$204,Allocation!$A$5:$A$204,$A140))</f>
        <v/>
      </c>
      <c r="M140" s="43" t="str">
        <f aca="false">IF($A140="","",SUMIFS(Allocation!N$5:N$204,Allocation!$A$5:$A$204,$A140))</f>
        <v/>
      </c>
      <c r="N140" s="43" t="str">
        <f aca="false">IF($A140="","",SUMIFS(Allocation!O$5:O$204,Allocation!$A$5:$A$204,$A140))</f>
        <v/>
      </c>
      <c r="O140" s="43" t="str">
        <f aca="false">IF($A140="","",SUMIFS(Allocation!P$5:P$204,Allocation!$A$5:$A$204,$A140))</f>
        <v/>
      </c>
      <c r="P140" s="19" t="str">
        <f aca="false">IF($A140="","",SUM(D140:O140))</f>
        <v/>
      </c>
      <c r="Q140" s="2"/>
      <c r="R140" s="2"/>
      <c r="S140" s="2"/>
    </row>
    <row r="141" customFormat="false" ht="15" hidden="false" customHeight="false" outlineLevel="0" collapsed="false">
      <c r="A141" s="26" t="str">
        <f aca="false">IF(Team!$A12="","",Team!$A12)</f>
        <v/>
      </c>
      <c r="B141" s="26" t="str">
        <f aca="false">IF(Team!$A12="","",Team!$B12)</f>
        <v/>
      </c>
      <c r="C141" s="26" t="str">
        <f aca="false">IF(Team!$A12="","",Team!$C12)</f>
        <v/>
      </c>
      <c r="D141" s="43" t="str">
        <f aca="false">IF($A141="","",SUMIFS(Allocation!E$5:E$204,Allocation!$A$5:$A$204,$A141))</f>
        <v/>
      </c>
      <c r="E141" s="43" t="str">
        <f aca="false">IF($A141="","",SUMIFS(Allocation!F$5:F$204,Allocation!$A$5:$A$204,$A141))</f>
        <v/>
      </c>
      <c r="F141" s="43" t="str">
        <f aca="false">IF($A141="","",SUMIFS(Allocation!G$5:G$204,Allocation!$A$5:$A$204,$A141))</f>
        <v/>
      </c>
      <c r="G141" s="43" t="str">
        <f aca="false">IF($A141="","",SUMIFS(Allocation!H$5:H$204,Allocation!$A$5:$A$204,$A141))</f>
        <v/>
      </c>
      <c r="H141" s="43" t="str">
        <f aca="false">IF($A141="","",SUMIFS(Allocation!I$5:I$204,Allocation!$A$5:$A$204,$A141))</f>
        <v/>
      </c>
      <c r="I141" s="43" t="str">
        <f aca="false">IF($A141="","",SUMIFS(Allocation!J$5:J$204,Allocation!$A$5:$A$204,$A141))</f>
        <v/>
      </c>
      <c r="J141" s="43" t="str">
        <f aca="false">IF($A141="","",SUMIFS(Allocation!K$5:K$204,Allocation!$A$5:$A$204,$A141))</f>
        <v/>
      </c>
      <c r="K141" s="43" t="str">
        <f aca="false">IF($A141="","",SUMIFS(Allocation!L$5:L$204,Allocation!$A$5:$A$204,$A141))</f>
        <v/>
      </c>
      <c r="L141" s="43" t="str">
        <f aca="false">IF($A141="","",SUMIFS(Allocation!M$5:M$204,Allocation!$A$5:$A$204,$A141))</f>
        <v/>
      </c>
      <c r="M141" s="43" t="str">
        <f aca="false">IF($A141="","",SUMIFS(Allocation!N$5:N$204,Allocation!$A$5:$A$204,$A141))</f>
        <v/>
      </c>
      <c r="N141" s="43" t="str">
        <f aca="false">IF($A141="","",SUMIFS(Allocation!O$5:O$204,Allocation!$A$5:$A$204,$A141))</f>
        <v/>
      </c>
      <c r="O141" s="43" t="str">
        <f aca="false">IF($A141="","",SUMIFS(Allocation!P$5:P$204,Allocation!$A$5:$A$204,$A141))</f>
        <v/>
      </c>
      <c r="P141" s="19" t="str">
        <f aca="false">IF($A141="","",SUM(D141:O141))</f>
        <v/>
      </c>
      <c r="Q141" s="2"/>
      <c r="R141" s="2"/>
      <c r="S141" s="2"/>
    </row>
    <row r="142" customFormat="false" ht="15" hidden="false" customHeight="false" outlineLevel="0" collapsed="false">
      <c r="A142" s="26" t="str">
        <f aca="false">IF(Team!$A13="","",Team!$A13)</f>
        <v/>
      </c>
      <c r="B142" s="26" t="str">
        <f aca="false">IF(Team!$A13="","",Team!$B13)</f>
        <v/>
      </c>
      <c r="C142" s="26" t="str">
        <f aca="false">IF(Team!$A13="","",Team!$C13)</f>
        <v/>
      </c>
      <c r="D142" s="43" t="str">
        <f aca="false">IF($A142="","",SUMIFS(Allocation!E$5:E$204,Allocation!$A$5:$A$204,$A142))</f>
        <v/>
      </c>
      <c r="E142" s="43" t="str">
        <f aca="false">IF($A142="","",SUMIFS(Allocation!F$5:F$204,Allocation!$A$5:$A$204,$A142))</f>
        <v/>
      </c>
      <c r="F142" s="43" t="str">
        <f aca="false">IF($A142="","",SUMIFS(Allocation!G$5:G$204,Allocation!$A$5:$A$204,$A142))</f>
        <v/>
      </c>
      <c r="G142" s="43" t="str">
        <f aca="false">IF($A142="","",SUMIFS(Allocation!H$5:H$204,Allocation!$A$5:$A$204,$A142))</f>
        <v/>
      </c>
      <c r="H142" s="43" t="str">
        <f aca="false">IF($A142="","",SUMIFS(Allocation!I$5:I$204,Allocation!$A$5:$A$204,$A142))</f>
        <v/>
      </c>
      <c r="I142" s="43" t="str">
        <f aca="false">IF($A142="","",SUMIFS(Allocation!J$5:J$204,Allocation!$A$5:$A$204,$A142))</f>
        <v/>
      </c>
      <c r="J142" s="43" t="str">
        <f aca="false">IF($A142="","",SUMIFS(Allocation!K$5:K$204,Allocation!$A$5:$A$204,$A142))</f>
        <v/>
      </c>
      <c r="K142" s="43" t="str">
        <f aca="false">IF($A142="","",SUMIFS(Allocation!L$5:L$204,Allocation!$A$5:$A$204,$A142))</f>
        <v/>
      </c>
      <c r="L142" s="43" t="str">
        <f aca="false">IF($A142="","",SUMIFS(Allocation!M$5:M$204,Allocation!$A$5:$A$204,$A142))</f>
        <v/>
      </c>
      <c r="M142" s="43" t="str">
        <f aca="false">IF($A142="","",SUMIFS(Allocation!N$5:N$204,Allocation!$A$5:$A$204,$A142))</f>
        <v/>
      </c>
      <c r="N142" s="43" t="str">
        <f aca="false">IF($A142="","",SUMIFS(Allocation!O$5:O$204,Allocation!$A$5:$A$204,$A142))</f>
        <v/>
      </c>
      <c r="O142" s="43" t="str">
        <f aca="false">IF($A142="","",SUMIFS(Allocation!P$5:P$204,Allocation!$A$5:$A$204,$A142))</f>
        <v/>
      </c>
      <c r="P142" s="19" t="str">
        <f aca="false">IF($A142="","",SUM(D142:O142))</f>
        <v/>
      </c>
      <c r="Q142" s="2"/>
      <c r="R142" s="2"/>
      <c r="S142" s="2"/>
    </row>
    <row r="143" customFormat="false" ht="15" hidden="false" customHeight="false" outlineLevel="0" collapsed="false">
      <c r="A143" s="26" t="str">
        <f aca="false">IF(Team!$A14="","",Team!$A14)</f>
        <v/>
      </c>
      <c r="B143" s="26" t="str">
        <f aca="false">IF(Team!$A14="","",Team!$B14)</f>
        <v/>
      </c>
      <c r="C143" s="26" t="str">
        <f aca="false">IF(Team!$A14="","",Team!$C14)</f>
        <v/>
      </c>
      <c r="D143" s="43" t="str">
        <f aca="false">IF($A143="","",SUMIFS(Allocation!E$5:E$204,Allocation!$A$5:$A$204,$A143))</f>
        <v/>
      </c>
      <c r="E143" s="43" t="str">
        <f aca="false">IF($A143="","",SUMIFS(Allocation!F$5:F$204,Allocation!$A$5:$A$204,$A143))</f>
        <v/>
      </c>
      <c r="F143" s="43" t="str">
        <f aca="false">IF($A143="","",SUMIFS(Allocation!G$5:G$204,Allocation!$A$5:$A$204,$A143))</f>
        <v/>
      </c>
      <c r="G143" s="43" t="str">
        <f aca="false">IF($A143="","",SUMIFS(Allocation!H$5:H$204,Allocation!$A$5:$A$204,$A143))</f>
        <v/>
      </c>
      <c r="H143" s="43" t="str">
        <f aca="false">IF($A143="","",SUMIFS(Allocation!I$5:I$204,Allocation!$A$5:$A$204,$A143))</f>
        <v/>
      </c>
      <c r="I143" s="43" t="str">
        <f aca="false">IF($A143="","",SUMIFS(Allocation!J$5:J$204,Allocation!$A$5:$A$204,$A143))</f>
        <v/>
      </c>
      <c r="J143" s="43" t="str">
        <f aca="false">IF($A143="","",SUMIFS(Allocation!K$5:K$204,Allocation!$A$5:$A$204,$A143))</f>
        <v/>
      </c>
      <c r="K143" s="43" t="str">
        <f aca="false">IF($A143="","",SUMIFS(Allocation!L$5:L$204,Allocation!$A$5:$A$204,$A143))</f>
        <v/>
      </c>
      <c r="L143" s="43" t="str">
        <f aca="false">IF($A143="","",SUMIFS(Allocation!M$5:M$204,Allocation!$A$5:$A$204,$A143))</f>
        <v/>
      </c>
      <c r="M143" s="43" t="str">
        <f aca="false">IF($A143="","",SUMIFS(Allocation!N$5:N$204,Allocation!$A$5:$A$204,$A143))</f>
        <v/>
      </c>
      <c r="N143" s="43" t="str">
        <f aca="false">IF($A143="","",SUMIFS(Allocation!O$5:O$204,Allocation!$A$5:$A$204,$A143))</f>
        <v/>
      </c>
      <c r="O143" s="43" t="str">
        <f aca="false">IF($A143="","",SUMIFS(Allocation!P$5:P$204,Allocation!$A$5:$A$204,$A143))</f>
        <v/>
      </c>
      <c r="P143" s="19" t="str">
        <f aca="false">IF($A143="","",SUM(D143:O143))</f>
        <v/>
      </c>
      <c r="Q143" s="2"/>
      <c r="R143" s="2"/>
      <c r="S143" s="2"/>
    </row>
    <row r="144" customFormat="false" ht="15" hidden="false" customHeight="false" outlineLevel="0" collapsed="false">
      <c r="A144" s="26" t="str">
        <f aca="false">IF(Team!$A15="","",Team!$A15)</f>
        <v/>
      </c>
      <c r="B144" s="26" t="str">
        <f aca="false">IF(Team!$A15="","",Team!$B15)</f>
        <v/>
      </c>
      <c r="C144" s="26" t="str">
        <f aca="false">IF(Team!$A15="","",Team!$C15)</f>
        <v/>
      </c>
      <c r="D144" s="43" t="str">
        <f aca="false">IF($A144="","",SUMIFS(Allocation!E$5:E$204,Allocation!$A$5:$A$204,$A144))</f>
        <v/>
      </c>
      <c r="E144" s="43" t="str">
        <f aca="false">IF($A144="","",SUMIFS(Allocation!F$5:F$204,Allocation!$A$5:$A$204,$A144))</f>
        <v/>
      </c>
      <c r="F144" s="43" t="str">
        <f aca="false">IF($A144="","",SUMIFS(Allocation!G$5:G$204,Allocation!$A$5:$A$204,$A144))</f>
        <v/>
      </c>
      <c r="G144" s="43" t="str">
        <f aca="false">IF($A144="","",SUMIFS(Allocation!H$5:H$204,Allocation!$A$5:$A$204,$A144))</f>
        <v/>
      </c>
      <c r="H144" s="43" t="str">
        <f aca="false">IF($A144="","",SUMIFS(Allocation!I$5:I$204,Allocation!$A$5:$A$204,$A144))</f>
        <v/>
      </c>
      <c r="I144" s="43" t="str">
        <f aca="false">IF($A144="","",SUMIFS(Allocation!J$5:J$204,Allocation!$A$5:$A$204,$A144))</f>
        <v/>
      </c>
      <c r="J144" s="43" t="str">
        <f aca="false">IF($A144="","",SUMIFS(Allocation!K$5:K$204,Allocation!$A$5:$A$204,$A144))</f>
        <v/>
      </c>
      <c r="K144" s="43" t="str">
        <f aca="false">IF($A144="","",SUMIFS(Allocation!L$5:L$204,Allocation!$A$5:$A$204,$A144))</f>
        <v/>
      </c>
      <c r="L144" s="43" t="str">
        <f aca="false">IF($A144="","",SUMIFS(Allocation!M$5:M$204,Allocation!$A$5:$A$204,$A144))</f>
        <v/>
      </c>
      <c r="M144" s="43" t="str">
        <f aca="false">IF($A144="","",SUMIFS(Allocation!N$5:N$204,Allocation!$A$5:$A$204,$A144))</f>
        <v/>
      </c>
      <c r="N144" s="43" t="str">
        <f aca="false">IF($A144="","",SUMIFS(Allocation!O$5:O$204,Allocation!$A$5:$A$204,$A144))</f>
        <v/>
      </c>
      <c r="O144" s="43" t="str">
        <f aca="false">IF($A144="","",SUMIFS(Allocation!P$5:P$204,Allocation!$A$5:$A$204,$A144))</f>
        <v/>
      </c>
      <c r="P144" s="19" t="str">
        <f aca="false">IF($A144="","",SUM(D144:O144))</f>
        <v/>
      </c>
      <c r="Q144" s="2"/>
      <c r="R144" s="2"/>
      <c r="S144" s="2"/>
    </row>
    <row r="145" customFormat="false" ht="15" hidden="false" customHeight="false" outlineLevel="0" collapsed="false">
      <c r="A145" s="26" t="str">
        <f aca="false">IF(Team!$A16="","",Team!$A16)</f>
        <v/>
      </c>
      <c r="B145" s="26" t="str">
        <f aca="false">IF(Team!$A16="","",Team!$B16)</f>
        <v/>
      </c>
      <c r="C145" s="26" t="str">
        <f aca="false">IF(Team!$A16="","",Team!$C16)</f>
        <v/>
      </c>
      <c r="D145" s="43" t="str">
        <f aca="false">IF($A145="","",SUMIFS(Allocation!E$5:E$204,Allocation!$A$5:$A$204,$A145))</f>
        <v/>
      </c>
      <c r="E145" s="43" t="str">
        <f aca="false">IF($A145="","",SUMIFS(Allocation!F$5:F$204,Allocation!$A$5:$A$204,$A145))</f>
        <v/>
      </c>
      <c r="F145" s="43" t="str">
        <f aca="false">IF($A145="","",SUMIFS(Allocation!G$5:G$204,Allocation!$A$5:$A$204,$A145))</f>
        <v/>
      </c>
      <c r="G145" s="43" t="str">
        <f aca="false">IF($A145="","",SUMIFS(Allocation!H$5:H$204,Allocation!$A$5:$A$204,$A145))</f>
        <v/>
      </c>
      <c r="H145" s="43" t="str">
        <f aca="false">IF($A145="","",SUMIFS(Allocation!I$5:I$204,Allocation!$A$5:$A$204,$A145))</f>
        <v/>
      </c>
      <c r="I145" s="43" t="str">
        <f aca="false">IF($A145="","",SUMIFS(Allocation!J$5:J$204,Allocation!$A$5:$A$204,$A145))</f>
        <v/>
      </c>
      <c r="J145" s="43" t="str">
        <f aca="false">IF($A145="","",SUMIFS(Allocation!K$5:K$204,Allocation!$A$5:$A$204,$A145))</f>
        <v/>
      </c>
      <c r="K145" s="43" t="str">
        <f aca="false">IF($A145="","",SUMIFS(Allocation!L$5:L$204,Allocation!$A$5:$A$204,$A145))</f>
        <v/>
      </c>
      <c r="L145" s="43" t="str">
        <f aca="false">IF($A145="","",SUMIFS(Allocation!M$5:M$204,Allocation!$A$5:$A$204,$A145))</f>
        <v/>
      </c>
      <c r="M145" s="43" t="str">
        <f aca="false">IF($A145="","",SUMIFS(Allocation!N$5:N$204,Allocation!$A$5:$A$204,$A145))</f>
        <v/>
      </c>
      <c r="N145" s="43" t="str">
        <f aca="false">IF($A145="","",SUMIFS(Allocation!O$5:O$204,Allocation!$A$5:$A$204,$A145))</f>
        <v/>
      </c>
      <c r="O145" s="43" t="str">
        <f aca="false">IF($A145="","",SUMIFS(Allocation!P$5:P$204,Allocation!$A$5:$A$204,$A145))</f>
        <v/>
      </c>
      <c r="P145" s="19" t="str">
        <f aca="false">IF($A145="","",SUM(D145:O145))</f>
        <v/>
      </c>
      <c r="Q145" s="2"/>
      <c r="R145" s="2"/>
      <c r="S145" s="2"/>
    </row>
    <row r="146" customFormat="false" ht="15" hidden="false" customHeight="false" outlineLevel="0" collapsed="false">
      <c r="A146" s="26" t="str">
        <f aca="false">IF(Team!$A17="","",Team!$A17)</f>
        <v/>
      </c>
      <c r="B146" s="26" t="str">
        <f aca="false">IF(Team!$A17="","",Team!$B17)</f>
        <v/>
      </c>
      <c r="C146" s="26" t="str">
        <f aca="false">IF(Team!$A17="","",Team!$C17)</f>
        <v/>
      </c>
      <c r="D146" s="43" t="str">
        <f aca="false">IF($A146="","",SUMIFS(Allocation!E$5:E$204,Allocation!$A$5:$A$204,$A146))</f>
        <v/>
      </c>
      <c r="E146" s="43" t="str">
        <f aca="false">IF($A146="","",SUMIFS(Allocation!F$5:F$204,Allocation!$A$5:$A$204,$A146))</f>
        <v/>
      </c>
      <c r="F146" s="43" t="str">
        <f aca="false">IF($A146="","",SUMIFS(Allocation!G$5:G$204,Allocation!$A$5:$A$204,$A146))</f>
        <v/>
      </c>
      <c r="G146" s="43" t="str">
        <f aca="false">IF($A146="","",SUMIFS(Allocation!H$5:H$204,Allocation!$A$5:$A$204,$A146))</f>
        <v/>
      </c>
      <c r="H146" s="43" t="str">
        <f aca="false">IF($A146="","",SUMIFS(Allocation!I$5:I$204,Allocation!$A$5:$A$204,$A146))</f>
        <v/>
      </c>
      <c r="I146" s="43" t="str">
        <f aca="false">IF($A146="","",SUMIFS(Allocation!J$5:J$204,Allocation!$A$5:$A$204,$A146))</f>
        <v/>
      </c>
      <c r="J146" s="43" t="str">
        <f aca="false">IF($A146="","",SUMIFS(Allocation!K$5:K$204,Allocation!$A$5:$A$204,$A146))</f>
        <v/>
      </c>
      <c r="K146" s="43" t="str">
        <f aca="false">IF($A146="","",SUMIFS(Allocation!L$5:L$204,Allocation!$A$5:$A$204,$A146))</f>
        <v/>
      </c>
      <c r="L146" s="43" t="str">
        <f aca="false">IF($A146="","",SUMIFS(Allocation!M$5:M$204,Allocation!$A$5:$A$204,$A146))</f>
        <v/>
      </c>
      <c r="M146" s="43" t="str">
        <f aca="false">IF($A146="","",SUMIFS(Allocation!N$5:N$204,Allocation!$A$5:$A$204,$A146))</f>
        <v/>
      </c>
      <c r="N146" s="43" t="str">
        <f aca="false">IF($A146="","",SUMIFS(Allocation!O$5:O$204,Allocation!$A$5:$A$204,$A146))</f>
        <v/>
      </c>
      <c r="O146" s="43" t="str">
        <f aca="false">IF($A146="","",SUMIFS(Allocation!P$5:P$204,Allocation!$A$5:$A$204,$A146))</f>
        <v/>
      </c>
      <c r="P146" s="19" t="str">
        <f aca="false">IF($A146="","",SUM(D146:O146))</f>
        <v/>
      </c>
      <c r="Q146" s="2"/>
      <c r="R146" s="2"/>
      <c r="S146" s="2"/>
    </row>
    <row r="147" customFormat="false" ht="15" hidden="false" customHeight="false" outlineLevel="0" collapsed="false">
      <c r="A147" s="26" t="str">
        <f aca="false">IF(Team!$A18="","",Team!$A18)</f>
        <v/>
      </c>
      <c r="B147" s="26" t="str">
        <f aca="false">IF(Team!$A18="","",Team!$B18)</f>
        <v/>
      </c>
      <c r="C147" s="26" t="str">
        <f aca="false">IF(Team!$A18="","",Team!$C18)</f>
        <v/>
      </c>
      <c r="D147" s="43" t="str">
        <f aca="false">IF($A147="","",SUMIFS(Allocation!E$5:E$204,Allocation!$A$5:$A$204,$A147))</f>
        <v/>
      </c>
      <c r="E147" s="43" t="str">
        <f aca="false">IF($A147="","",SUMIFS(Allocation!F$5:F$204,Allocation!$A$5:$A$204,$A147))</f>
        <v/>
      </c>
      <c r="F147" s="43" t="str">
        <f aca="false">IF($A147="","",SUMIFS(Allocation!G$5:G$204,Allocation!$A$5:$A$204,$A147))</f>
        <v/>
      </c>
      <c r="G147" s="43" t="str">
        <f aca="false">IF($A147="","",SUMIFS(Allocation!H$5:H$204,Allocation!$A$5:$A$204,$A147))</f>
        <v/>
      </c>
      <c r="H147" s="43" t="str">
        <f aca="false">IF($A147="","",SUMIFS(Allocation!I$5:I$204,Allocation!$A$5:$A$204,$A147))</f>
        <v/>
      </c>
      <c r="I147" s="43" t="str">
        <f aca="false">IF($A147="","",SUMIFS(Allocation!J$5:J$204,Allocation!$A$5:$A$204,$A147))</f>
        <v/>
      </c>
      <c r="J147" s="43" t="str">
        <f aca="false">IF($A147="","",SUMIFS(Allocation!K$5:K$204,Allocation!$A$5:$A$204,$A147))</f>
        <v/>
      </c>
      <c r="K147" s="43" t="str">
        <f aca="false">IF($A147="","",SUMIFS(Allocation!L$5:L$204,Allocation!$A$5:$A$204,$A147))</f>
        <v/>
      </c>
      <c r="L147" s="43" t="str">
        <f aca="false">IF($A147="","",SUMIFS(Allocation!M$5:M$204,Allocation!$A$5:$A$204,$A147))</f>
        <v/>
      </c>
      <c r="M147" s="43" t="str">
        <f aca="false">IF($A147="","",SUMIFS(Allocation!N$5:N$204,Allocation!$A$5:$A$204,$A147))</f>
        <v/>
      </c>
      <c r="N147" s="43" t="str">
        <f aca="false">IF($A147="","",SUMIFS(Allocation!O$5:O$204,Allocation!$A$5:$A$204,$A147))</f>
        <v/>
      </c>
      <c r="O147" s="43" t="str">
        <f aca="false">IF($A147="","",SUMIFS(Allocation!P$5:P$204,Allocation!$A$5:$A$204,$A147))</f>
        <v/>
      </c>
      <c r="P147" s="19" t="str">
        <f aca="false">IF($A147="","",SUM(D147:O147))</f>
        <v/>
      </c>
      <c r="Q147" s="2"/>
      <c r="R147" s="2"/>
      <c r="S147" s="2"/>
    </row>
    <row r="148" customFormat="false" ht="15" hidden="false" customHeight="false" outlineLevel="0" collapsed="false">
      <c r="A148" s="26" t="str">
        <f aca="false">IF(Team!$A19="","",Team!$A19)</f>
        <v/>
      </c>
      <c r="B148" s="26" t="str">
        <f aca="false">IF(Team!$A19="","",Team!$B19)</f>
        <v/>
      </c>
      <c r="C148" s="26" t="str">
        <f aca="false">IF(Team!$A19="","",Team!$C19)</f>
        <v/>
      </c>
      <c r="D148" s="43" t="str">
        <f aca="false">IF($A148="","",SUMIFS(Allocation!E$5:E$204,Allocation!$A$5:$A$204,$A148))</f>
        <v/>
      </c>
      <c r="E148" s="43" t="str">
        <f aca="false">IF($A148="","",SUMIFS(Allocation!F$5:F$204,Allocation!$A$5:$A$204,$A148))</f>
        <v/>
      </c>
      <c r="F148" s="43" t="str">
        <f aca="false">IF($A148="","",SUMIFS(Allocation!G$5:G$204,Allocation!$A$5:$A$204,$A148))</f>
        <v/>
      </c>
      <c r="G148" s="43" t="str">
        <f aca="false">IF($A148="","",SUMIFS(Allocation!H$5:H$204,Allocation!$A$5:$A$204,$A148))</f>
        <v/>
      </c>
      <c r="H148" s="43" t="str">
        <f aca="false">IF($A148="","",SUMIFS(Allocation!I$5:I$204,Allocation!$A$5:$A$204,$A148))</f>
        <v/>
      </c>
      <c r="I148" s="43" t="str">
        <f aca="false">IF($A148="","",SUMIFS(Allocation!J$5:J$204,Allocation!$A$5:$A$204,$A148))</f>
        <v/>
      </c>
      <c r="J148" s="43" t="str">
        <f aca="false">IF($A148="","",SUMIFS(Allocation!K$5:K$204,Allocation!$A$5:$A$204,$A148))</f>
        <v/>
      </c>
      <c r="K148" s="43" t="str">
        <f aca="false">IF($A148="","",SUMIFS(Allocation!L$5:L$204,Allocation!$A$5:$A$204,$A148))</f>
        <v/>
      </c>
      <c r="L148" s="43" t="str">
        <f aca="false">IF($A148="","",SUMIFS(Allocation!M$5:M$204,Allocation!$A$5:$A$204,$A148))</f>
        <v/>
      </c>
      <c r="M148" s="43" t="str">
        <f aca="false">IF($A148="","",SUMIFS(Allocation!N$5:N$204,Allocation!$A$5:$A$204,$A148))</f>
        <v/>
      </c>
      <c r="N148" s="43" t="str">
        <f aca="false">IF($A148="","",SUMIFS(Allocation!O$5:O$204,Allocation!$A$5:$A$204,$A148))</f>
        <v/>
      </c>
      <c r="O148" s="43" t="str">
        <f aca="false">IF($A148="","",SUMIFS(Allocation!P$5:P$204,Allocation!$A$5:$A$204,$A148))</f>
        <v/>
      </c>
      <c r="P148" s="19" t="str">
        <f aca="false">IF($A148="","",SUM(D148:O148))</f>
        <v/>
      </c>
      <c r="Q148" s="2"/>
      <c r="R148" s="2"/>
      <c r="S148" s="2"/>
    </row>
    <row r="149" customFormat="false" ht="15" hidden="false" customHeight="false" outlineLevel="0" collapsed="false">
      <c r="A149" s="26" t="str">
        <f aca="false">IF(Team!$A20="","",Team!$A20)</f>
        <v/>
      </c>
      <c r="B149" s="26" t="str">
        <f aca="false">IF(Team!$A20="","",Team!$B20)</f>
        <v/>
      </c>
      <c r="C149" s="26" t="str">
        <f aca="false">IF(Team!$A20="","",Team!$C20)</f>
        <v/>
      </c>
      <c r="D149" s="43" t="str">
        <f aca="false">IF($A149="","",SUMIFS(Allocation!E$5:E$204,Allocation!$A$5:$A$204,$A149))</f>
        <v/>
      </c>
      <c r="E149" s="43" t="str">
        <f aca="false">IF($A149="","",SUMIFS(Allocation!F$5:F$204,Allocation!$A$5:$A$204,$A149))</f>
        <v/>
      </c>
      <c r="F149" s="43" t="str">
        <f aca="false">IF($A149="","",SUMIFS(Allocation!G$5:G$204,Allocation!$A$5:$A$204,$A149))</f>
        <v/>
      </c>
      <c r="G149" s="43" t="str">
        <f aca="false">IF($A149="","",SUMIFS(Allocation!H$5:H$204,Allocation!$A$5:$A$204,$A149))</f>
        <v/>
      </c>
      <c r="H149" s="43" t="str">
        <f aca="false">IF($A149="","",SUMIFS(Allocation!I$5:I$204,Allocation!$A$5:$A$204,$A149))</f>
        <v/>
      </c>
      <c r="I149" s="43" t="str">
        <f aca="false">IF($A149="","",SUMIFS(Allocation!J$5:J$204,Allocation!$A$5:$A$204,$A149))</f>
        <v/>
      </c>
      <c r="J149" s="43" t="str">
        <f aca="false">IF($A149="","",SUMIFS(Allocation!K$5:K$204,Allocation!$A$5:$A$204,$A149))</f>
        <v/>
      </c>
      <c r="K149" s="43" t="str">
        <f aca="false">IF($A149="","",SUMIFS(Allocation!L$5:L$204,Allocation!$A$5:$A$204,$A149))</f>
        <v/>
      </c>
      <c r="L149" s="43" t="str">
        <f aca="false">IF($A149="","",SUMIFS(Allocation!M$5:M$204,Allocation!$A$5:$A$204,$A149))</f>
        <v/>
      </c>
      <c r="M149" s="43" t="str">
        <f aca="false">IF($A149="","",SUMIFS(Allocation!N$5:N$204,Allocation!$A$5:$A$204,$A149))</f>
        <v/>
      </c>
      <c r="N149" s="43" t="str">
        <f aca="false">IF($A149="","",SUMIFS(Allocation!O$5:O$204,Allocation!$A$5:$A$204,$A149))</f>
        <v/>
      </c>
      <c r="O149" s="43" t="str">
        <f aca="false">IF($A149="","",SUMIFS(Allocation!P$5:P$204,Allocation!$A$5:$A$204,$A149))</f>
        <v/>
      </c>
      <c r="P149" s="19" t="str">
        <f aca="false">IF($A149="","",SUM(D149:O149))</f>
        <v/>
      </c>
      <c r="Q149" s="2"/>
      <c r="R149" s="2"/>
      <c r="S149" s="2"/>
    </row>
    <row r="150" customFormat="false" ht="15" hidden="false" customHeight="false" outlineLevel="0" collapsed="false">
      <c r="A150" s="26" t="str">
        <f aca="false">IF(Team!$A21="","",Team!$A21)</f>
        <v/>
      </c>
      <c r="B150" s="26" t="str">
        <f aca="false">IF(Team!$A21="","",Team!$B21)</f>
        <v/>
      </c>
      <c r="C150" s="26" t="str">
        <f aca="false">IF(Team!$A21="","",Team!$C21)</f>
        <v/>
      </c>
      <c r="D150" s="43" t="str">
        <f aca="false">IF($A150="","",SUMIFS(Allocation!E$5:E$204,Allocation!$A$5:$A$204,$A150))</f>
        <v/>
      </c>
      <c r="E150" s="43" t="str">
        <f aca="false">IF($A150="","",SUMIFS(Allocation!F$5:F$204,Allocation!$A$5:$A$204,$A150))</f>
        <v/>
      </c>
      <c r="F150" s="43" t="str">
        <f aca="false">IF($A150="","",SUMIFS(Allocation!G$5:G$204,Allocation!$A$5:$A$204,$A150))</f>
        <v/>
      </c>
      <c r="G150" s="43" t="str">
        <f aca="false">IF($A150="","",SUMIFS(Allocation!H$5:H$204,Allocation!$A$5:$A$204,$A150))</f>
        <v/>
      </c>
      <c r="H150" s="43" t="str">
        <f aca="false">IF($A150="","",SUMIFS(Allocation!I$5:I$204,Allocation!$A$5:$A$204,$A150))</f>
        <v/>
      </c>
      <c r="I150" s="43" t="str">
        <f aca="false">IF($A150="","",SUMIFS(Allocation!J$5:J$204,Allocation!$A$5:$A$204,$A150))</f>
        <v/>
      </c>
      <c r="J150" s="43" t="str">
        <f aca="false">IF($A150="","",SUMIFS(Allocation!K$5:K$204,Allocation!$A$5:$A$204,$A150))</f>
        <v/>
      </c>
      <c r="K150" s="43" t="str">
        <f aca="false">IF($A150="","",SUMIFS(Allocation!L$5:L$204,Allocation!$A$5:$A$204,$A150))</f>
        <v/>
      </c>
      <c r="L150" s="43" t="str">
        <f aca="false">IF($A150="","",SUMIFS(Allocation!M$5:M$204,Allocation!$A$5:$A$204,$A150))</f>
        <v/>
      </c>
      <c r="M150" s="43" t="str">
        <f aca="false">IF($A150="","",SUMIFS(Allocation!N$5:N$204,Allocation!$A$5:$A$204,$A150))</f>
        <v/>
      </c>
      <c r="N150" s="43" t="str">
        <f aca="false">IF($A150="","",SUMIFS(Allocation!O$5:O$204,Allocation!$A$5:$A$204,$A150))</f>
        <v/>
      </c>
      <c r="O150" s="43" t="str">
        <f aca="false">IF($A150="","",SUMIFS(Allocation!P$5:P$204,Allocation!$A$5:$A$204,$A150))</f>
        <v/>
      </c>
      <c r="P150" s="19" t="str">
        <f aca="false">IF($A150="","",SUM(D150:O150))</f>
        <v/>
      </c>
      <c r="Q150" s="2"/>
      <c r="R150" s="2"/>
      <c r="S150" s="2"/>
    </row>
    <row r="151" customFormat="false" ht="15" hidden="false" customHeight="false" outlineLevel="0" collapsed="false">
      <c r="A151" s="26" t="str">
        <f aca="false">IF(Team!$A22="","",Team!$A22)</f>
        <v/>
      </c>
      <c r="B151" s="26" t="str">
        <f aca="false">IF(Team!$A22="","",Team!$B22)</f>
        <v/>
      </c>
      <c r="C151" s="26" t="str">
        <f aca="false">IF(Team!$A22="","",Team!$C22)</f>
        <v/>
      </c>
      <c r="D151" s="43" t="str">
        <f aca="false">IF($A151="","",SUMIFS(Allocation!E$5:E$204,Allocation!$A$5:$A$204,$A151))</f>
        <v/>
      </c>
      <c r="E151" s="43" t="str">
        <f aca="false">IF($A151="","",SUMIFS(Allocation!F$5:F$204,Allocation!$A$5:$A$204,$A151))</f>
        <v/>
      </c>
      <c r="F151" s="43" t="str">
        <f aca="false">IF($A151="","",SUMIFS(Allocation!G$5:G$204,Allocation!$A$5:$A$204,$A151))</f>
        <v/>
      </c>
      <c r="G151" s="43" t="str">
        <f aca="false">IF($A151="","",SUMIFS(Allocation!H$5:H$204,Allocation!$A$5:$A$204,$A151))</f>
        <v/>
      </c>
      <c r="H151" s="43" t="str">
        <f aca="false">IF($A151="","",SUMIFS(Allocation!I$5:I$204,Allocation!$A$5:$A$204,$A151))</f>
        <v/>
      </c>
      <c r="I151" s="43" t="str">
        <f aca="false">IF($A151="","",SUMIFS(Allocation!J$5:J$204,Allocation!$A$5:$A$204,$A151))</f>
        <v/>
      </c>
      <c r="J151" s="43" t="str">
        <f aca="false">IF($A151="","",SUMIFS(Allocation!K$5:K$204,Allocation!$A$5:$A$204,$A151))</f>
        <v/>
      </c>
      <c r="K151" s="43" t="str">
        <f aca="false">IF($A151="","",SUMIFS(Allocation!L$5:L$204,Allocation!$A$5:$A$204,$A151))</f>
        <v/>
      </c>
      <c r="L151" s="43" t="str">
        <f aca="false">IF($A151="","",SUMIFS(Allocation!M$5:M$204,Allocation!$A$5:$A$204,$A151))</f>
        <v/>
      </c>
      <c r="M151" s="43" t="str">
        <f aca="false">IF($A151="","",SUMIFS(Allocation!N$5:N$204,Allocation!$A$5:$A$204,$A151))</f>
        <v/>
      </c>
      <c r="N151" s="43" t="str">
        <f aca="false">IF($A151="","",SUMIFS(Allocation!O$5:O$204,Allocation!$A$5:$A$204,$A151))</f>
        <v/>
      </c>
      <c r="O151" s="43" t="str">
        <f aca="false">IF($A151="","",SUMIFS(Allocation!P$5:P$204,Allocation!$A$5:$A$204,$A151))</f>
        <v/>
      </c>
      <c r="P151" s="19" t="str">
        <f aca="false">IF($A151="","",SUM(D151:O151))</f>
        <v/>
      </c>
      <c r="Q151" s="2"/>
      <c r="R151" s="2"/>
      <c r="S151" s="2"/>
    </row>
    <row r="152" customFormat="false" ht="15" hidden="false" customHeight="false" outlineLevel="0" collapsed="false">
      <c r="A152" s="26" t="str">
        <f aca="false">IF(Team!$A23="","",Team!$A23)</f>
        <v/>
      </c>
      <c r="B152" s="26" t="str">
        <f aca="false">IF(Team!$A23="","",Team!$B23)</f>
        <v/>
      </c>
      <c r="C152" s="26" t="str">
        <f aca="false">IF(Team!$A23="","",Team!$C23)</f>
        <v/>
      </c>
      <c r="D152" s="43" t="str">
        <f aca="false">IF($A152="","",SUMIFS(Allocation!E$5:E$204,Allocation!$A$5:$A$204,$A152))</f>
        <v/>
      </c>
      <c r="E152" s="43" t="str">
        <f aca="false">IF($A152="","",SUMIFS(Allocation!F$5:F$204,Allocation!$A$5:$A$204,$A152))</f>
        <v/>
      </c>
      <c r="F152" s="43" t="str">
        <f aca="false">IF($A152="","",SUMIFS(Allocation!G$5:G$204,Allocation!$A$5:$A$204,$A152))</f>
        <v/>
      </c>
      <c r="G152" s="43" t="str">
        <f aca="false">IF($A152="","",SUMIFS(Allocation!H$5:H$204,Allocation!$A$5:$A$204,$A152))</f>
        <v/>
      </c>
      <c r="H152" s="43" t="str">
        <f aca="false">IF($A152="","",SUMIFS(Allocation!I$5:I$204,Allocation!$A$5:$A$204,$A152))</f>
        <v/>
      </c>
      <c r="I152" s="43" t="str">
        <f aca="false">IF($A152="","",SUMIFS(Allocation!J$5:J$204,Allocation!$A$5:$A$204,$A152))</f>
        <v/>
      </c>
      <c r="J152" s="43" t="str">
        <f aca="false">IF($A152="","",SUMIFS(Allocation!K$5:K$204,Allocation!$A$5:$A$204,$A152))</f>
        <v/>
      </c>
      <c r="K152" s="43" t="str">
        <f aca="false">IF($A152="","",SUMIFS(Allocation!L$5:L$204,Allocation!$A$5:$A$204,$A152))</f>
        <v/>
      </c>
      <c r="L152" s="43" t="str">
        <f aca="false">IF($A152="","",SUMIFS(Allocation!M$5:M$204,Allocation!$A$5:$A$204,$A152))</f>
        <v/>
      </c>
      <c r="M152" s="43" t="str">
        <f aca="false">IF($A152="","",SUMIFS(Allocation!N$5:N$204,Allocation!$A$5:$A$204,$A152))</f>
        <v/>
      </c>
      <c r="N152" s="43" t="str">
        <f aca="false">IF($A152="","",SUMIFS(Allocation!O$5:O$204,Allocation!$A$5:$A$204,$A152))</f>
        <v/>
      </c>
      <c r="O152" s="43" t="str">
        <f aca="false">IF($A152="","",SUMIFS(Allocation!P$5:P$204,Allocation!$A$5:$A$204,$A152))</f>
        <v/>
      </c>
      <c r="P152" s="19" t="str">
        <f aca="false">IF($A152="","",SUM(D152:O152))</f>
        <v/>
      </c>
      <c r="Q152" s="2"/>
      <c r="R152" s="2"/>
      <c r="S152" s="2"/>
    </row>
    <row r="153" customFormat="false" ht="15" hidden="false" customHeight="false" outlineLevel="0" collapsed="false">
      <c r="A153" s="26" t="str">
        <f aca="false">IF(Team!$A24="","",Team!$A24)</f>
        <v/>
      </c>
      <c r="B153" s="26" t="str">
        <f aca="false">IF(Team!$A24="","",Team!$B24)</f>
        <v/>
      </c>
      <c r="C153" s="26" t="str">
        <f aca="false">IF(Team!$A24="","",Team!$C24)</f>
        <v/>
      </c>
      <c r="D153" s="43" t="str">
        <f aca="false">IF($A153="","",SUMIFS(Allocation!E$5:E$204,Allocation!$A$5:$A$204,$A153))</f>
        <v/>
      </c>
      <c r="E153" s="43" t="str">
        <f aca="false">IF($A153="","",SUMIFS(Allocation!F$5:F$204,Allocation!$A$5:$A$204,$A153))</f>
        <v/>
      </c>
      <c r="F153" s="43" t="str">
        <f aca="false">IF($A153="","",SUMIFS(Allocation!G$5:G$204,Allocation!$A$5:$A$204,$A153))</f>
        <v/>
      </c>
      <c r="G153" s="43" t="str">
        <f aca="false">IF($A153="","",SUMIFS(Allocation!H$5:H$204,Allocation!$A$5:$A$204,$A153))</f>
        <v/>
      </c>
      <c r="H153" s="43" t="str">
        <f aca="false">IF($A153="","",SUMIFS(Allocation!I$5:I$204,Allocation!$A$5:$A$204,$A153))</f>
        <v/>
      </c>
      <c r="I153" s="43" t="str">
        <f aca="false">IF($A153="","",SUMIFS(Allocation!J$5:J$204,Allocation!$A$5:$A$204,$A153))</f>
        <v/>
      </c>
      <c r="J153" s="43" t="str">
        <f aca="false">IF($A153="","",SUMIFS(Allocation!K$5:K$204,Allocation!$A$5:$A$204,$A153))</f>
        <v/>
      </c>
      <c r="K153" s="43" t="str">
        <f aca="false">IF($A153="","",SUMIFS(Allocation!L$5:L$204,Allocation!$A$5:$A$204,$A153))</f>
        <v/>
      </c>
      <c r="L153" s="43" t="str">
        <f aca="false">IF($A153="","",SUMIFS(Allocation!M$5:M$204,Allocation!$A$5:$A$204,$A153))</f>
        <v/>
      </c>
      <c r="M153" s="43" t="str">
        <f aca="false">IF($A153="","",SUMIFS(Allocation!N$5:N$204,Allocation!$A$5:$A$204,$A153))</f>
        <v/>
      </c>
      <c r="N153" s="43" t="str">
        <f aca="false">IF($A153="","",SUMIFS(Allocation!O$5:O$204,Allocation!$A$5:$A$204,$A153))</f>
        <v/>
      </c>
      <c r="O153" s="43" t="str">
        <f aca="false">IF($A153="","",SUMIFS(Allocation!P$5:P$204,Allocation!$A$5:$A$204,$A153))</f>
        <v/>
      </c>
      <c r="P153" s="19" t="str">
        <f aca="false">IF($A153="","",SUM(D153:O153))</f>
        <v/>
      </c>
      <c r="Q153" s="2"/>
      <c r="R153" s="2"/>
      <c r="S153" s="2"/>
    </row>
    <row r="154" customFormat="false" ht="15" hidden="false" customHeight="false" outlineLevel="0" collapsed="false">
      <c r="A154" s="26" t="str">
        <f aca="false">IF(Team!$A25="","",Team!$A25)</f>
        <v/>
      </c>
      <c r="B154" s="26" t="str">
        <f aca="false">IF(Team!$A25="","",Team!$B25)</f>
        <v/>
      </c>
      <c r="C154" s="26" t="str">
        <f aca="false">IF(Team!$A25="","",Team!$C25)</f>
        <v/>
      </c>
      <c r="D154" s="43" t="str">
        <f aca="false">IF($A154="","",SUMIFS(Allocation!E$5:E$204,Allocation!$A$5:$A$204,$A154))</f>
        <v/>
      </c>
      <c r="E154" s="43" t="str">
        <f aca="false">IF($A154="","",SUMIFS(Allocation!F$5:F$204,Allocation!$A$5:$A$204,$A154))</f>
        <v/>
      </c>
      <c r="F154" s="43" t="str">
        <f aca="false">IF($A154="","",SUMIFS(Allocation!G$5:G$204,Allocation!$A$5:$A$204,$A154))</f>
        <v/>
      </c>
      <c r="G154" s="43" t="str">
        <f aca="false">IF($A154="","",SUMIFS(Allocation!H$5:H$204,Allocation!$A$5:$A$204,$A154))</f>
        <v/>
      </c>
      <c r="H154" s="43" t="str">
        <f aca="false">IF($A154="","",SUMIFS(Allocation!I$5:I$204,Allocation!$A$5:$A$204,$A154))</f>
        <v/>
      </c>
      <c r="I154" s="43" t="str">
        <f aca="false">IF($A154="","",SUMIFS(Allocation!J$5:J$204,Allocation!$A$5:$A$204,$A154))</f>
        <v/>
      </c>
      <c r="J154" s="43" t="str">
        <f aca="false">IF($A154="","",SUMIFS(Allocation!K$5:K$204,Allocation!$A$5:$A$204,$A154))</f>
        <v/>
      </c>
      <c r="K154" s="43" t="str">
        <f aca="false">IF($A154="","",SUMIFS(Allocation!L$5:L$204,Allocation!$A$5:$A$204,$A154))</f>
        <v/>
      </c>
      <c r="L154" s="43" t="str">
        <f aca="false">IF($A154="","",SUMIFS(Allocation!M$5:M$204,Allocation!$A$5:$A$204,$A154))</f>
        <v/>
      </c>
      <c r="M154" s="43" t="str">
        <f aca="false">IF($A154="","",SUMIFS(Allocation!N$5:N$204,Allocation!$A$5:$A$204,$A154))</f>
        <v/>
      </c>
      <c r="N154" s="43" t="str">
        <f aca="false">IF($A154="","",SUMIFS(Allocation!O$5:O$204,Allocation!$A$5:$A$204,$A154))</f>
        <v/>
      </c>
      <c r="O154" s="43" t="str">
        <f aca="false">IF($A154="","",SUMIFS(Allocation!P$5:P$204,Allocation!$A$5:$A$204,$A154))</f>
        <v/>
      </c>
      <c r="P154" s="19" t="str">
        <f aca="false">IF($A154="","",SUM(D154:O154))</f>
        <v/>
      </c>
      <c r="Q154" s="2"/>
      <c r="R154" s="2"/>
      <c r="S154" s="2"/>
    </row>
    <row r="155" customFormat="false" ht="15" hidden="false" customHeight="false" outlineLevel="0" collapsed="false">
      <c r="A155" s="26" t="str">
        <f aca="false">IF(Team!$A26="","",Team!$A26)</f>
        <v/>
      </c>
      <c r="B155" s="26" t="str">
        <f aca="false">IF(Team!$A26="","",Team!$B26)</f>
        <v/>
      </c>
      <c r="C155" s="26" t="str">
        <f aca="false">IF(Team!$A26="","",Team!$C26)</f>
        <v/>
      </c>
      <c r="D155" s="43" t="str">
        <f aca="false">IF($A155="","",SUMIFS(Allocation!E$5:E$204,Allocation!$A$5:$A$204,$A155))</f>
        <v/>
      </c>
      <c r="E155" s="43" t="str">
        <f aca="false">IF($A155="","",SUMIFS(Allocation!F$5:F$204,Allocation!$A$5:$A$204,$A155))</f>
        <v/>
      </c>
      <c r="F155" s="43" t="str">
        <f aca="false">IF($A155="","",SUMIFS(Allocation!G$5:G$204,Allocation!$A$5:$A$204,$A155))</f>
        <v/>
      </c>
      <c r="G155" s="43" t="str">
        <f aca="false">IF($A155="","",SUMIFS(Allocation!H$5:H$204,Allocation!$A$5:$A$204,$A155))</f>
        <v/>
      </c>
      <c r="H155" s="43" t="str">
        <f aca="false">IF($A155="","",SUMIFS(Allocation!I$5:I$204,Allocation!$A$5:$A$204,$A155))</f>
        <v/>
      </c>
      <c r="I155" s="43" t="str">
        <f aca="false">IF($A155="","",SUMIFS(Allocation!J$5:J$204,Allocation!$A$5:$A$204,$A155))</f>
        <v/>
      </c>
      <c r="J155" s="43" t="str">
        <f aca="false">IF($A155="","",SUMIFS(Allocation!K$5:K$204,Allocation!$A$5:$A$204,$A155))</f>
        <v/>
      </c>
      <c r="K155" s="43" t="str">
        <f aca="false">IF($A155="","",SUMIFS(Allocation!L$5:L$204,Allocation!$A$5:$A$204,$A155))</f>
        <v/>
      </c>
      <c r="L155" s="43" t="str">
        <f aca="false">IF($A155="","",SUMIFS(Allocation!M$5:M$204,Allocation!$A$5:$A$204,$A155))</f>
        <v/>
      </c>
      <c r="M155" s="43" t="str">
        <f aca="false">IF($A155="","",SUMIFS(Allocation!N$5:N$204,Allocation!$A$5:$A$204,$A155))</f>
        <v/>
      </c>
      <c r="N155" s="43" t="str">
        <f aca="false">IF($A155="","",SUMIFS(Allocation!O$5:O$204,Allocation!$A$5:$A$204,$A155))</f>
        <v/>
      </c>
      <c r="O155" s="43" t="str">
        <f aca="false">IF($A155="","",SUMIFS(Allocation!P$5:P$204,Allocation!$A$5:$A$204,$A155))</f>
        <v/>
      </c>
      <c r="P155" s="19" t="str">
        <f aca="false">IF($A155="","",SUM(D155:O155))</f>
        <v/>
      </c>
      <c r="Q155" s="2"/>
      <c r="R155" s="2"/>
      <c r="S155" s="2"/>
    </row>
    <row r="156" customFormat="false" ht="15" hidden="false" customHeight="false" outlineLevel="0" collapsed="false">
      <c r="A156" s="26" t="str">
        <f aca="false">IF(Team!$A27="","",Team!$A27)</f>
        <v/>
      </c>
      <c r="B156" s="26" t="str">
        <f aca="false">IF(Team!$A27="","",Team!$B27)</f>
        <v/>
      </c>
      <c r="C156" s="26" t="str">
        <f aca="false">IF(Team!$A27="","",Team!$C27)</f>
        <v/>
      </c>
      <c r="D156" s="43" t="str">
        <f aca="false">IF($A156="","",SUMIFS(Allocation!E$5:E$204,Allocation!$A$5:$A$204,$A156))</f>
        <v/>
      </c>
      <c r="E156" s="43" t="str">
        <f aca="false">IF($A156="","",SUMIFS(Allocation!F$5:F$204,Allocation!$A$5:$A$204,$A156))</f>
        <v/>
      </c>
      <c r="F156" s="43" t="str">
        <f aca="false">IF($A156="","",SUMIFS(Allocation!G$5:G$204,Allocation!$A$5:$A$204,$A156))</f>
        <v/>
      </c>
      <c r="G156" s="43" t="str">
        <f aca="false">IF($A156="","",SUMIFS(Allocation!H$5:H$204,Allocation!$A$5:$A$204,$A156))</f>
        <v/>
      </c>
      <c r="H156" s="43" t="str">
        <f aca="false">IF($A156="","",SUMIFS(Allocation!I$5:I$204,Allocation!$A$5:$A$204,$A156))</f>
        <v/>
      </c>
      <c r="I156" s="43" t="str">
        <f aca="false">IF($A156="","",SUMIFS(Allocation!J$5:J$204,Allocation!$A$5:$A$204,$A156))</f>
        <v/>
      </c>
      <c r="J156" s="43" t="str">
        <f aca="false">IF($A156="","",SUMIFS(Allocation!K$5:K$204,Allocation!$A$5:$A$204,$A156))</f>
        <v/>
      </c>
      <c r="K156" s="43" t="str">
        <f aca="false">IF($A156="","",SUMIFS(Allocation!L$5:L$204,Allocation!$A$5:$A$204,$A156))</f>
        <v/>
      </c>
      <c r="L156" s="43" t="str">
        <f aca="false">IF($A156="","",SUMIFS(Allocation!M$5:M$204,Allocation!$A$5:$A$204,$A156))</f>
        <v/>
      </c>
      <c r="M156" s="43" t="str">
        <f aca="false">IF($A156="","",SUMIFS(Allocation!N$5:N$204,Allocation!$A$5:$A$204,$A156))</f>
        <v/>
      </c>
      <c r="N156" s="43" t="str">
        <f aca="false">IF($A156="","",SUMIFS(Allocation!O$5:O$204,Allocation!$A$5:$A$204,$A156))</f>
        <v/>
      </c>
      <c r="O156" s="43" t="str">
        <f aca="false">IF($A156="","",SUMIFS(Allocation!P$5:P$204,Allocation!$A$5:$A$204,$A156))</f>
        <v/>
      </c>
      <c r="P156" s="19" t="str">
        <f aca="false">IF($A156="","",SUM(D156:O156))</f>
        <v/>
      </c>
      <c r="Q156" s="2"/>
      <c r="R156" s="2"/>
      <c r="S156" s="2"/>
    </row>
    <row r="157" customFormat="false" ht="15" hidden="false" customHeight="false" outlineLevel="0" collapsed="false">
      <c r="A157" s="26" t="str">
        <f aca="false">IF(Team!$A28="","",Team!$A28)</f>
        <v/>
      </c>
      <c r="B157" s="26" t="str">
        <f aca="false">IF(Team!$A28="","",Team!$B28)</f>
        <v/>
      </c>
      <c r="C157" s="26" t="str">
        <f aca="false">IF(Team!$A28="","",Team!$C28)</f>
        <v/>
      </c>
      <c r="D157" s="43" t="str">
        <f aca="false">IF($A157="","",SUMIFS(Allocation!E$5:E$204,Allocation!$A$5:$A$204,$A157))</f>
        <v/>
      </c>
      <c r="E157" s="43" t="str">
        <f aca="false">IF($A157="","",SUMIFS(Allocation!F$5:F$204,Allocation!$A$5:$A$204,$A157))</f>
        <v/>
      </c>
      <c r="F157" s="43" t="str">
        <f aca="false">IF($A157="","",SUMIFS(Allocation!G$5:G$204,Allocation!$A$5:$A$204,$A157))</f>
        <v/>
      </c>
      <c r="G157" s="43" t="str">
        <f aca="false">IF($A157="","",SUMIFS(Allocation!H$5:H$204,Allocation!$A$5:$A$204,$A157))</f>
        <v/>
      </c>
      <c r="H157" s="43" t="str">
        <f aca="false">IF($A157="","",SUMIFS(Allocation!I$5:I$204,Allocation!$A$5:$A$204,$A157))</f>
        <v/>
      </c>
      <c r="I157" s="43" t="str">
        <f aca="false">IF($A157="","",SUMIFS(Allocation!J$5:J$204,Allocation!$A$5:$A$204,$A157))</f>
        <v/>
      </c>
      <c r="J157" s="43" t="str">
        <f aca="false">IF($A157="","",SUMIFS(Allocation!K$5:K$204,Allocation!$A$5:$A$204,$A157))</f>
        <v/>
      </c>
      <c r="K157" s="43" t="str">
        <f aca="false">IF($A157="","",SUMIFS(Allocation!L$5:L$204,Allocation!$A$5:$A$204,$A157))</f>
        <v/>
      </c>
      <c r="L157" s="43" t="str">
        <f aca="false">IF($A157="","",SUMIFS(Allocation!M$5:M$204,Allocation!$A$5:$A$204,$A157))</f>
        <v/>
      </c>
      <c r="M157" s="43" t="str">
        <f aca="false">IF($A157="","",SUMIFS(Allocation!N$5:N$204,Allocation!$A$5:$A$204,$A157))</f>
        <v/>
      </c>
      <c r="N157" s="43" t="str">
        <f aca="false">IF($A157="","",SUMIFS(Allocation!O$5:O$204,Allocation!$A$5:$A$204,$A157))</f>
        <v/>
      </c>
      <c r="O157" s="43" t="str">
        <f aca="false">IF($A157="","",SUMIFS(Allocation!P$5:P$204,Allocation!$A$5:$A$204,$A157))</f>
        <v/>
      </c>
      <c r="P157" s="19" t="str">
        <f aca="false">IF($A157="","",SUM(D157:O157))</f>
        <v/>
      </c>
      <c r="Q157" s="2"/>
      <c r="R157" s="2"/>
      <c r="S157" s="2"/>
    </row>
    <row r="158" customFormat="false" ht="15" hidden="false" customHeight="false" outlineLevel="0" collapsed="false">
      <c r="A158" s="26" t="str">
        <f aca="false">IF(Team!$A29="","",Team!$A29)</f>
        <v/>
      </c>
      <c r="B158" s="26" t="str">
        <f aca="false">IF(Team!$A29="","",Team!$B29)</f>
        <v/>
      </c>
      <c r="C158" s="26" t="str">
        <f aca="false">IF(Team!$A29="","",Team!$C29)</f>
        <v/>
      </c>
      <c r="D158" s="43" t="str">
        <f aca="false">IF($A158="","",SUMIFS(Allocation!E$5:E$204,Allocation!$A$5:$A$204,$A158))</f>
        <v/>
      </c>
      <c r="E158" s="43" t="str">
        <f aca="false">IF($A158="","",SUMIFS(Allocation!F$5:F$204,Allocation!$A$5:$A$204,$A158))</f>
        <v/>
      </c>
      <c r="F158" s="43" t="str">
        <f aca="false">IF($A158="","",SUMIFS(Allocation!G$5:G$204,Allocation!$A$5:$A$204,$A158))</f>
        <v/>
      </c>
      <c r="G158" s="43" t="str">
        <f aca="false">IF($A158="","",SUMIFS(Allocation!H$5:H$204,Allocation!$A$5:$A$204,$A158))</f>
        <v/>
      </c>
      <c r="H158" s="43" t="str">
        <f aca="false">IF($A158="","",SUMIFS(Allocation!I$5:I$204,Allocation!$A$5:$A$204,$A158))</f>
        <v/>
      </c>
      <c r="I158" s="43" t="str">
        <f aca="false">IF($A158="","",SUMIFS(Allocation!J$5:J$204,Allocation!$A$5:$A$204,$A158))</f>
        <v/>
      </c>
      <c r="J158" s="43" t="str">
        <f aca="false">IF($A158="","",SUMIFS(Allocation!K$5:K$204,Allocation!$A$5:$A$204,$A158))</f>
        <v/>
      </c>
      <c r="K158" s="43" t="str">
        <f aca="false">IF($A158="","",SUMIFS(Allocation!L$5:L$204,Allocation!$A$5:$A$204,$A158))</f>
        <v/>
      </c>
      <c r="L158" s="43" t="str">
        <f aca="false">IF($A158="","",SUMIFS(Allocation!M$5:M$204,Allocation!$A$5:$A$204,$A158))</f>
        <v/>
      </c>
      <c r="M158" s="43" t="str">
        <f aca="false">IF($A158="","",SUMIFS(Allocation!N$5:N$204,Allocation!$A$5:$A$204,$A158))</f>
        <v/>
      </c>
      <c r="N158" s="43" t="str">
        <f aca="false">IF($A158="","",SUMIFS(Allocation!O$5:O$204,Allocation!$A$5:$A$204,$A158))</f>
        <v/>
      </c>
      <c r="O158" s="43" t="str">
        <f aca="false">IF($A158="","",SUMIFS(Allocation!P$5:P$204,Allocation!$A$5:$A$204,$A158))</f>
        <v/>
      </c>
      <c r="P158" s="19" t="str">
        <f aca="false">IF($A158="","",SUM(D158:O158))</f>
        <v/>
      </c>
      <c r="Q158" s="2"/>
      <c r="R158" s="2"/>
      <c r="S158" s="2"/>
    </row>
    <row r="159" customFormat="false" ht="15" hidden="false" customHeight="false" outlineLevel="0" collapsed="false">
      <c r="A159" s="26" t="str">
        <f aca="false">IF(Team!$A30="","",Team!$A30)</f>
        <v/>
      </c>
      <c r="B159" s="26" t="str">
        <f aca="false">IF(Team!$A30="","",Team!$B30)</f>
        <v/>
      </c>
      <c r="C159" s="26" t="str">
        <f aca="false">IF(Team!$A30="","",Team!$C30)</f>
        <v/>
      </c>
      <c r="D159" s="43" t="str">
        <f aca="false">IF($A159="","",SUMIFS(Allocation!E$5:E$204,Allocation!$A$5:$A$204,$A159))</f>
        <v/>
      </c>
      <c r="E159" s="43" t="str">
        <f aca="false">IF($A159="","",SUMIFS(Allocation!F$5:F$204,Allocation!$A$5:$A$204,$A159))</f>
        <v/>
      </c>
      <c r="F159" s="43" t="str">
        <f aca="false">IF($A159="","",SUMIFS(Allocation!G$5:G$204,Allocation!$A$5:$A$204,$A159))</f>
        <v/>
      </c>
      <c r="G159" s="43" t="str">
        <f aca="false">IF($A159="","",SUMIFS(Allocation!H$5:H$204,Allocation!$A$5:$A$204,$A159))</f>
        <v/>
      </c>
      <c r="H159" s="43" t="str">
        <f aca="false">IF($A159="","",SUMIFS(Allocation!I$5:I$204,Allocation!$A$5:$A$204,$A159))</f>
        <v/>
      </c>
      <c r="I159" s="43" t="str">
        <f aca="false">IF($A159="","",SUMIFS(Allocation!J$5:J$204,Allocation!$A$5:$A$204,$A159))</f>
        <v/>
      </c>
      <c r="J159" s="43" t="str">
        <f aca="false">IF($A159="","",SUMIFS(Allocation!K$5:K$204,Allocation!$A$5:$A$204,$A159))</f>
        <v/>
      </c>
      <c r="K159" s="43" t="str">
        <f aca="false">IF($A159="","",SUMIFS(Allocation!L$5:L$204,Allocation!$A$5:$A$204,$A159))</f>
        <v/>
      </c>
      <c r="L159" s="43" t="str">
        <f aca="false">IF($A159="","",SUMIFS(Allocation!M$5:M$204,Allocation!$A$5:$A$204,$A159))</f>
        <v/>
      </c>
      <c r="M159" s="43" t="str">
        <f aca="false">IF($A159="","",SUMIFS(Allocation!N$5:N$204,Allocation!$A$5:$A$204,$A159))</f>
        <v/>
      </c>
      <c r="N159" s="43" t="str">
        <f aca="false">IF($A159="","",SUMIFS(Allocation!O$5:O$204,Allocation!$A$5:$A$204,$A159))</f>
        <v/>
      </c>
      <c r="O159" s="43" t="str">
        <f aca="false">IF($A159="","",SUMIFS(Allocation!P$5:P$204,Allocation!$A$5:$A$204,$A159))</f>
        <v/>
      </c>
      <c r="P159" s="19" t="str">
        <f aca="false">IF($A159="","",SUM(D159:O159))</f>
        <v/>
      </c>
      <c r="Q159" s="2"/>
      <c r="R159" s="2"/>
      <c r="S159" s="2"/>
    </row>
    <row r="160" customFormat="false" ht="15" hidden="false" customHeight="false" outlineLevel="0" collapsed="false">
      <c r="A160" s="26" t="str">
        <f aca="false">IF(Team!$A31="","",Team!$A31)</f>
        <v/>
      </c>
      <c r="B160" s="26" t="str">
        <f aca="false">IF(Team!$A31="","",Team!$B31)</f>
        <v/>
      </c>
      <c r="C160" s="26" t="str">
        <f aca="false">IF(Team!$A31="","",Team!$C31)</f>
        <v/>
      </c>
      <c r="D160" s="43" t="str">
        <f aca="false">IF($A160="","",SUMIFS(Allocation!E$5:E$204,Allocation!$A$5:$A$204,$A160))</f>
        <v/>
      </c>
      <c r="E160" s="43" t="str">
        <f aca="false">IF($A160="","",SUMIFS(Allocation!F$5:F$204,Allocation!$A$5:$A$204,$A160))</f>
        <v/>
      </c>
      <c r="F160" s="43" t="str">
        <f aca="false">IF($A160="","",SUMIFS(Allocation!G$5:G$204,Allocation!$A$5:$A$204,$A160))</f>
        <v/>
      </c>
      <c r="G160" s="43" t="str">
        <f aca="false">IF($A160="","",SUMIFS(Allocation!H$5:H$204,Allocation!$A$5:$A$204,$A160))</f>
        <v/>
      </c>
      <c r="H160" s="43" t="str">
        <f aca="false">IF($A160="","",SUMIFS(Allocation!I$5:I$204,Allocation!$A$5:$A$204,$A160))</f>
        <v/>
      </c>
      <c r="I160" s="43" t="str">
        <f aca="false">IF($A160="","",SUMIFS(Allocation!J$5:J$204,Allocation!$A$5:$A$204,$A160))</f>
        <v/>
      </c>
      <c r="J160" s="43" t="str">
        <f aca="false">IF($A160="","",SUMIFS(Allocation!K$5:K$204,Allocation!$A$5:$A$204,$A160))</f>
        <v/>
      </c>
      <c r="K160" s="43" t="str">
        <f aca="false">IF($A160="","",SUMIFS(Allocation!L$5:L$204,Allocation!$A$5:$A$204,$A160))</f>
        <v/>
      </c>
      <c r="L160" s="43" t="str">
        <f aca="false">IF($A160="","",SUMIFS(Allocation!M$5:M$204,Allocation!$A$5:$A$204,$A160))</f>
        <v/>
      </c>
      <c r="M160" s="43" t="str">
        <f aca="false">IF($A160="","",SUMIFS(Allocation!N$5:N$204,Allocation!$A$5:$A$204,$A160))</f>
        <v/>
      </c>
      <c r="N160" s="43" t="str">
        <f aca="false">IF($A160="","",SUMIFS(Allocation!O$5:O$204,Allocation!$A$5:$A$204,$A160))</f>
        <v/>
      </c>
      <c r="O160" s="43" t="str">
        <f aca="false">IF($A160="","",SUMIFS(Allocation!P$5:P$204,Allocation!$A$5:$A$204,$A160))</f>
        <v/>
      </c>
      <c r="P160" s="19" t="str">
        <f aca="false">IF($A160="","",SUM(D160:O160))</f>
        <v/>
      </c>
      <c r="Q160" s="2"/>
      <c r="R160" s="2"/>
      <c r="S160" s="2"/>
    </row>
    <row r="161" customFormat="false" ht="15" hidden="false" customHeight="false" outlineLevel="0" collapsed="false">
      <c r="A161" s="26" t="str">
        <f aca="false">IF(Team!$A32="","",Team!$A32)</f>
        <v/>
      </c>
      <c r="B161" s="26" t="str">
        <f aca="false">IF(Team!$A32="","",Team!$B32)</f>
        <v/>
      </c>
      <c r="C161" s="26" t="str">
        <f aca="false">IF(Team!$A32="","",Team!$C32)</f>
        <v/>
      </c>
      <c r="D161" s="43" t="str">
        <f aca="false">IF($A161="","",SUMIFS(Allocation!E$5:E$204,Allocation!$A$5:$A$204,$A161))</f>
        <v/>
      </c>
      <c r="E161" s="43" t="str">
        <f aca="false">IF($A161="","",SUMIFS(Allocation!F$5:F$204,Allocation!$A$5:$A$204,$A161))</f>
        <v/>
      </c>
      <c r="F161" s="43" t="str">
        <f aca="false">IF($A161="","",SUMIFS(Allocation!G$5:G$204,Allocation!$A$5:$A$204,$A161))</f>
        <v/>
      </c>
      <c r="G161" s="43" t="str">
        <f aca="false">IF($A161="","",SUMIFS(Allocation!H$5:H$204,Allocation!$A$5:$A$204,$A161))</f>
        <v/>
      </c>
      <c r="H161" s="43" t="str">
        <f aca="false">IF($A161="","",SUMIFS(Allocation!I$5:I$204,Allocation!$A$5:$A$204,$A161))</f>
        <v/>
      </c>
      <c r="I161" s="43" t="str">
        <f aca="false">IF($A161="","",SUMIFS(Allocation!J$5:J$204,Allocation!$A$5:$A$204,$A161))</f>
        <v/>
      </c>
      <c r="J161" s="43" t="str">
        <f aca="false">IF($A161="","",SUMIFS(Allocation!K$5:K$204,Allocation!$A$5:$A$204,$A161))</f>
        <v/>
      </c>
      <c r="K161" s="43" t="str">
        <f aca="false">IF($A161="","",SUMIFS(Allocation!L$5:L$204,Allocation!$A$5:$A$204,$A161))</f>
        <v/>
      </c>
      <c r="L161" s="43" t="str">
        <f aca="false">IF($A161="","",SUMIFS(Allocation!M$5:M$204,Allocation!$A$5:$A$204,$A161))</f>
        <v/>
      </c>
      <c r="M161" s="43" t="str">
        <f aca="false">IF($A161="","",SUMIFS(Allocation!N$5:N$204,Allocation!$A$5:$A$204,$A161))</f>
        <v/>
      </c>
      <c r="N161" s="43" t="str">
        <f aca="false">IF($A161="","",SUMIFS(Allocation!O$5:O$204,Allocation!$A$5:$A$204,$A161))</f>
        <v/>
      </c>
      <c r="O161" s="43" t="str">
        <f aca="false">IF($A161="","",SUMIFS(Allocation!P$5:P$204,Allocation!$A$5:$A$204,$A161))</f>
        <v/>
      </c>
      <c r="P161" s="19" t="str">
        <f aca="false">IF($A161="","",SUM(D161:O161))</f>
        <v/>
      </c>
      <c r="Q161" s="2"/>
      <c r="R161" s="2"/>
      <c r="S161" s="2"/>
    </row>
    <row r="162" customFormat="false" ht="15" hidden="false" customHeight="false" outlineLevel="0" collapsed="false">
      <c r="A162" s="26" t="str">
        <f aca="false">IF(Team!$A33="","",Team!$A33)</f>
        <v/>
      </c>
      <c r="B162" s="26" t="str">
        <f aca="false">IF(Team!$A33="","",Team!$B33)</f>
        <v/>
      </c>
      <c r="C162" s="26" t="str">
        <f aca="false">IF(Team!$A33="","",Team!$C33)</f>
        <v/>
      </c>
      <c r="D162" s="43" t="str">
        <f aca="false">IF($A162="","",SUMIFS(Allocation!E$5:E$204,Allocation!$A$5:$A$204,$A162))</f>
        <v/>
      </c>
      <c r="E162" s="43" t="str">
        <f aca="false">IF($A162="","",SUMIFS(Allocation!F$5:F$204,Allocation!$A$5:$A$204,$A162))</f>
        <v/>
      </c>
      <c r="F162" s="43" t="str">
        <f aca="false">IF($A162="","",SUMIFS(Allocation!G$5:G$204,Allocation!$A$5:$A$204,$A162))</f>
        <v/>
      </c>
      <c r="G162" s="43" t="str">
        <f aca="false">IF($A162="","",SUMIFS(Allocation!H$5:H$204,Allocation!$A$5:$A$204,$A162))</f>
        <v/>
      </c>
      <c r="H162" s="43" t="str">
        <f aca="false">IF($A162="","",SUMIFS(Allocation!I$5:I$204,Allocation!$A$5:$A$204,$A162))</f>
        <v/>
      </c>
      <c r="I162" s="43" t="str">
        <f aca="false">IF($A162="","",SUMIFS(Allocation!J$5:J$204,Allocation!$A$5:$A$204,$A162))</f>
        <v/>
      </c>
      <c r="J162" s="43" t="str">
        <f aca="false">IF($A162="","",SUMIFS(Allocation!K$5:K$204,Allocation!$A$5:$A$204,$A162))</f>
        <v/>
      </c>
      <c r="K162" s="43" t="str">
        <f aca="false">IF($A162="","",SUMIFS(Allocation!L$5:L$204,Allocation!$A$5:$A$204,$A162))</f>
        <v/>
      </c>
      <c r="L162" s="43" t="str">
        <f aca="false">IF($A162="","",SUMIFS(Allocation!M$5:M$204,Allocation!$A$5:$A$204,$A162))</f>
        <v/>
      </c>
      <c r="M162" s="43" t="str">
        <f aca="false">IF($A162="","",SUMIFS(Allocation!N$5:N$204,Allocation!$A$5:$A$204,$A162))</f>
        <v/>
      </c>
      <c r="N162" s="43" t="str">
        <f aca="false">IF($A162="","",SUMIFS(Allocation!O$5:O$204,Allocation!$A$5:$A$204,$A162))</f>
        <v/>
      </c>
      <c r="O162" s="43" t="str">
        <f aca="false">IF($A162="","",SUMIFS(Allocation!P$5:P$204,Allocation!$A$5:$A$204,$A162))</f>
        <v/>
      </c>
      <c r="P162" s="19" t="str">
        <f aca="false">IF($A162="","",SUM(D162:O162))</f>
        <v/>
      </c>
      <c r="Q162" s="2"/>
      <c r="R162" s="2"/>
      <c r="S162" s="2"/>
    </row>
    <row r="163" customFormat="false" ht="15" hidden="false" customHeight="false" outlineLevel="0" collapsed="false">
      <c r="A163" s="26" t="str">
        <f aca="false">IF(Team!$A34="","",Team!$A34)</f>
        <v/>
      </c>
      <c r="B163" s="26" t="str">
        <f aca="false">IF(Team!$A34="","",Team!$B34)</f>
        <v/>
      </c>
      <c r="C163" s="26" t="str">
        <f aca="false">IF(Team!$A34="","",Team!$C34)</f>
        <v/>
      </c>
      <c r="D163" s="43" t="str">
        <f aca="false">IF($A163="","",SUMIFS(Allocation!E$5:E$204,Allocation!$A$5:$A$204,$A163))</f>
        <v/>
      </c>
      <c r="E163" s="43" t="str">
        <f aca="false">IF($A163="","",SUMIFS(Allocation!F$5:F$204,Allocation!$A$5:$A$204,$A163))</f>
        <v/>
      </c>
      <c r="F163" s="43" t="str">
        <f aca="false">IF($A163="","",SUMIFS(Allocation!G$5:G$204,Allocation!$A$5:$A$204,$A163))</f>
        <v/>
      </c>
      <c r="G163" s="43" t="str">
        <f aca="false">IF($A163="","",SUMIFS(Allocation!H$5:H$204,Allocation!$A$5:$A$204,$A163))</f>
        <v/>
      </c>
      <c r="H163" s="43" t="str">
        <f aca="false">IF($A163="","",SUMIFS(Allocation!I$5:I$204,Allocation!$A$5:$A$204,$A163))</f>
        <v/>
      </c>
      <c r="I163" s="43" t="str">
        <f aca="false">IF($A163="","",SUMIFS(Allocation!J$5:J$204,Allocation!$A$5:$A$204,$A163))</f>
        <v/>
      </c>
      <c r="J163" s="43" t="str">
        <f aca="false">IF($A163="","",SUMIFS(Allocation!K$5:K$204,Allocation!$A$5:$A$204,$A163))</f>
        <v/>
      </c>
      <c r="K163" s="43" t="str">
        <f aca="false">IF($A163="","",SUMIFS(Allocation!L$5:L$204,Allocation!$A$5:$A$204,$A163))</f>
        <v/>
      </c>
      <c r="L163" s="43" t="str">
        <f aca="false">IF($A163="","",SUMIFS(Allocation!M$5:M$204,Allocation!$A$5:$A$204,$A163))</f>
        <v/>
      </c>
      <c r="M163" s="43" t="str">
        <f aca="false">IF($A163="","",SUMIFS(Allocation!N$5:N$204,Allocation!$A$5:$A$204,$A163))</f>
        <v/>
      </c>
      <c r="N163" s="43" t="str">
        <f aca="false">IF($A163="","",SUMIFS(Allocation!O$5:O$204,Allocation!$A$5:$A$204,$A163))</f>
        <v/>
      </c>
      <c r="O163" s="43" t="str">
        <f aca="false">IF($A163="","",SUMIFS(Allocation!P$5:P$204,Allocation!$A$5:$A$204,$A163))</f>
        <v/>
      </c>
      <c r="P163" s="19" t="str">
        <f aca="false">IF($A163="","",SUM(D163:O163))</f>
        <v/>
      </c>
      <c r="Q163" s="2"/>
      <c r="R163" s="2"/>
      <c r="S163" s="2"/>
    </row>
    <row r="164" customFormat="false" ht="15" hidden="false" customHeight="false" outlineLevel="0" collapsed="false">
      <c r="A164" s="26" t="str">
        <f aca="false">IF(Team!$A35="","",Team!$A35)</f>
        <v/>
      </c>
      <c r="B164" s="26" t="str">
        <f aca="false">IF(Team!$A35="","",Team!$B35)</f>
        <v/>
      </c>
      <c r="C164" s="26" t="str">
        <f aca="false">IF(Team!$A35="","",Team!$C35)</f>
        <v/>
      </c>
      <c r="D164" s="43" t="str">
        <f aca="false">IF($A164="","",SUMIFS(Allocation!E$5:E$204,Allocation!$A$5:$A$204,$A164))</f>
        <v/>
      </c>
      <c r="E164" s="43" t="str">
        <f aca="false">IF($A164="","",SUMIFS(Allocation!F$5:F$204,Allocation!$A$5:$A$204,$A164))</f>
        <v/>
      </c>
      <c r="F164" s="43" t="str">
        <f aca="false">IF($A164="","",SUMIFS(Allocation!G$5:G$204,Allocation!$A$5:$A$204,$A164))</f>
        <v/>
      </c>
      <c r="G164" s="43" t="str">
        <f aca="false">IF($A164="","",SUMIFS(Allocation!H$5:H$204,Allocation!$A$5:$A$204,$A164))</f>
        <v/>
      </c>
      <c r="H164" s="43" t="str">
        <f aca="false">IF($A164="","",SUMIFS(Allocation!I$5:I$204,Allocation!$A$5:$A$204,$A164))</f>
        <v/>
      </c>
      <c r="I164" s="43" t="str">
        <f aca="false">IF($A164="","",SUMIFS(Allocation!J$5:J$204,Allocation!$A$5:$A$204,$A164))</f>
        <v/>
      </c>
      <c r="J164" s="43" t="str">
        <f aca="false">IF($A164="","",SUMIFS(Allocation!K$5:K$204,Allocation!$A$5:$A$204,$A164))</f>
        <v/>
      </c>
      <c r="K164" s="43" t="str">
        <f aca="false">IF($A164="","",SUMIFS(Allocation!L$5:L$204,Allocation!$A$5:$A$204,$A164))</f>
        <v/>
      </c>
      <c r="L164" s="43" t="str">
        <f aca="false">IF($A164="","",SUMIFS(Allocation!M$5:M$204,Allocation!$A$5:$A$204,$A164))</f>
        <v/>
      </c>
      <c r="M164" s="43" t="str">
        <f aca="false">IF($A164="","",SUMIFS(Allocation!N$5:N$204,Allocation!$A$5:$A$204,$A164))</f>
        <v/>
      </c>
      <c r="N164" s="43" t="str">
        <f aca="false">IF($A164="","",SUMIFS(Allocation!O$5:O$204,Allocation!$A$5:$A$204,$A164))</f>
        <v/>
      </c>
      <c r="O164" s="43" t="str">
        <f aca="false">IF($A164="","",SUMIFS(Allocation!P$5:P$204,Allocation!$A$5:$A$204,$A164))</f>
        <v/>
      </c>
      <c r="P164" s="19" t="str">
        <f aca="false">IF($A164="","",SUM(D164:O164))</f>
        <v/>
      </c>
      <c r="Q164" s="2"/>
      <c r="R164" s="2"/>
      <c r="S164" s="2"/>
    </row>
    <row r="165" customFormat="false" ht="15" hidden="false" customHeight="false" outlineLevel="0" collapsed="false">
      <c r="A165" s="26" t="str">
        <f aca="false">IF(Team!$A36="","",Team!$A36)</f>
        <v/>
      </c>
      <c r="B165" s="26" t="str">
        <f aca="false">IF(Team!$A36="","",Team!$B36)</f>
        <v/>
      </c>
      <c r="C165" s="26" t="str">
        <f aca="false">IF(Team!$A36="","",Team!$C36)</f>
        <v/>
      </c>
      <c r="D165" s="43" t="str">
        <f aca="false">IF($A165="","",SUMIFS(Allocation!E$5:E$204,Allocation!$A$5:$A$204,$A165))</f>
        <v/>
      </c>
      <c r="E165" s="43" t="str">
        <f aca="false">IF($A165="","",SUMIFS(Allocation!F$5:F$204,Allocation!$A$5:$A$204,$A165))</f>
        <v/>
      </c>
      <c r="F165" s="43" t="str">
        <f aca="false">IF($A165="","",SUMIFS(Allocation!G$5:G$204,Allocation!$A$5:$A$204,$A165))</f>
        <v/>
      </c>
      <c r="G165" s="43" t="str">
        <f aca="false">IF($A165="","",SUMIFS(Allocation!H$5:H$204,Allocation!$A$5:$A$204,$A165))</f>
        <v/>
      </c>
      <c r="H165" s="43" t="str">
        <f aca="false">IF($A165="","",SUMIFS(Allocation!I$5:I$204,Allocation!$A$5:$A$204,$A165))</f>
        <v/>
      </c>
      <c r="I165" s="43" t="str">
        <f aca="false">IF($A165="","",SUMIFS(Allocation!J$5:J$204,Allocation!$A$5:$A$204,$A165))</f>
        <v/>
      </c>
      <c r="J165" s="43" t="str">
        <f aca="false">IF($A165="","",SUMIFS(Allocation!K$5:K$204,Allocation!$A$5:$A$204,$A165))</f>
        <v/>
      </c>
      <c r="K165" s="43" t="str">
        <f aca="false">IF($A165="","",SUMIFS(Allocation!L$5:L$204,Allocation!$A$5:$A$204,$A165))</f>
        <v/>
      </c>
      <c r="L165" s="43" t="str">
        <f aca="false">IF($A165="","",SUMIFS(Allocation!M$5:M$204,Allocation!$A$5:$A$204,$A165))</f>
        <v/>
      </c>
      <c r="M165" s="43" t="str">
        <f aca="false">IF($A165="","",SUMIFS(Allocation!N$5:N$204,Allocation!$A$5:$A$204,$A165))</f>
        <v/>
      </c>
      <c r="N165" s="43" t="str">
        <f aca="false">IF($A165="","",SUMIFS(Allocation!O$5:O$204,Allocation!$A$5:$A$204,$A165))</f>
        <v/>
      </c>
      <c r="O165" s="43" t="str">
        <f aca="false">IF($A165="","",SUMIFS(Allocation!P$5:P$204,Allocation!$A$5:$A$204,$A165))</f>
        <v/>
      </c>
      <c r="P165" s="19" t="str">
        <f aca="false">IF($A165="","",SUM(D165:O165))</f>
        <v/>
      </c>
      <c r="Q165" s="2"/>
      <c r="R165" s="2"/>
      <c r="S165" s="2"/>
    </row>
    <row r="166" customFormat="false" ht="15" hidden="false" customHeight="false" outlineLevel="0" collapsed="false">
      <c r="A166" s="26" t="str">
        <f aca="false">IF(Team!$A37="","",Team!$A37)</f>
        <v/>
      </c>
      <c r="B166" s="26" t="str">
        <f aca="false">IF(Team!$A37="","",Team!$B37)</f>
        <v/>
      </c>
      <c r="C166" s="26" t="str">
        <f aca="false">IF(Team!$A37="","",Team!$C37)</f>
        <v/>
      </c>
      <c r="D166" s="43" t="str">
        <f aca="false">IF($A166="","",SUMIFS(Allocation!E$5:E$204,Allocation!$A$5:$A$204,$A166))</f>
        <v/>
      </c>
      <c r="E166" s="43" t="str">
        <f aca="false">IF($A166="","",SUMIFS(Allocation!F$5:F$204,Allocation!$A$5:$A$204,$A166))</f>
        <v/>
      </c>
      <c r="F166" s="43" t="str">
        <f aca="false">IF($A166="","",SUMIFS(Allocation!G$5:G$204,Allocation!$A$5:$A$204,$A166))</f>
        <v/>
      </c>
      <c r="G166" s="43" t="str">
        <f aca="false">IF($A166="","",SUMIFS(Allocation!H$5:H$204,Allocation!$A$5:$A$204,$A166))</f>
        <v/>
      </c>
      <c r="H166" s="43" t="str">
        <f aca="false">IF($A166="","",SUMIFS(Allocation!I$5:I$204,Allocation!$A$5:$A$204,$A166))</f>
        <v/>
      </c>
      <c r="I166" s="43" t="str">
        <f aca="false">IF($A166="","",SUMIFS(Allocation!J$5:J$204,Allocation!$A$5:$A$204,$A166))</f>
        <v/>
      </c>
      <c r="J166" s="43" t="str">
        <f aca="false">IF($A166="","",SUMIFS(Allocation!K$5:K$204,Allocation!$A$5:$A$204,$A166))</f>
        <v/>
      </c>
      <c r="K166" s="43" t="str">
        <f aca="false">IF($A166="","",SUMIFS(Allocation!L$5:L$204,Allocation!$A$5:$A$204,$A166))</f>
        <v/>
      </c>
      <c r="L166" s="43" t="str">
        <f aca="false">IF($A166="","",SUMIFS(Allocation!M$5:M$204,Allocation!$A$5:$A$204,$A166))</f>
        <v/>
      </c>
      <c r="M166" s="43" t="str">
        <f aca="false">IF($A166="","",SUMIFS(Allocation!N$5:N$204,Allocation!$A$5:$A$204,$A166))</f>
        <v/>
      </c>
      <c r="N166" s="43" t="str">
        <f aca="false">IF($A166="","",SUMIFS(Allocation!O$5:O$204,Allocation!$A$5:$A$204,$A166))</f>
        <v/>
      </c>
      <c r="O166" s="43" t="str">
        <f aca="false">IF($A166="","",SUMIFS(Allocation!P$5:P$204,Allocation!$A$5:$A$204,$A166))</f>
        <v/>
      </c>
      <c r="P166" s="19" t="str">
        <f aca="false">IF($A166="","",SUM(D166:O166))</f>
        <v/>
      </c>
      <c r="Q166" s="2"/>
      <c r="R166" s="2"/>
      <c r="S166" s="2"/>
    </row>
    <row r="167" customFormat="false" ht="15" hidden="false" customHeight="false" outlineLevel="0" collapsed="false">
      <c r="A167" s="26" t="str">
        <f aca="false">IF(Team!$A38="","",Team!$A38)</f>
        <v/>
      </c>
      <c r="B167" s="26" t="str">
        <f aca="false">IF(Team!$A38="","",Team!$B38)</f>
        <v/>
      </c>
      <c r="C167" s="26" t="str">
        <f aca="false">IF(Team!$A38="","",Team!$C38)</f>
        <v/>
      </c>
      <c r="D167" s="43" t="str">
        <f aca="false">IF($A167="","",SUMIFS(Allocation!E$5:E$204,Allocation!$A$5:$A$204,$A167))</f>
        <v/>
      </c>
      <c r="E167" s="43" t="str">
        <f aca="false">IF($A167="","",SUMIFS(Allocation!F$5:F$204,Allocation!$A$5:$A$204,$A167))</f>
        <v/>
      </c>
      <c r="F167" s="43" t="str">
        <f aca="false">IF($A167="","",SUMIFS(Allocation!G$5:G$204,Allocation!$A$5:$A$204,$A167))</f>
        <v/>
      </c>
      <c r="G167" s="43" t="str">
        <f aca="false">IF($A167="","",SUMIFS(Allocation!H$5:H$204,Allocation!$A$5:$A$204,$A167))</f>
        <v/>
      </c>
      <c r="H167" s="43" t="str">
        <f aca="false">IF($A167="","",SUMIFS(Allocation!I$5:I$204,Allocation!$A$5:$A$204,$A167))</f>
        <v/>
      </c>
      <c r="I167" s="43" t="str">
        <f aca="false">IF($A167="","",SUMIFS(Allocation!J$5:J$204,Allocation!$A$5:$A$204,$A167))</f>
        <v/>
      </c>
      <c r="J167" s="43" t="str">
        <f aca="false">IF($A167="","",SUMIFS(Allocation!K$5:K$204,Allocation!$A$5:$A$204,$A167))</f>
        <v/>
      </c>
      <c r="K167" s="43" t="str">
        <f aca="false">IF($A167="","",SUMIFS(Allocation!L$5:L$204,Allocation!$A$5:$A$204,$A167))</f>
        <v/>
      </c>
      <c r="L167" s="43" t="str">
        <f aca="false">IF($A167="","",SUMIFS(Allocation!M$5:M$204,Allocation!$A$5:$A$204,$A167))</f>
        <v/>
      </c>
      <c r="M167" s="43" t="str">
        <f aca="false">IF($A167="","",SUMIFS(Allocation!N$5:N$204,Allocation!$A$5:$A$204,$A167))</f>
        <v/>
      </c>
      <c r="N167" s="43" t="str">
        <f aca="false">IF($A167="","",SUMIFS(Allocation!O$5:O$204,Allocation!$A$5:$A$204,$A167))</f>
        <v/>
      </c>
      <c r="O167" s="43" t="str">
        <f aca="false">IF($A167="","",SUMIFS(Allocation!P$5:P$204,Allocation!$A$5:$A$204,$A167))</f>
        <v/>
      </c>
      <c r="P167" s="19" t="str">
        <f aca="false">IF($A167="","",SUM(D167:O167))</f>
        <v/>
      </c>
      <c r="Q167" s="2"/>
      <c r="R167" s="2"/>
      <c r="S167" s="2"/>
    </row>
    <row r="168" customFormat="false" ht="15" hidden="false" customHeight="false" outlineLevel="0" collapsed="false">
      <c r="A168" s="26" t="str">
        <f aca="false">IF(Team!$A39="","",Team!$A39)</f>
        <v/>
      </c>
      <c r="B168" s="26" t="str">
        <f aca="false">IF(Team!$A39="","",Team!$B39)</f>
        <v/>
      </c>
      <c r="C168" s="26" t="str">
        <f aca="false">IF(Team!$A39="","",Team!$C39)</f>
        <v/>
      </c>
      <c r="D168" s="43" t="str">
        <f aca="false">IF($A168="","",SUMIFS(Allocation!E$5:E$204,Allocation!$A$5:$A$204,$A168))</f>
        <v/>
      </c>
      <c r="E168" s="43" t="str">
        <f aca="false">IF($A168="","",SUMIFS(Allocation!F$5:F$204,Allocation!$A$5:$A$204,$A168))</f>
        <v/>
      </c>
      <c r="F168" s="43" t="str">
        <f aca="false">IF($A168="","",SUMIFS(Allocation!G$5:G$204,Allocation!$A$5:$A$204,$A168))</f>
        <v/>
      </c>
      <c r="G168" s="43" t="str">
        <f aca="false">IF($A168="","",SUMIFS(Allocation!H$5:H$204,Allocation!$A$5:$A$204,$A168))</f>
        <v/>
      </c>
      <c r="H168" s="43" t="str">
        <f aca="false">IF($A168="","",SUMIFS(Allocation!I$5:I$204,Allocation!$A$5:$A$204,$A168))</f>
        <v/>
      </c>
      <c r="I168" s="43" t="str">
        <f aca="false">IF($A168="","",SUMIFS(Allocation!J$5:J$204,Allocation!$A$5:$A$204,$A168))</f>
        <v/>
      </c>
      <c r="J168" s="43" t="str">
        <f aca="false">IF($A168="","",SUMIFS(Allocation!K$5:K$204,Allocation!$A$5:$A$204,$A168))</f>
        <v/>
      </c>
      <c r="K168" s="43" t="str">
        <f aca="false">IF($A168="","",SUMIFS(Allocation!L$5:L$204,Allocation!$A$5:$A$204,$A168))</f>
        <v/>
      </c>
      <c r="L168" s="43" t="str">
        <f aca="false">IF($A168="","",SUMIFS(Allocation!M$5:M$204,Allocation!$A$5:$A$204,$A168))</f>
        <v/>
      </c>
      <c r="M168" s="43" t="str">
        <f aca="false">IF($A168="","",SUMIFS(Allocation!N$5:N$204,Allocation!$A$5:$A$204,$A168))</f>
        <v/>
      </c>
      <c r="N168" s="43" t="str">
        <f aca="false">IF($A168="","",SUMIFS(Allocation!O$5:O$204,Allocation!$A$5:$A$204,$A168))</f>
        <v/>
      </c>
      <c r="O168" s="43" t="str">
        <f aca="false">IF($A168="","",SUMIFS(Allocation!P$5:P$204,Allocation!$A$5:$A$204,$A168))</f>
        <v/>
      </c>
      <c r="P168" s="19" t="str">
        <f aca="false">IF($A168="","",SUM(D168:O168))</f>
        <v/>
      </c>
      <c r="Q168" s="2"/>
      <c r="R168" s="2"/>
      <c r="S168" s="2"/>
    </row>
    <row r="169" customFormat="false" ht="15" hidden="false" customHeight="false" outlineLevel="0" collapsed="false">
      <c r="A169" s="26" t="str">
        <f aca="false">IF(Team!$A40="","",Team!$A40)</f>
        <v/>
      </c>
      <c r="B169" s="26" t="str">
        <f aca="false">IF(Team!$A40="","",Team!$B40)</f>
        <v/>
      </c>
      <c r="C169" s="26" t="str">
        <f aca="false">IF(Team!$A40="","",Team!$C40)</f>
        <v/>
      </c>
      <c r="D169" s="43" t="str">
        <f aca="false">IF($A169="","",SUMIFS(Allocation!E$5:E$204,Allocation!$A$5:$A$204,$A169))</f>
        <v/>
      </c>
      <c r="E169" s="43" t="str">
        <f aca="false">IF($A169="","",SUMIFS(Allocation!F$5:F$204,Allocation!$A$5:$A$204,$A169))</f>
        <v/>
      </c>
      <c r="F169" s="43" t="str">
        <f aca="false">IF($A169="","",SUMIFS(Allocation!G$5:G$204,Allocation!$A$5:$A$204,$A169))</f>
        <v/>
      </c>
      <c r="G169" s="43" t="str">
        <f aca="false">IF($A169="","",SUMIFS(Allocation!H$5:H$204,Allocation!$A$5:$A$204,$A169))</f>
        <v/>
      </c>
      <c r="H169" s="43" t="str">
        <f aca="false">IF($A169="","",SUMIFS(Allocation!I$5:I$204,Allocation!$A$5:$A$204,$A169))</f>
        <v/>
      </c>
      <c r="I169" s="43" t="str">
        <f aca="false">IF($A169="","",SUMIFS(Allocation!J$5:J$204,Allocation!$A$5:$A$204,$A169))</f>
        <v/>
      </c>
      <c r="J169" s="43" t="str">
        <f aca="false">IF($A169="","",SUMIFS(Allocation!K$5:K$204,Allocation!$A$5:$A$204,$A169))</f>
        <v/>
      </c>
      <c r="K169" s="43" t="str">
        <f aca="false">IF($A169="","",SUMIFS(Allocation!L$5:L$204,Allocation!$A$5:$A$204,$A169))</f>
        <v/>
      </c>
      <c r="L169" s="43" t="str">
        <f aca="false">IF($A169="","",SUMIFS(Allocation!M$5:M$204,Allocation!$A$5:$A$204,$A169))</f>
        <v/>
      </c>
      <c r="M169" s="43" t="str">
        <f aca="false">IF($A169="","",SUMIFS(Allocation!N$5:N$204,Allocation!$A$5:$A$204,$A169))</f>
        <v/>
      </c>
      <c r="N169" s="43" t="str">
        <f aca="false">IF($A169="","",SUMIFS(Allocation!O$5:O$204,Allocation!$A$5:$A$204,$A169))</f>
        <v/>
      </c>
      <c r="O169" s="43" t="str">
        <f aca="false">IF($A169="","",SUMIFS(Allocation!P$5:P$204,Allocation!$A$5:$A$204,$A169))</f>
        <v/>
      </c>
      <c r="P169" s="19" t="str">
        <f aca="false">IF($A169="","",SUM(D169:O169))</f>
        <v/>
      </c>
      <c r="Q169" s="2"/>
      <c r="R169" s="2"/>
      <c r="S169" s="2"/>
    </row>
    <row r="170" customFormat="false" ht="15" hidden="false" customHeight="false" outlineLevel="0" collapsed="false">
      <c r="A170" s="26" t="str">
        <f aca="false">IF(Team!$A41="","",Team!$A41)</f>
        <v/>
      </c>
      <c r="B170" s="26" t="str">
        <f aca="false">IF(Team!$A41="","",Team!$B41)</f>
        <v/>
      </c>
      <c r="C170" s="26" t="str">
        <f aca="false">IF(Team!$A41="","",Team!$C41)</f>
        <v/>
      </c>
      <c r="D170" s="43" t="str">
        <f aca="false">IF($A170="","",SUMIFS(Allocation!E$5:E$204,Allocation!$A$5:$A$204,$A170))</f>
        <v/>
      </c>
      <c r="E170" s="43" t="str">
        <f aca="false">IF($A170="","",SUMIFS(Allocation!F$5:F$204,Allocation!$A$5:$A$204,$A170))</f>
        <v/>
      </c>
      <c r="F170" s="43" t="str">
        <f aca="false">IF($A170="","",SUMIFS(Allocation!G$5:G$204,Allocation!$A$5:$A$204,$A170))</f>
        <v/>
      </c>
      <c r="G170" s="43" t="str">
        <f aca="false">IF($A170="","",SUMIFS(Allocation!H$5:H$204,Allocation!$A$5:$A$204,$A170))</f>
        <v/>
      </c>
      <c r="H170" s="43" t="str">
        <f aca="false">IF($A170="","",SUMIFS(Allocation!I$5:I$204,Allocation!$A$5:$A$204,$A170))</f>
        <v/>
      </c>
      <c r="I170" s="43" t="str">
        <f aca="false">IF($A170="","",SUMIFS(Allocation!J$5:J$204,Allocation!$A$5:$A$204,$A170))</f>
        <v/>
      </c>
      <c r="J170" s="43" t="str">
        <f aca="false">IF($A170="","",SUMIFS(Allocation!K$5:K$204,Allocation!$A$5:$A$204,$A170))</f>
        <v/>
      </c>
      <c r="K170" s="43" t="str">
        <f aca="false">IF($A170="","",SUMIFS(Allocation!L$5:L$204,Allocation!$A$5:$A$204,$A170))</f>
        <v/>
      </c>
      <c r="L170" s="43" t="str">
        <f aca="false">IF($A170="","",SUMIFS(Allocation!M$5:M$204,Allocation!$A$5:$A$204,$A170))</f>
        <v/>
      </c>
      <c r="M170" s="43" t="str">
        <f aca="false">IF($A170="","",SUMIFS(Allocation!N$5:N$204,Allocation!$A$5:$A$204,$A170))</f>
        <v/>
      </c>
      <c r="N170" s="43" t="str">
        <f aca="false">IF($A170="","",SUMIFS(Allocation!O$5:O$204,Allocation!$A$5:$A$204,$A170))</f>
        <v/>
      </c>
      <c r="O170" s="43" t="str">
        <f aca="false">IF($A170="","",SUMIFS(Allocation!P$5:P$204,Allocation!$A$5:$A$204,$A170))</f>
        <v/>
      </c>
      <c r="P170" s="19" t="str">
        <f aca="false">IF($A170="","",SUM(D170:O170))</f>
        <v/>
      </c>
      <c r="Q170" s="2"/>
      <c r="R170" s="2"/>
      <c r="S170" s="2"/>
    </row>
    <row r="171" customFormat="false" ht="15" hidden="false" customHeight="false" outlineLevel="0" collapsed="false">
      <c r="A171" s="26" t="str">
        <f aca="false">IF(Team!$A42="","",Team!$A42)</f>
        <v/>
      </c>
      <c r="B171" s="26" t="str">
        <f aca="false">IF(Team!$A42="","",Team!$B42)</f>
        <v/>
      </c>
      <c r="C171" s="26" t="str">
        <f aca="false">IF(Team!$A42="","",Team!$C42)</f>
        <v/>
      </c>
      <c r="D171" s="43" t="str">
        <f aca="false">IF($A171="","",SUMIFS(Allocation!E$5:E$204,Allocation!$A$5:$A$204,$A171))</f>
        <v/>
      </c>
      <c r="E171" s="43" t="str">
        <f aca="false">IF($A171="","",SUMIFS(Allocation!F$5:F$204,Allocation!$A$5:$A$204,$A171))</f>
        <v/>
      </c>
      <c r="F171" s="43" t="str">
        <f aca="false">IF($A171="","",SUMIFS(Allocation!G$5:G$204,Allocation!$A$5:$A$204,$A171))</f>
        <v/>
      </c>
      <c r="G171" s="43" t="str">
        <f aca="false">IF($A171="","",SUMIFS(Allocation!H$5:H$204,Allocation!$A$5:$A$204,$A171))</f>
        <v/>
      </c>
      <c r="H171" s="43" t="str">
        <f aca="false">IF($A171="","",SUMIFS(Allocation!I$5:I$204,Allocation!$A$5:$A$204,$A171))</f>
        <v/>
      </c>
      <c r="I171" s="43" t="str">
        <f aca="false">IF($A171="","",SUMIFS(Allocation!J$5:J$204,Allocation!$A$5:$A$204,$A171))</f>
        <v/>
      </c>
      <c r="J171" s="43" t="str">
        <f aca="false">IF($A171="","",SUMIFS(Allocation!K$5:K$204,Allocation!$A$5:$A$204,$A171))</f>
        <v/>
      </c>
      <c r="K171" s="43" t="str">
        <f aca="false">IF($A171="","",SUMIFS(Allocation!L$5:L$204,Allocation!$A$5:$A$204,$A171))</f>
        <v/>
      </c>
      <c r="L171" s="43" t="str">
        <f aca="false">IF($A171="","",SUMIFS(Allocation!M$5:M$204,Allocation!$A$5:$A$204,$A171))</f>
        <v/>
      </c>
      <c r="M171" s="43" t="str">
        <f aca="false">IF($A171="","",SUMIFS(Allocation!N$5:N$204,Allocation!$A$5:$A$204,$A171))</f>
        <v/>
      </c>
      <c r="N171" s="43" t="str">
        <f aca="false">IF($A171="","",SUMIFS(Allocation!O$5:O$204,Allocation!$A$5:$A$204,$A171))</f>
        <v/>
      </c>
      <c r="O171" s="43" t="str">
        <f aca="false">IF($A171="","",SUMIFS(Allocation!P$5:P$204,Allocation!$A$5:$A$204,$A171))</f>
        <v/>
      </c>
      <c r="P171" s="19" t="str">
        <f aca="false">IF($A171="","",SUM(D171:O171))</f>
        <v/>
      </c>
      <c r="Q171" s="2"/>
      <c r="R171" s="2"/>
      <c r="S171" s="2"/>
    </row>
    <row r="172" customFormat="false" ht="15" hidden="false" customHeight="false" outlineLevel="0" collapsed="false">
      <c r="A172" s="26" t="str">
        <f aca="false">IF(Team!$A43="","",Team!$A43)</f>
        <v/>
      </c>
      <c r="B172" s="26" t="str">
        <f aca="false">IF(Team!$A43="","",Team!$B43)</f>
        <v/>
      </c>
      <c r="C172" s="26" t="str">
        <f aca="false">IF(Team!$A43="","",Team!$C43)</f>
        <v/>
      </c>
      <c r="D172" s="43" t="str">
        <f aca="false">IF($A172="","",SUMIFS(Allocation!E$5:E$204,Allocation!$A$5:$A$204,$A172))</f>
        <v/>
      </c>
      <c r="E172" s="43" t="str">
        <f aca="false">IF($A172="","",SUMIFS(Allocation!F$5:F$204,Allocation!$A$5:$A$204,$A172))</f>
        <v/>
      </c>
      <c r="F172" s="43" t="str">
        <f aca="false">IF($A172="","",SUMIFS(Allocation!G$5:G$204,Allocation!$A$5:$A$204,$A172))</f>
        <v/>
      </c>
      <c r="G172" s="43" t="str">
        <f aca="false">IF($A172="","",SUMIFS(Allocation!H$5:H$204,Allocation!$A$5:$A$204,$A172))</f>
        <v/>
      </c>
      <c r="H172" s="43" t="str">
        <f aca="false">IF($A172="","",SUMIFS(Allocation!I$5:I$204,Allocation!$A$5:$A$204,$A172))</f>
        <v/>
      </c>
      <c r="I172" s="43" t="str">
        <f aca="false">IF($A172="","",SUMIFS(Allocation!J$5:J$204,Allocation!$A$5:$A$204,$A172))</f>
        <v/>
      </c>
      <c r="J172" s="43" t="str">
        <f aca="false">IF($A172="","",SUMIFS(Allocation!K$5:K$204,Allocation!$A$5:$A$204,$A172))</f>
        <v/>
      </c>
      <c r="K172" s="43" t="str">
        <f aca="false">IF($A172="","",SUMIFS(Allocation!L$5:L$204,Allocation!$A$5:$A$204,$A172))</f>
        <v/>
      </c>
      <c r="L172" s="43" t="str">
        <f aca="false">IF($A172="","",SUMIFS(Allocation!M$5:M$204,Allocation!$A$5:$A$204,$A172))</f>
        <v/>
      </c>
      <c r="M172" s="43" t="str">
        <f aca="false">IF($A172="","",SUMIFS(Allocation!N$5:N$204,Allocation!$A$5:$A$204,$A172))</f>
        <v/>
      </c>
      <c r="N172" s="43" t="str">
        <f aca="false">IF($A172="","",SUMIFS(Allocation!O$5:O$204,Allocation!$A$5:$A$204,$A172))</f>
        <v/>
      </c>
      <c r="O172" s="43" t="str">
        <f aca="false">IF($A172="","",SUMIFS(Allocation!P$5:P$204,Allocation!$A$5:$A$204,$A172))</f>
        <v/>
      </c>
      <c r="P172" s="19" t="str">
        <f aca="false">IF($A172="","",SUM(D172:O172))</f>
        <v/>
      </c>
      <c r="Q172" s="2"/>
      <c r="R172" s="2"/>
      <c r="S172" s="2"/>
    </row>
    <row r="173" customFormat="false" ht="15" hidden="false" customHeight="false" outlineLevel="0" collapsed="false">
      <c r="A173" s="26" t="str">
        <f aca="false">IF(Team!$A44="","",Team!$A44)</f>
        <v/>
      </c>
      <c r="B173" s="26" t="str">
        <f aca="false">IF(Team!$A44="","",Team!$B44)</f>
        <v/>
      </c>
      <c r="C173" s="26" t="str">
        <f aca="false">IF(Team!$A44="","",Team!$C44)</f>
        <v/>
      </c>
      <c r="D173" s="43" t="str">
        <f aca="false">IF($A173="","",SUMIFS(Allocation!E$5:E$204,Allocation!$A$5:$A$204,$A173))</f>
        <v/>
      </c>
      <c r="E173" s="43" t="str">
        <f aca="false">IF($A173="","",SUMIFS(Allocation!F$5:F$204,Allocation!$A$5:$A$204,$A173))</f>
        <v/>
      </c>
      <c r="F173" s="43" t="str">
        <f aca="false">IF($A173="","",SUMIFS(Allocation!G$5:G$204,Allocation!$A$5:$A$204,$A173))</f>
        <v/>
      </c>
      <c r="G173" s="43" t="str">
        <f aca="false">IF($A173="","",SUMIFS(Allocation!H$5:H$204,Allocation!$A$5:$A$204,$A173))</f>
        <v/>
      </c>
      <c r="H173" s="43" t="str">
        <f aca="false">IF($A173="","",SUMIFS(Allocation!I$5:I$204,Allocation!$A$5:$A$204,$A173))</f>
        <v/>
      </c>
      <c r="I173" s="43" t="str">
        <f aca="false">IF($A173="","",SUMIFS(Allocation!J$5:J$204,Allocation!$A$5:$A$204,$A173))</f>
        <v/>
      </c>
      <c r="J173" s="43" t="str">
        <f aca="false">IF($A173="","",SUMIFS(Allocation!K$5:K$204,Allocation!$A$5:$A$204,$A173))</f>
        <v/>
      </c>
      <c r="K173" s="43" t="str">
        <f aca="false">IF($A173="","",SUMIFS(Allocation!L$5:L$204,Allocation!$A$5:$A$204,$A173))</f>
        <v/>
      </c>
      <c r="L173" s="43" t="str">
        <f aca="false">IF($A173="","",SUMIFS(Allocation!M$5:M$204,Allocation!$A$5:$A$204,$A173))</f>
        <v/>
      </c>
      <c r="M173" s="43" t="str">
        <f aca="false">IF($A173="","",SUMIFS(Allocation!N$5:N$204,Allocation!$A$5:$A$204,$A173))</f>
        <v/>
      </c>
      <c r="N173" s="43" t="str">
        <f aca="false">IF($A173="","",SUMIFS(Allocation!O$5:O$204,Allocation!$A$5:$A$204,$A173))</f>
        <v/>
      </c>
      <c r="O173" s="43" t="str">
        <f aca="false">IF($A173="","",SUMIFS(Allocation!P$5:P$204,Allocation!$A$5:$A$204,$A173))</f>
        <v/>
      </c>
      <c r="P173" s="19" t="str">
        <f aca="false">IF($A173="","",SUM(D173:O173))</f>
        <v/>
      </c>
      <c r="Q173" s="2"/>
      <c r="R173" s="2"/>
      <c r="S173" s="2"/>
    </row>
    <row r="174" customFormat="false" ht="15" hidden="false" customHeight="false" outlineLevel="0" collapsed="false">
      <c r="A174" s="26" t="str">
        <f aca="false">IF(Team!$A45="","",Team!$A45)</f>
        <v/>
      </c>
      <c r="B174" s="26" t="str">
        <f aca="false">IF(Team!$A45="","",Team!$B45)</f>
        <v/>
      </c>
      <c r="C174" s="26" t="str">
        <f aca="false">IF(Team!$A45="","",Team!$C45)</f>
        <v/>
      </c>
      <c r="D174" s="43" t="str">
        <f aca="false">IF($A174="","",SUMIFS(Allocation!E$5:E$204,Allocation!$A$5:$A$204,$A174))</f>
        <v/>
      </c>
      <c r="E174" s="43" t="str">
        <f aca="false">IF($A174="","",SUMIFS(Allocation!F$5:F$204,Allocation!$A$5:$A$204,$A174))</f>
        <v/>
      </c>
      <c r="F174" s="43" t="str">
        <f aca="false">IF($A174="","",SUMIFS(Allocation!G$5:G$204,Allocation!$A$5:$A$204,$A174))</f>
        <v/>
      </c>
      <c r="G174" s="43" t="str">
        <f aca="false">IF($A174="","",SUMIFS(Allocation!H$5:H$204,Allocation!$A$5:$A$204,$A174))</f>
        <v/>
      </c>
      <c r="H174" s="43" t="str">
        <f aca="false">IF($A174="","",SUMIFS(Allocation!I$5:I$204,Allocation!$A$5:$A$204,$A174))</f>
        <v/>
      </c>
      <c r="I174" s="43" t="str">
        <f aca="false">IF($A174="","",SUMIFS(Allocation!J$5:J$204,Allocation!$A$5:$A$204,$A174))</f>
        <v/>
      </c>
      <c r="J174" s="43" t="str">
        <f aca="false">IF($A174="","",SUMIFS(Allocation!K$5:K$204,Allocation!$A$5:$A$204,$A174))</f>
        <v/>
      </c>
      <c r="K174" s="43" t="str">
        <f aca="false">IF($A174="","",SUMIFS(Allocation!L$5:L$204,Allocation!$A$5:$A$204,$A174))</f>
        <v/>
      </c>
      <c r="L174" s="43" t="str">
        <f aca="false">IF($A174="","",SUMIFS(Allocation!M$5:M$204,Allocation!$A$5:$A$204,$A174))</f>
        <v/>
      </c>
      <c r="M174" s="43" t="str">
        <f aca="false">IF($A174="","",SUMIFS(Allocation!N$5:N$204,Allocation!$A$5:$A$204,$A174))</f>
        <v/>
      </c>
      <c r="N174" s="43" t="str">
        <f aca="false">IF($A174="","",SUMIFS(Allocation!O$5:O$204,Allocation!$A$5:$A$204,$A174))</f>
        <v/>
      </c>
      <c r="O174" s="43" t="str">
        <f aca="false">IF($A174="","",SUMIFS(Allocation!P$5:P$204,Allocation!$A$5:$A$204,$A174))</f>
        <v/>
      </c>
      <c r="P174" s="19" t="str">
        <f aca="false">IF($A174="","",SUM(D174:O174))</f>
        <v/>
      </c>
      <c r="Q174" s="2"/>
      <c r="R174" s="2"/>
      <c r="S174" s="2"/>
    </row>
    <row r="175" customFormat="false" ht="15" hidden="false" customHeight="false" outlineLevel="0" collapsed="false">
      <c r="A175" s="26" t="str">
        <f aca="false">IF(Team!$A46="","",Team!$A46)</f>
        <v/>
      </c>
      <c r="B175" s="26" t="str">
        <f aca="false">IF(Team!$A46="","",Team!$B46)</f>
        <v/>
      </c>
      <c r="C175" s="26" t="str">
        <f aca="false">IF(Team!$A46="","",Team!$C46)</f>
        <v/>
      </c>
      <c r="D175" s="43" t="str">
        <f aca="false">IF($A175="","",SUMIFS(Allocation!E$5:E$204,Allocation!$A$5:$A$204,$A175))</f>
        <v/>
      </c>
      <c r="E175" s="43" t="str">
        <f aca="false">IF($A175="","",SUMIFS(Allocation!F$5:F$204,Allocation!$A$5:$A$204,$A175))</f>
        <v/>
      </c>
      <c r="F175" s="43" t="str">
        <f aca="false">IF($A175="","",SUMIFS(Allocation!G$5:G$204,Allocation!$A$5:$A$204,$A175))</f>
        <v/>
      </c>
      <c r="G175" s="43" t="str">
        <f aca="false">IF($A175="","",SUMIFS(Allocation!H$5:H$204,Allocation!$A$5:$A$204,$A175))</f>
        <v/>
      </c>
      <c r="H175" s="43" t="str">
        <f aca="false">IF($A175="","",SUMIFS(Allocation!I$5:I$204,Allocation!$A$5:$A$204,$A175))</f>
        <v/>
      </c>
      <c r="I175" s="43" t="str">
        <f aca="false">IF($A175="","",SUMIFS(Allocation!J$5:J$204,Allocation!$A$5:$A$204,$A175))</f>
        <v/>
      </c>
      <c r="J175" s="43" t="str">
        <f aca="false">IF($A175="","",SUMIFS(Allocation!K$5:K$204,Allocation!$A$5:$A$204,$A175))</f>
        <v/>
      </c>
      <c r="K175" s="43" t="str">
        <f aca="false">IF($A175="","",SUMIFS(Allocation!L$5:L$204,Allocation!$A$5:$A$204,$A175))</f>
        <v/>
      </c>
      <c r="L175" s="43" t="str">
        <f aca="false">IF($A175="","",SUMIFS(Allocation!M$5:M$204,Allocation!$A$5:$A$204,$A175))</f>
        <v/>
      </c>
      <c r="M175" s="43" t="str">
        <f aca="false">IF($A175="","",SUMIFS(Allocation!N$5:N$204,Allocation!$A$5:$A$204,$A175))</f>
        <v/>
      </c>
      <c r="N175" s="43" t="str">
        <f aca="false">IF($A175="","",SUMIFS(Allocation!O$5:O$204,Allocation!$A$5:$A$204,$A175))</f>
        <v/>
      </c>
      <c r="O175" s="43" t="str">
        <f aca="false">IF($A175="","",SUMIFS(Allocation!P$5:P$204,Allocation!$A$5:$A$204,$A175))</f>
        <v/>
      </c>
      <c r="P175" s="19" t="str">
        <f aca="false">IF($A175="","",SUM(D175:O175))</f>
        <v/>
      </c>
      <c r="Q175" s="2"/>
      <c r="R175" s="2"/>
      <c r="S175" s="2"/>
    </row>
    <row r="176" customFormat="false" ht="15" hidden="false" customHeight="false" outlineLevel="0" collapsed="false">
      <c r="A176" s="26" t="str">
        <f aca="false">IF(Team!$A47="","",Team!$A47)</f>
        <v/>
      </c>
      <c r="B176" s="26" t="str">
        <f aca="false">IF(Team!$A47="","",Team!$B47)</f>
        <v/>
      </c>
      <c r="C176" s="26" t="str">
        <f aca="false">IF(Team!$A47="","",Team!$C47)</f>
        <v/>
      </c>
      <c r="D176" s="43" t="str">
        <f aca="false">IF($A176="","",SUMIFS(Allocation!E$5:E$204,Allocation!$A$5:$A$204,$A176))</f>
        <v/>
      </c>
      <c r="E176" s="43" t="str">
        <f aca="false">IF($A176="","",SUMIFS(Allocation!F$5:F$204,Allocation!$A$5:$A$204,$A176))</f>
        <v/>
      </c>
      <c r="F176" s="43" t="str">
        <f aca="false">IF($A176="","",SUMIFS(Allocation!G$5:G$204,Allocation!$A$5:$A$204,$A176))</f>
        <v/>
      </c>
      <c r="G176" s="43" t="str">
        <f aca="false">IF($A176="","",SUMIFS(Allocation!H$5:H$204,Allocation!$A$5:$A$204,$A176))</f>
        <v/>
      </c>
      <c r="H176" s="43" t="str">
        <f aca="false">IF($A176="","",SUMIFS(Allocation!I$5:I$204,Allocation!$A$5:$A$204,$A176))</f>
        <v/>
      </c>
      <c r="I176" s="43" t="str">
        <f aca="false">IF($A176="","",SUMIFS(Allocation!J$5:J$204,Allocation!$A$5:$A$204,$A176))</f>
        <v/>
      </c>
      <c r="J176" s="43" t="str">
        <f aca="false">IF($A176="","",SUMIFS(Allocation!K$5:K$204,Allocation!$A$5:$A$204,$A176))</f>
        <v/>
      </c>
      <c r="K176" s="43" t="str">
        <f aca="false">IF($A176="","",SUMIFS(Allocation!L$5:L$204,Allocation!$A$5:$A$204,$A176))</f>
        <v/>
      </c>
      <c r="L176" s="43" t="str">
        <f aca="false">IF($A176="","",SUMIFS(Allocation!M$5:M$204,Allocation!$A$5:$A$204,$A176))</f>
        <v/>
      </c>
      <c r="M176" s="43" t="str">
        <f aca="false">IF($A176="","",SUMIFS(Allocation!N$5:N$204,Allocation!$A$5:$A$204,$A176))</f>
        <v/>
      </c>
      <c r="N176" s="43" t="str">
        <f aca="false">IF($A176="","",SUMIFS(Allocation!O$5:O$204,Allocation!$A$5:$A$204,$A176))</f>
        <v/>
      </c>
      <c r="O176" s="43" t="str">
        <f aca="false">IF($A176="","",SUMIFS(Allocation!P$5:P$204,Allocation!$A$5:$A$204,$A176))</f>
        <v/>
      </c>
      <c r="P176" s="19" t="str">
        <f aca="false">IF($A176="","",SUM(D176:O176))</f>
        <v/>
      </c>
      <c r="Q176" s="2"/>
      <c r="R176" s="2"/>
      <c r="S176" s="2"/>
    </row>
    <row r="177" customFormat="false" ht="15" hidden="false" customHeight="false" outlineLevel="0" collapsed="false">
      <c r="A177" s="26" t="str">
        <f aca="false">IF(Team!$A48="","",Team!$A48)</f>
        <v/>
      </c>
      <c r="B177" s="26" t="str">
        <f aca="false">IF(Team!$A48="","",Team!$B48)</f>
        <v/>
      </c>
      <c r="C177" s="26" t="str">
        <f aca="false">IF(Team!$A48="","",Team!$C48)</f>
        <v/>
      </c>
      <c r="D177" s="43" t="str">
        <f aca="false">IF($A177="","",SUMIFS(Allocation!E$5:E$204,Allocation!$A$5:$A$204,$A177))</f>
        <v/>
      </c>
      <c r="E177" s="43" t="str">
        <f aca="false">IF($A177="","",SUMIFS(Allocation!F$5:F$204,Allocation!$A$5:$A$204,$A177))</f>
        <v/>
      </c>
      <c r="F177" s="43" t="str">
        <f aca="false">IF($A177="","",SUMIFS(Allocation!G$5:G$204,Allocation!$A$5:$A$204,$A177))</f>
        <v/>
      </c>
      <c r="G177" s="43" t="str">
        <f aca="false">IF($A177="","",SUMIFS(Allocation!H$5:H$204,Allocation!$A$5:$A$204,$A177))</f>
        <v/>
      </c>
      <c r="H177" s="43" t="str">
        <f aca="false">IF($A177="","",SUMIFS(Allocation!I$5:I$204,Allocation!$A$5:$A$204,$A177))</f>
        <v/>
      </c>
      <c r="I177" s="43" t="str">
        <f aca="false">IF($A177="","",SUMIFS(Allocation!J$5:J$204,Allocation!$A$5:$A$204,$A177))</f>
        <v/>
      </c>
      <c r="J177" s="43" t="str">
        <f aca="false">IF($A177="","",SUMIFS(Allocation!K$5:K$204,Allocation!$A$5:$A$204,$A177))</f>
        <v/>
      </c>
      <c r="K177" s="43" t="str">
        <f aca="false">IF($A177="","",SUMIFS(Allocation!L$5:L$204,Allocation!$A$5:$A$204,$A177))</f>
        <v/>
      </c>
      <c r="L177" s="43" t="str">
        <f aca="false">IF($A177="","",SUMIFS(Allocation!M$5:M$204,Allocation!$A$5:$A$204,$A177))</f>
        <v/>
      </c>
      <c r="M177" s="43" t="str">
        <f aca="false">IF($A177="","",SUMIFS(Allocation!N$5:N$204,Allocation!$A$5:$A$204,$A177))</f>
        <v/>
      </c>
      <c r="N177" s="43" t="str">
        <f aca="false">IF($A177="","",SUMIFS(Allocation!O$5:O$204,Allocation!$A$5:$A$204,$A177))</f>
        <v/>
      </c>
      <c r="O177" s="43" t="str">
        <f aca="false">IF($A177="","",SUMIFS(Allocation!P$5:P$204,Allocation!$A$5:$A$204,$A177))</f>
        <v/>
      </c>
      <c r="P177" s="19" t="str">
        <f aca="false">IF($A177="","",SUM(D177:O177))</f>
        <v/>
      </c>
      <c r="Q177" s="2"/>
      <c r="R177" s="2"/>
      <c r="S177" s="2"/>
    </row>
    <row r="178" customFormat="false" ht="15" hidden="false" customHeight="false" outlineLevel="0" collapsed="false">
      <c r="A178" s="26" t="str">
        <f aca="false">IF(Team!$A49="","",Team!$A49)</f>
        <v/>
      </c>
      <c r="B178" s="26" t="str">
        <f aca="false">IF(Team!$A49="","",Team!$B49)</f>
        <v/>
      </c>
      <c r="C178" s="26" t="str">
        <f aca="false">IF(Team!$A49="","",Team!$C49)</f>
        <v/>
      </c>
      <c r="D178" s="43" t="str">
        <f aca="false">IF($A178="","",SUMIFS(Allocation!E$5:E$204,Allocation!$A$5:$A$204,$A178))</f>
        <v/>
      </c>
      <c r="E178" s="43" t="str">
        <f aca="false">IF($A178="","",SUMIFS(Allocation!F$5:F$204,Allocation!$A$5:$A$204,$A178))</f>
        <v/>
      </c>
      <c r="F178" s="43" t="str">
        <f aca="false">IF($A178="","",SUMIFS(Allocation!G$5:G$204,Allocation!$A$5:$A$204,$A178))</f>
        <v/>
      </c>
      <c r="G178" s="43" t="str">
        <f aca="false">IF($A178="","",SUMIFS(Allocation!H$5:H$204,Allocation!$A$5:$A$204,$A178))</f>
        <v/>
      </c>
      <c r="H178" s="43" t="str">
        <f aca="false">IF($A178="","",SUMIFS(Allocation!I$5:I$204,Allocation!$A$5:$A$204,$A178))</f>
        <v/>
      </c>
      <c r="I178" s="43" t="str">
        <f aca="false">IF($A178="","",SUMIFS(Allocation!J$5:J$204,Allocation!$A$5:$A$204,$A178))</f>
        <v/>
      </c>
      <c r="J178" s="43" t="str">
        <f aca="false">IF($A178="","",SUMIFS(Allocation!K$5:K$204,Allocation!$A$5:$A$204,$A178))</f>
        <v/>
      </c>
      <c r="K178" s="43" t="str">
        <f aca="false">IF($A178="","",SUMIFS(Allocation!L$5:L$204,Allocation!$A$5:$A$204,$A178))</f>
        <v/>
      </c>
      <c r="L178" s="43" t="str">
        <f aca="false">IF($A178="","",SUMIFS(Allocation!M$5:M$204,Allocation!$A$5:$A$204,$A178))</f>
        <v/>
      </c>
      <c r="M178" s="43" t="str">
        <f aca="false">IF($A178="","",SUMIFS(Allocation!N$5:N$204,Allocation!$A$5:$A$204,$A178))</f>
        <v/>
      </c>
      <c r="N178" s="43" t="str">
        <f aca="false">IF($A178="","",SUMIFS(Allocation!O$5:O$204,Allocation!$A$5:$A$204,$A178))</f>
        <v/>
      </c>
      <c r="O178" s="43" t="str">
        <f aca="false">IF($A178="","",SUMIFS(Allocation!P$5:P$204,Allocation!$A$5:$A$204,$A178))</f>
        <v/>
      </c>
      <c r="P178" s="19" t="str">
        <f aca="false">IF($A178="","",SUM(D178:O178))</f>
        <v/>
      </c>
      <c r="Q178" s="2"/>
      <c r="R178" s="2"/>
      <c r="S178" s="2"/>
    </row>
    <row r="179" customFormat="false" ht="15" hidden="false" customHeight="false" outlineLevel="0" collapsed="false">
      <c r="A179" s="26" t="str">
        <f aca="false">IF(Team!$A50="","",Team!$A50)</f>
        <v/>
      </c>
      <c r="B179" s="26" t="str">
        <f aca="false">IF(Team!$A50="","",Team!$B50)</f>
        <v/>
      </c>
      <c r="C179" s="26" t="str">
        <f aca="false">IF(Team!$A50="","",Team!$C50)</f>
        <v/>
      </c>
      <c r="D179" s="43" t="str">
        <f aca="false">IF($A179="","",SUMIFS(Allocation!E$5:E$204,Allocation!$A$5:$A$204,$A179))</f>
        <v/>
      </c>
      <c r="E179" s="43" t="str">
        <f aca="false">IF($A179="","",SUMIFS(Allocation!F$5:F$204,Allocation!$A$5:$A$204,$A179))</f>
        <v/>
      </c>
      <c r="F179" s="43" t="str">
        <f aca="false">IF($A179="","",SUMIFS(Allocation!G$5:G$204,Allocation!$A$5:$A$204,$A179))</f>
        <v/>
      </c>
      <c r="G179" s="43" t="str">
        <f aca="false">IF($A179="","",SUMIFS(Allocation!H$5:H$204,Allocation!$A$5:$A$204,$A179))</f>
        <v/>
      </c>
      <c r="H179" s="43" t="str">
        <f aca="false">IF($A179="","",SUMIFS(Allocation!I$5:I$204,Allocation!$A$5:$A$204,$A179))</f>
        <v/>
      </c>
      <c r="I179" s="43" t="str">
        <f aca="false">IF($A179="","",SUMIFS(Allocation!J$5:J$204,Allocation!$A$5:$A$204,$A179))</f>
        <v/>
      </c>
      <c r="J179" s="43" t="str">
        <f aca="false">IF($A179="","",SUMIFS(Allocation!K$5:K$204,Allocation!$A$5:$A$204,$A179))</f>
        <v/>
      </c>
      <c r="K179" s="43" t="str">
        <f aca="false">IF($A179="","",SUMIFS(Allocation!L$5:L$204,Allocation!$A$5:$A$204,$A179))</f>
        <v/>
      </c>
      <c r="L179" s="43" t="str">
        <f aca="false">IF($A179="","",SUMIFS(Allocation!M$5:M$204,Allocation!$A$5:$A$204,$A179))</f>
        <v/>
      </c>
      <c r="M179" s="43" t="str">
        <f aca="false">IF($A179="","",SUMIFS(Allocation!N$5:N$204,Allocation!$A$5:$A$204,$A179))</f>
        <v/>
      </c>
      <c r="N179" s="43" t="str">
        <f aca="false">IF($A179="","",SUMIFS(Allocation!O$5:O$204,Allocation!$A$5:$A$204,$A179))</f>
        <v/>
      </c>
      <c r="O179" s="43" t="str">
        <f aca="false">IF($A179="","",SUMIFS(Allocation!P$5:P$204,Allocation!$A$5:$A$204,$A179))</f>
        <v/>
      </c>
      <c r="P179" s="19" t="str">
        <f aca="false">IF($A179="","",SUM(D179:O179))</f>
        <v/>
      </c>
      <c r="Q179" s="2"/>
      <c r="R179" s="2"/>
      <c r="S179" s="2"/>
    </row>
    <row r="180" customFormat="false" ht="15" hidden="false" customHeight="false" outlineLevel="0" collapsed="false">
      <c r="A180" s="26" t="str">
        <f aca="false">IF(Team!$A51="","",Team!$A51)</f>
        <v/>
      </c>
      <c r="B180" s="26" t="str">
        <f aca="false">IF(Team!$A51="","",Team!$B51)</f>
        <v/>
      </c>
      <c r="C180" s="26" t="str">
        <f aca="false">IF(Team!$A51="","",Team!$C51)</f>
        <v/>
      </c>
      <c r="D180" s="43" t="str">
        <f aca="false">IF($A180="","",SUMIFS(Allocation!E$5:E$204,Allocation!$A$5:$A$204,$A180))</f>
        <v/>
      </c>
      <c r="E180" s="43" t="str">
        <f aca="false">IF($A180="","",SUMIFS(Allocation!F$5:F$204,Allocation!$A$5:$A$204,$A180))</f>
        <v/>
      </c>
      <c r="F180" s="43" t="str">
        <f aca="false">IF($A180="","",SUMIFS(Allocation!G$5:G$204,Allocation!$A$5:$A$204,$A180))</f>
        <v/>
      </c>
      <c r="G180" s="43" t="str">
        <f aca="false">IF($A180="","",SUMIFS(Allocation!H$5:H$204,Allocation!$A$5:$A$204,$A180))</f>
        <v/>
      </c>
      <c r="H180" s="43" t="str">
        <f aca="false">IF($A180="","",SUMIFS(Allocation!I$5:I$204,Allocation!$A$5:$A$204,$A180))</f>
        <v/>
      </c>
      <c r="I180" s="43" t="str">
        <f aca="false">IF($A180="","",SUMIFS(Allocation!J$5:J$204,Allocation!$A$5:$A$204,$A180))</f>
        <v/>
      </c>
      <c r="J180" s="43" t="str">
        <f aca="false">IF($A180="","",SUMIFS(Allocation!K$5:K$204,Allocation!$A$5:$A$204,$A180))</f>
        <v/>
      </c>
      <c r="K180" s="43" t="str">
        <f aca="false">IF($A180="","",SUMIFS(Allocation!L$5:L$204,Allocation!$A$5:$A$204,$A180))</f>
        <v/>
      </c>
      <c r="L180" s="43" t="str">
        <f aca="false">IF($A180="","",SUMIFS(Allocation!M$5:M$204,Allocation!$A$5:$A$204,$A180))</f>
        <v/>
      </c>
      <c r="M180" s="43" t="str">
        <f aca="false">IF($A180="","",SUMIFS(Allocation!N$5:N$204,Allocation!$A$5:$A$204,$A180))</f>
        <v/>
      </c>
      <c r="N180" s="43" t="str">
        <f aca="false">IF($A180="","",SUMIFS(Allocation!O$5:O$204,Allocation!$A$5:$A$204,$A180))</f>
        <v/>
      </c>
      <c r="O180" s="43" t="str">
        <f aca="false">IF($A180="","",SUMIFS(Allocation!P$5:P$204,Allocation!$A$5:$A$204,$A180))</f>
        <v/>
      </c>
      <c r="P180" s="19" t="str">
        <f aca="false">IF($A180="","",SUM(D180:O180))</f>
        <v/>
      </c>
      <c r="Q180" s="2"/>
      <c r="R180" s="2"/>
      <c r="S180" s="2"/>
    </row>
    <row r="181" customFormat="false" ht="15" hidden="false" customHeight="false" outlineLevel="0" collapsed="false">
      <c r="A181" s="26" t="str">
        <f aca="false">IF(Team!$A52="","",Team!$A52)</f>
        <v/>
      </c>
      <c r="B181" s="26" t="str">
        <f aca="false">IF(Team!$A52="","",Team!$B52)</f>
        <v/>
      </c>
      <c r="C181" s="26" t="str">
        <f aca="false">IF(Team!$A52="","",Team!$C52)</f>
        <v/>
      </c>
      <c r="D181" s="43" t="str">
        <f aca="false">IF($A181="","",SUMIFS(Allocation!E$5:E$204,Allocation!$A$5:$A$204,$A181))</f>
        <v/>
      </c>
      <c r="E181" s="43" t="str">
        <f aca="false">IF($A181="","",SUMIFS(Allocation!F$5:F$204,Allocation!$A$5:$A$204,$A181))</f>
        <v/>
      </c>
      <c r="F181" s="43" t="str">
        <f aca="false">IF($A181="","",SUMIFS(Allocation!G$5:G$204,Allocation!$A$5:$A$204,$A181))</f>
        <v/>
      </c>
      <c r="G181" s="43" t="str">
        <f aca="false">IF($A181="","",SUMIFS(Allocation!H$5:H$204,Allocation!$A$5:$A$204,$A181))</f>
        <v/>
      </c>
      <c r="H181" s="43" t="str">
        <f aca="false">IF($A181="","",SUMIFS(Allocation!I$5:I$204,Allocation!$A$5:$A$204,$A181))</f>
        <v/>
      </c>
      <c r="I181" s="43" t="str">
        <f aca="false">IF($A181="","",SUMIFS(Allocation!J$5:J$204,Allocation!$A$5:$A$204,$A181))</f>
        <v/>
      </c>
      <c r="J181" s="43" t="str">
        <f aca="false">IF($A181="","",SUMIFS(Allocation!K$5:K$204,Allocation!$A$5:$A$204,$A181))</f>
        <v/>
      </c>
      <c r="K181" s="43" t="str">
        <f aca="false">IF($A181="","",SUMIFS(Allocation!L$5:L$204,Allocation!$A$5:$A$204,$A181))</f>
        <v/>
      </c>
      <c r="L181" s="43" t="str">
        <f aca="false">IF($A181="","",SUMIFS(Allocation!M$5:M$204,Allocation!$A$5:$A$204,$A181))</f>
        <v/>
      </c>
      <c r="M181" s="43" t="str">
        <f aca="false">IF($A181="","",SUMIFS(Allocation!N$5:N$204,Allocation!$A$5:$A$204,$A181))</f>
        <v/>
      </c>
      <c r="N181" s="43" t="str">
        <f aca="false">IF($A181="","",SUMIFS(Allocation!O$5:O$204,Allocation!$A$5:$A$204,$A181))</f>
        <v/>
      </c>
      <c r="O181" s="43" t="str">
        <f aca="false">IF($A181="","",SUMIFS(Allocation!P$5:P$204,Allocation!$A$5:$A$204,$A181))</f>
        <v/>
      </c>
      <c r="P181" s="19" t="str">
        <f aca="false">IF($A181="","",SUM(D181:O181))</f>
        <v/>
      </c>
      <c r="Q181" s="2"/>
      <c r="R181" s="2"/>
      <c r="S181" s="2"/>
    </row>
    <row r="182" customFormat="false" ht="15" hidden="false" customHeight="false" outlineLevel="0" collapsed="false">
      <c r="A182" s="26" t="str">
        <f aca="false">IF(Team!$A53="","",Team!$A53)</f>
        <v/>
      </c>
      <c r="B182" s="26" t="str">
        <f aca="false">IF(Team!$A53="","",Team!$B53)</f>
        <v/>
      </c>
      <c r="C182" s="26" t="str">
        <f aca="false">IF(Team!$A53="","",Team!$C53)</f>
        <v/>
      </c>
      <c r="D182" s="43" t="str">
        <f aca="false">IF($A182="","",SUMIFS(Allocation!E$5:E$204,Allocation!$A$5:$A$204,$A182))</f>
        <v/>
      </c>
      <c r="E182" s="43" t="str">
        <f aca="false">IF($A182="","",SUMIFS(Allocation!F$5:F$204,Allocation!$A$5:$A$204,$A182))</f>
        <v/>
      </c>
      <c r="F182" s="43" t="str">
        <f aca="false">IF($A182="","",SUMIFS(Allocation!G$5:G$204,Allocation!$A$5:$A$204,$A182))</f>
        <v/>
      </c>
      <c r="G182" s="43" t="str">
        <f aca="false">IF($A182="","",SUMIFS(Allocation!H$5:H$204,Allocation!$A$5:$A$204,$A182))</f>
        <v/>
      </c>
      <c r="H182" s="43" t="str">
        <f aca="false">IF($A182="","",SUMIFS(Allocation!I$5:I$204,Allocation!$A$5:$A$204,$A182))</f>
        <v/>
      </c>
      <c r="I182" s="43" t="str">
        <f aca="false">IF($A182="","",SUMIFS(Allocation!J$5:J$204,Allocation!$A$5:$A$204,$A182))</f>
        <v/>
      </c>
      <c r="J182" s="43" t="str">
        <f aca="false">IF($A182="","",SUMIFS(Allocation!K$5:K$204,Allocation!$A$5:$A$204,$A182))</f>
        <v/>
      </c>
      <c r="K182" s="43" t="str">
        <f aca="false">IF($A182="","",SUMIFS(Allocation!L$5:L$204,Allocation!$A$5:$A$204,$A182))</f>
        <v/>
      </c>
      <c r="L182" s="43" t="str">
        <f aca="false">IF($A182="","",SUMIFS(Allocation!M$5:M$204,Allocation!$A$5:$A$204,$A182))</f>
        <v/>
      </c>
      <c r="M182" s="43" t="str">
        <f aca="false">IF($A182="","",SUMIFS(Allocation!N$5:N$204,Allocation!$A$5:$A$204,$A182))</f>
        <v/>
      </c>
      <c r="N182" s="43" t="str">
        <f aca="false">IF($A182="","",SUMIFS(Allocation!O$5:O$204,Allocation!$A$5:$A$204,$A182))</f>
        <v/>
      </c>
      <c r="O182" s="43" t="str">
        <f aca="false">IF($A182="","",SUMIFS(Allocation!P$5:P$204,Allocation!$A$5:$A$204,$A182))</f>
        <v/>
      </c>
      <c r="P182" s="19" t="str">
        <f aca="false">IF($A182="","",SUM(D182:O182))</f>
        <v/>
      </c>
      <c r="Q182" s="2"/>
      <c r="R182" s="2"/>
      <c r="S182" s="2"/>
    </row>
    <row r="183" customFormat="false" ht="15" hidden="false" customHeight="false" outlineLevel="0" collapsed="false">
      <c r="A183" s="26" t="str">
        <f aca="false">IF(Team!$A54="","",Team!$A54)</f>
        <v/>
      </c>
      <c r="B183" s="26" t="str">
        <f aca="false">IF(Team!$A54="","",Team!$B54)</f>
        <v/>
      </c>
      <c r="C183" s="26" t="str">
        <f aca="false">IF(Team!$A54="","",Team!$C54)</f>
        <v/>
      </c>
      <c r="D183" s="43" t="str">
        <f aca="false">IF($A183="","",SUMIFS(Allocation!E$5:E$204,Allocation!$A$5:$A$204,$A183))</f>
        <v/>
      </c>
      <c r="E183" s="43" t="str">
        <f aca="false">IF($A183="","",SUMIFS(Allocation!F$5:F$204,Allocation!$A$5:$A$204,$A183))</f>
        <v/>
      </c>
      <c r="F183" s="43" t="str">
        <f aca="false">IF($A183="","",SUMIFS(Allocation!G$5:G$204,Allocation!$A$5:$A$204,$A183))</f>
        <v/>
      </c>
      <c r="G183" s="43" t="str">
        <f aca="false">IF($A183="","",SUMIFS(Allocation!H$5:H$204,Allocation!$A$5:$A$204,$A183))</f>
        <v/>
      </c>
      <c r="H183" s="43" t="str">
        <f aca="false">IF($A183="","",SUMIFS(Allocation!I$5:I$204,Allocation!$A$5:$A$204,$A183))</f>
        <v/>
      </c>
      <c r="I183" s="43" t="str">
        <f aca="false">IF($A183="","",SUMIFS(Allocation!J$5:J$204,Allocation!$A$5:$A$204,$A183))</f>
        <v/>
      </c>
      <c r="J183" s="43" t="str">
        <f aca="false">IF($A183="","",SUMIFS(Allocation!K$5:K$204,Allocation!$A$5:$A$204,$A183))</f>
        <v/>
      </c>
      <c r="K183" s="43" t="str">
        <f aca="false">IF($A183="","",SUMIFS(Allocation!L$5:L$204,Allocation!$A$5:$A$204,$A183))</f>
        <v/>
      </c>
      <c r="L183" s="43" t="str">
        <f aca="false">IF($A183="","",SUMIFS(Allocation!M$5:M$204,Allocation!$A$5:$A$204,$A183))</f>
        <v/>
      </c>
      <c r="M183" s="43" t="str">
        <f aca="false">IF($A183="","",SUMIFS(Allocation!N$5:N$204,Allocation!$A$5:$A$204,$A183))</f>
        <v/>
      </c>
      <c r="N183" s="43" t="str">
        <f aca="false">IF($A183="","",SUMIFS(Allocation!O$5:O$204,Allocation!$A$5:$A$204,$A183))</f>
        <v/>
      </c>
      <c r="O183" s="43" t="str">
        <f aca="false">IF($A183="","",SUMIFS(Allocation!P$5:P$204,Allocation!$A$5:$A$204,$A183))</f>
        <v/>
      </c>
      <c r="P183" s="19" t="str">
        <f aca="false">IF($A183="","",SUM(D183:O183))</f>
        <v/>
      </c>
      <c r="Q183" s="2"/>
      <c r="R183" s="2"/>
      <c r="S183" s="2"/>
    </row>
    <row r="184" customFormat="false" ht="15" hidden="false" customHeight="false" outlineLevel="0" collapsed="false">
      <c r="A184" s="26" t="str">
        <f aca="false">IF(Team!$A55="","",Team!$A55)</f>
        <v/>
      </c>
      <c r="B184" s="26" t="str">
        <f aca="false">IF(Team!$A55="","",Team!$B55)</f>
        <v/>
      </c>
      <c r="C184" s="26" t="str">
        <f aca="false">IF(Team!$A55="","",Team!$C55)</f>
        <v/>
      </c>
      <c r="D184" s="43" t="str">
        <f aca="false">IF($A184="","",SUMIFS(Allocation!E$5:E$204,Allocation!$A$5:$A$204,$A184))</f>
        <v/>
      </c>
      <c r="E184" s="43" t="str">
        <f aca="false">IF($A184="","",SUMIFS(Allocation!F$5:F$204,Allocation!$A$5:$A$204,$A184))</f>
        <v/>
      </c>
      <c r="F184" s="43" t="str">
        <f aca="false">IF($A184="","",SUMIFS(Allocation!G$5:G$204,Allocation!$A$5:$A$204,$A184))</f>
        <v/>
      </c>
      <c r="G184" s="43" t="str">
        <f aca="false">IF($A184="","",SUMIFS(Allocation!H$5:H$204,Allocation!$A$5:$A$204,$A184))</f>
        <v/>
      </c>
      <c r="H184" s="43" t="str">
        <f aca="false">IF($A184="","",SUMIFS(Allocation!I$5:I$204,Allocation!$A$5:$A$204,$A184))</f>
        <v/>
      </c>
      <c r="I184" s="43" t="str">
        <f aca="false">IF($A184="","",SUMIFS(Allocation!J$5:J$204,Allocation!$A$5:$A$204,$A184))</f>
        <v/>
      </c>
      <c r="J184" s="43" t="str">
        <f aca="false">IF($A184="","",SUMIFS(Allocation!K$5:K$204,Allocation!$A$5:$A$204,$A184))</f>
        <v/>
      </c>
      <c r="K184" s="43" t="str">
        <f aca="false">IF($A184="","",SUMIFS(Allocation!L$5:L$204,Allocation!$A$5:$A$204,$A184))</f>
        <v/>
      </c>
      <c r="L184" s="43" t="str">
        <f aca="false">IF($A184="","",SUMIFS(Allocation!M$5:M$204,Allocation!$A$5:$A$204,$A184))</f>
        <v/>
      </c>
      <c r="M184" s="43" t="str">
        <f aca="false">IF($A184="","",SUMIFS(Allocation!N$5:N$204,Allocation!$A$5:$A$204,$A184))</f>
        <v/>
      </c>
      <c r="N184" s="43" t="str">
        <f aca="false">IF($A184="","",SUMIFS(Allocation!O$5:O$204,Allocation!$A$5:$A$204,$A184))</f>
        <v/>
      </c>
      <c r="O184" s="43" t="str">
        <f aca="false">IF($A184="","",SUMIFS(Allocation!P$5:P$204,Allocation!$A$5:$A$204,$A184))</f>
        <v/>
      </c>
      <c r="P184" s="19" t="str">
        <f aca="false">IF($A184="","",SUM(D184:O184))</f>
        <v/>
      </c>
      <c r="Q184" s="2"/>
      <c r="R184" s="2"/>
      <c r="S184" s="2"/>
    </row>
    <row r="185" customFormat="false" ht="15" hidden="false" customHeight="false" outlineLevel="0" collapsed="false">
      <c r="A185" s="26" t="str">
        <f aca="false">IF(Team!$A56="","",Team!$A56)</f>
        <v/>
      </c>
      <c r="B185" s="26" t="str">
        <f aca="false">IF(Team!$A56="","",Team!$B56)</f>
        <v/>
      </c>
      <c r="C185" s="26" t="str">
        <f aca="false">IF(Team!$A56="","",Team!$C56)</f>
        <v/>
      </c>
      <c r="D185" s="43" t="str">
        <f aca="false">IF($A185="","",SUMIFS(Allocation!E$5:E$204,Allocation!$A$5:$A$204,$A185))</f>
        <v/>
      </c>
      <c r="E185" s="43" t="str">
        <f aca="false">IF($A185="","",SUMIFS(Allocation!F$5:F$204,Allocation!$A$5:$A$204,$A185))</f>
        <v/>
      </c>
      <c r="F185" s="43" t="str">
        <f aca="false">IF($A185="","",SUMIFS(Allocation!G$5:G$204,Allocation!$A$5:$A$204,$A185))</f>
        <v/>
      </c>
      <c r="G185" s="43" t="str">
        <f aca="false">IF($A185="","",SUMIFS(Allocation!H$5:H$204,Allocation!$A$5:$A$204,$A185))</f>
        <v/>
      </c>
      <c r="H185" s="43" t="str">
        <f aca="false">IF($A185="","",SUMIFS(Allocation!I$5:I$204,Allocation!$A$5:$A$204,$A185))</f>
        <v/>
      </c>
      <c r="I185" s="43" t="str">
        <f aca="false">IF($A185="","",SUMIFS(Allocation!J$5:J$204,Allocation!$A$5:$A$204,$A185))</f>
        <v/>
      </c>
      <c r="J185" s="43" t="str">
        <f aca="false">IF($A185="","",SUMIFS(Allocation!K$5:K$204,Allocation!$A$5:$A$204,$A185))</f>
        <v/>
      </c>
      <c r="K185" s="43" t="str">
        <f aca="false">IF($A185="","",SUMIFS(Allocation!L$5:L$204,Allocation!$A$5:$A$204,$A185))</f>
        <v/>
      </c>
      <c r="L185" s="43" t="str">
        <f aca="false">IF($A185="","",SUMIFS(Allocation!M$5:M$204,Allocation!$A$5:$A$204,$A185))</f>
        <v/>
      </c>
      <c r="M185" s="43" t="str">
        <f aca="false">IF($A185="","",SUMIFS(Allocation!N$5:N$204,Allocation!$A$5:$A$204,$A185))</f>
        <v/>
      </c>
      <c r="N185" s="43" t="str">
        <f aca="false">IF($A185="","",SUMIFS(Allocation!O$5:O$204,Allocation!$A$5:$A$204,$A185))</f>
        <v/>
      </c>
      <c r="O185" s="43" t="str">
        <f aca="false">IF($A185="","",SUMIFS(Allocation!P$5:P$204,Allocation!$A$5:$A$204,$A185))</f>
        <v/>
      </c>
      <c r="P185" s="19" t="str">
        <f aca="false">IF($A185="","",SUM(D185:O185))</f>
        <v/>
      </c>
      <c r="Q185" s="2"/>
      <c r="R185" s="2"/>
      <c r="S185" s="2"/>
    </row>
    <row r="186" customFormat="false" ht="15" hidden="false" customHeight="false" outlineLevel="0" collapsed="false">
      <c r="A186" s="26" t="str">
        <f aca="false">IF(Team!$A57="","",Team!$A57)</f>
        <v/>
      </c>
      <c r="B186" s="26" t="str">
        <f aca="false">IF(Team!$A57="","",Team!$B57)</f>
        <v/>
      </c>
      <c r="C186" s="26" t="str">
        <f aca="false">IF(Team!$A57="","",Team!$C57)</f>
        <v/>
      </c>
      <c r="D186" s="43" t="str">
        <f aca="false">IF($A186="","",SUMIFS(Allocation!E$5:E$204,Allocation!$A$5:$A$204,$A186))</f>
        <v/>
      </c>
      <c r="E186" s="43" t="str">
        <f aca="false">IF($A186="","",SUMIFS(Allocation!F$5:F$204,Allocation!$A$5:$A$204,$A186))</f>
        <v/>
      </c>
      <c r="F186" s="43" t="str">
        <f aca="false">IF($A186="","",SUMIFS(Allocation!G$5:G$204,Allocation!$A$5:$A$204,$A186))</f>
        <v/>
      </c>
      <c r="G186" s="43" t="str">
        <f aca="false">IF($A186="","",SUMIFS(Allocation!H$5:H$204,Allocation!$A$5:$A$204,$A186))</f>
        <v/>
      </c>
      <c r="H186" s="43" t="str">
        <f aca="false">IF($A186="","",SUMIFS(Allocation!I$5:I$204,Allocation!$A$5:$A$204,$A186))</f>
        <v/>
      </c>
      <c r="I186" s="43" t="str">
        <f aca="false">IF($A186="","",SUMIFS(Allocation!J$5:J$204,Allocation!$A$5:$A$204,$A186))</f>
        <v/>
      </c>
      <c r="J186" s="43" t="str">
        <f aca="false">IF($A186="","",SUMIFS(Allocation!K$5:K$204,Allocation!$A$5:$A$204,$A186))</f>
        <v/>
      </c>
      <c r="K186" s="43" t="str">
        <f aca="false">IF($A186="","",SUMIFS(Allocation!L$5:L$204,Allocation!$A$5:$A$204,$A186))</f>
        <v/>
      </c>
      <c r="L186" s="43" t="str">
        <f aca="false">IF($A186="","",SUMIFS(Allocation!M$5:M$204,Allocation!$A$5:$A$204,$A186))</f>
        <v/>
      </c>
      <c r="M186" s="43" t="str">
        <f aca="false">IF($A186="","",SUMIFS(Allocation!N$5:N$204,Allocation!$A$5:$A$204,$A186))</f>
        <v/>
      </c>
      <c r="N186" s="43" t="str">
        <f aca="false">IF($A186="","",SUMIFS(Allocation!O$5:O$204,Allocation!$A$5:$A$204,$A186))</f>
        <v/>
      </c>
      <c r="O186" s="43" t="str">
        <f aca="false">IF($A186="","",SUMIFS(Allocation!P$5:P$204,Allocation!$A$5:$A$204,$A186))</f>
        <v/>
      </c>
      <c r="P186" s="19" t="str">
        <f aca="false">IF($A186="","",SUM(D186:O186))</f>
        <v/>
      </c>
      <c r="Q186" s="2"/>
      <c r="R186" s="2"/>
      <c r="S186" s="2"/>
    </row>
    <row r="187" customFormat="false" ht="15" hidden="false" customHeight="false" outlineLevel="0" collapsed="false">
      <c r="A187" s="26" t="str">
        <f aca="false">IF(Team!$A58="","",Team!$A58)</f>
        <v/>
      </c>
      <c r="B187" s="26" t="str">
        <f aca="false">IF(Team!$A58="","",Team!$B58)</f>
        <v/>
      </c>
      <c r="C187" s="26" t="str">
        <f aca="false">IF(Team!$A58="","",Team!$C58)</f>
        <v/>
      </c>
      <c r="D187" s="43" t="str">
        <f aca="false">IF($A187="","",SUMIFS(Allocation!E$5:E$204,Allocation!$A$5:$A$204,$A187))</f>
        <v/>
      </c>
      <c r="E187" s="43" t="str">
        <f aca="false">IF($A187="","",SUMIFS(Allocation!F$5:F$204,Allocation!$A$5:$A$204,$A187))</f>
        <v/>
      </c>
      <c r="F187" s="43" t="str">
        <f aca="false">IF($A187="","",SUMIFS(Allocation!G$5:G$204,Allocation!$A$5:$A$204,$A187))</f>
        <v/>
      </c>
      <c r="G187" s="43" t="str">
        <f aca="false">IF($A187="","",SUMIFS(Allocation!H$5:H$204,Allocation!$A$5:$A$204,$A187))</f>
        <v/>
      </c>
      <c r="H187" s="43" t="str">
        <f aca="false">IF($A187="","",SUMIFS(Allocation!I$5:I$204,Allocation!$A$5:$A$204,$A187))</f>
        <v/>
      </c>
      <c r="I187" s="43" t="str">
        <f aca="false">IF($A187="","",SUMIFS(Allocation!J$5:J$204,Allocation!$A$5:$A$204,$A187))</f>
        <v/>
      </c>
      <c r="J187" s="43" t="str">
        <f aca="false">IF($A187="","",SUMIFS(Allocation!K$5:K$204,Allocation!$A$5:$A$204,$A187))</f>
        <v/>
      </c>
      <c r="K187" s="43" t="str">
        <f aca="false">IF($A187="","",SUMIFS(Allocation!L$5:L$204,Allocation!$A$5:$A$204,$A187))</f>
        <v/>
      </c>
      <c r="L187" s="43" t="str">
        <f aca="false">IF($A187="","",SUMIFS(Allocation!M$5:M$204,Allocation!$A$5:$A$204,$A187))</f>
        <v/>
      </c>
      <c r="M187" s="43" t="str">
        <f aca="false">IF($A187="","",SUMIFS(Allocation!N$5:N$204,Allocation!$A$5:$A$204,$A187))</f>
        <v/>
      </c>
      <c r="N187" s="43" t="str">
        <f aca="false">IF($A187="","",SUMIFS(Allocation!O$5:O$204,Allocation!$A$5:$A$204,$A187))</f>
        <v/>
      </c>
      <c r="O187" s="43" t="str">
        <f aca="false">IF($A187="","",SUMIFS(Allocation!P$5:P$204,Allocation!$A$5:$A$204,$A187))</f>
        <v/>
      </c>
      <c r="P187" s="19" t="str">
        <f aca="false">IF($A187="","",SUM(D187:O187))</f>
        <v/>
      </c>
      <c r="Q187" s="2"/>
      <c r="R187" s="2"/>
      <c r="S187" s="2"/>
    </row>
    <row r="188" customFormat="false" ht="15" hidden="false" customHeight="false" outlineLevel="0" collapsed="false">
      <c r="A188" s="26" t="str">
        <f aca="false">IF(Team!$A59="","",Team!$A59)</f>
        <v/>
      </c>
      <c r="B188" s="26" t="str">
        <f aca="false">IF(Team!$A59="","",Team!$B59)</f>
        <v/>
      </c>
      <c r="C188" s="26" t="str">
        <f aca="false">IF(Team!$A59="","",Team!$C59)</f>
        <v/>
      </c>
      <c r="D188" s="43" t="str">
        <f aca="false">IF($A188="","",SUMIFS(Allocation!E$5:E$204,Allocation!$A$5:$A$204,$A188))</f>
        <v/>
      </c>
      <c r="E188" s="43" t="str">
        <f aca="false">IF($A188="","",SUMIFS(Allocation!F$5:F$204,Allocation!$A$5:$A$204,$A188))</f>
        <v/>
      </c>
      <c r="F188" s="43" t="str">
        <f aca="false">IF($A188="","",SUMIFS(Allocation!G$5:G$204,Allocation!$A$5:$A$204,$A188))</f>
        <v/>
      </c>
      <c r="G188" s="43" t="str">
        <f aca="false">IF($A188="","",SUMIFS(Allocation!H$5:H$204,Allocation!$A$5:$A$204,$A188))</f>
        <v/>
      </c>
      <c r="H188" s="43" t="str">
        <f aca="false">IF($A188="","",SUMIFS(Allocation!I$5:I$204,Allocation!$A$5:$A$204,$A188))</f>
        <v/>
      </c>
      <c r="I188" s="43" t="str">
        <f aca="false">IF($A188="","",SUMIFS(Allocation!J$5:J$204,Allocation!$A$5:$A$204,$A188))</f>
        <v/>
      </c>
      <c r="J188" s="43" t="str">
        <f aca="false">IF($A188="","",SUMIFS(Allocation!K$5:K$204,Allocation!$A$5:$A$204,$A188))</f>
        <v/>
      </c>
      <c r="K188" s="43" t="str">
        <f aca="false">IF($A188="","",SUMIFS(Allocation!L$5:L$204,Allocation!$A$5:$A$204,$A188))</f>
        <v/>
      </c>
      <c r="L188" s="43" t="str">
        <f aca="false">IF($A188="","",SUMIFS(Allocation!M$5:M$204,Allocation!$A$5:$A$204,$A188))</f>
        <v/>
      </c>
      <c r="M188" s="43" t="str">
        <f aca="false">IF($A188="","",SUMIFS(Allocation!N$5:N$204,Allocation!$A$5:$A$204,$A188))</f>
        <v/>
      </c>
      <c r="N188" s="43" t="str">
        <f aca="false">IF($A188="","",SUMIFS(Allocation!O$5:O$204,Allocation!$A$5:$A$204,$A188))</f>
        <v/>
      </c>
      <c r="O188" s="43" t="str">
        <f aca="false">IF($A188="","",SUMIFS(Allocation!P$5:P$204,Allocation!$A$5:$A$204,$A188))</f>
        <v/>
      </c>
      <c r="P188" s="19" t="str">
        <f aca="false">IF($A188="","",SUM(D188:O188))</f>
        <v/>
      </c>
      <c r="Q188" s="2"/>
      <c r="R188" s="2"/>
      <c r="S188" s="2"/>
    </row>
    <row r="189" customFormat="false" ht="15" hidden="false" customHeight="false" outlineLevel="0" collapsed="false">
      <c r="A189" s="26" t="str">
        <f aca="false">IF(Team!$A60="","",Team!$A60)</f>
        <v/>
      </c>
      <c r="B189" s="26" t="str">
        <f aca="false">IF(Team!$A60="","",Team!$B60)</f>
        <v/>
      </c>
      <c r="C189" s="26" t="str">
        <f aca="false">IF(Team!$A60="","",Team!$C60)</f>
        <v/>
      </c>
      <c r="D189" s="43" t="str">
        <f aca="false">IF($A189="","",SUMIFS(Allocation!E$5:E$204,Allocation!$A$5:$A$204,$A189))</f>
        <v/>
      </c>
      <c r="E189" s="43" t="str">
        <f aca="false">IF($A189="","",SUMIFS(Allocation!F$5:F$204,Allocation!$A$5:$A$204,$A189))</f>
        <v/>
      </c>
      <c r="F189" s="43" t="str">
        <f aca="false">IF($A189="","",SUMIFS(Allocation!G$5:G$204,Allocation!$A$5:$A$204,$A189))</f>
        <v/>
      </c>
      <c r="G189" s="43" t="str">
        <f aca="false">IF($A189="","",SUMIFS(Allocation!H$5:H$204,Allocation!$A$5:$A$204,$A189))</f>
        <v/>
      </c>
      <c r="H189" s="43" t="str">
        <f aca="false">IF($A189="","",SUMIFS(Allocation!I$5:I$204,Allocation!$A$5:$A$204,$A189))</f>
        <v/>
      </c>
      <c r="I189" s="43" t="str">
        <f aca="false">IF($A189="","",SUMIFS(Allocation!J$5:J$204,Allocation!$A$5:$A$204,$A189))</f>
        <v/>
      </c>
      <c r="J189" s="43" t="str">
        <f aca="false">IF($A189="","",SUMIFS(Allocation!K$5:K$204,Allocation!$A$5:$A$204,$A189))</f>
        <v/>
      </c>
      <c r="K189" s="43" t="str">
        <f aca="false">IF($A189="","",SUMIFS(Allocation!L$5:L$204,Allocation!$A$5:$A$204,$A189))</f>
        <v/>
      </c>
      <c r="L189" s="43" t="str">
        <f aca="false">IF($A189="","",SUMIFS(Allocation!M$5:M$204,Allocation!$A$5:$A$204,$A189))</f>
        <v/>
      </c>
      <c r="M189" s="43" t="str">
        <f aca="false">IF($A189="","",SUMIFS(Allocation!N$5:N$204,Allocation!$A$5:$A$204,$A189))</f>
        <v/>
      </c>
      <c r="N189" s="43" t="str">
        <f aca="false">IF($A189="","",SUMIFS(Allocation!O$5:O$204,Allocation!$A$5:$A$204,$A189))</f>
        <v/>
      </c>
      <c r="O189" s="43" t="str">
        <f aca="false">IF($A189="","",SUMIFS(Allocation!P$5:P$204,Allocation!$A$5:$A$204,$A189))</f>
        <v/>
      </c>
      <c r="P189" s="19" t="str">
        <f aca="false">IF($A189="","",SUM(D189:O189))</f>
        <v/>
      </c>
      <c r="Q189" s="2"/>
      <c r="R189" s="2"/>
      <c r="S189" s="2"/>
    </row>
    <row r="190" customFormat="false" ht="15" hidden="false" customHeight="false" outlineLevel="0" collapsed="false">
      <c r="A190" s="26" t="str">
        <f aca="false">IF(Team!$A61="","",Team!$A61)</f>
        <v/>
      </c>
      <c r="B190" s="26" t="str">
        <f aca="false">IF(Team!$A61="","",Team!$B61)</f>
        <v/>
      </c>
      <c r="C190" s="26" t="str">
        <f aca="false">IF(Team!$A61="","",Team!$C61)</f>
        <v/>
      </c>
      <c r="D190" s="43" t="str">
        <f aca="false">IF($A190="","",SUMIFS(Allocation!E$5:E$204,Allocation!$A$5:$A$204,$A190))</f>
        <v/>
      </c>
      <c r="E190" s="43" t="str">
        <f aca="false">IF($A190="","",SUMIFS(Allocation!F$5:F$204,Allocation!$A$5:$A$204,$A190))</f>
        <v/>
      </c>
      <c r="F190" s="43" t="str">
        <f aca="false">IF($A190="","",SUMIFS(Allocation!G$5:G$204,Allocation!$A$5:$A$204,$A190))</f>
        <v/>
      </c>
      <c r="G190" s="43" t="str">
        <f aca="false">IF($A190="","",SUMIFS(Allocation!H$5:H$204,Allocation!$A$5:$A$204,$A190))</f>
        <v/>
      </c>
      <c r="H190" s="43" t="str">
        <f aca="false">IF($A190="","",SUMIFS(Allocation!I$5:I$204,Allocation!$A$5:$A$204,$A190))</f>
        <v/>
      </c>
      <c r="I190" s="43" t="str">
        <f aca="false">IF($A190="","",SUMIFS(Allocation!J$5:J$204,Allocation!$A$5:$A$204,$A190))</f>
        <v/>
      </c>
      <c r="J190" s="43" t="str">
        <f aca="false">IF($A190="","",SUMIFS(Allocation!K$5:K$204,Allocation!$A$5:$A$204,$A190))</f>
        <v/>
      </c>
      <c r="K190" s="43" t="str">
        <f aca="false">IF($A190="","",SUMIFS(Allocation!L$5:L$204,Allocation!$A$5:$A$204,$A190))</f>
        <v/>
      </c>
      <c r="L190" s="43" t="str">
        <f aca="false">IF($A190="","",SUMIFS(Allocation!M$5:M$204,Allocation!$A$5:$A$204,$A190))</f>
        <v/>
      </c>
      <c r="M190" s="43" t="str">
        <f aca="false">IF($A190="","",SUMIFS(Allocation!N$5:N$204,Allocation!$A$5:$A$204,$A190))</f>
        <v/>
      </c>
      <c r="N190" s="43" t="str">
        <f aca="false">IF($A190="","",SUMIFS(Allocation!O$5:O$204,Allocation!$A$5:$A$204,$A190))</f>
        <v/>
      </c>
      <c r="O190" s="43" t="str">
        <f aca="false">IF($A190="","",SUMIFS(Allocation!P$5:P$204,Allocation!$A$5:$A$204,$A190))</f>
        <v/>
      </c>
      <c r="P190" s="19" t="str">
        <f aca="false">IF($A190="","",SUM(D190:O190))</f>
        <v/>
      </c>
      <c r="Q190" s="2"/>
      <c r="R190" s="2"/>
      <c r="S190" s="2"/>
    </row>
    <row r="191" customFormat="false" ht="15" hidden="false" customHeight="false" outlineLevel="0" collapsed="false">
      <c r="A191" s="26" t="str">
        <f aca="false">IF(Team!$A62="","",Team!$A62)</f>
        <v/>
      </c>
      <c r="B191" s="26" t="str">
        <f aca="false">IF(Team!$A62="","",Team!$B62)</f>
        <v/>
      </c>
      <c r="C191" s="26" t="str">
        <f aca="false">IF(Team!$A62="","",Team!$C62)</f>
        <v/>
      </c>
      <c r="D191" s="43" t="str">
        <f aca="false">IF($A191="","",SUMIFS(Allocation!E$5:E$204,Allocation!$A$5:$A$204,$A191))</f>
        <v/>
      </c>
      <c r="E191" s="43" t="str">
        <f aca="false">IF($A191="","",SUMIFS(Allocation!F$5:F$204,Allocation!$A$5:$A$204,$A191))</f>
        <v/>
      </c>
      <c r="F191" s="43" t="str">
        <f aca="false">IF($A191="","",SUMIFS(Allocation!G$5:G$204,Allocation!$A$5:$A$204,$A191))</f>
        <v/>
      </c>
      <c r="G191" s="43" t="str">
        <f aca="false">IF($A191="","",SUMIFS(Allocation!H$5:H$204,Allocation!$A$5:$A$204,$A191))</f>
        <v/>
      </c>
      <c r="H191" s="43" t="str">
        <f aca="false">IF($A191="","",SUMIFS(Allocation!I$5:I$204,Allocation!$A$5:$A$204,$A191))</f>
        <v/>
      </c>
      <c r="I191" s="43" t="str">
        <f aca="false">IF($A191="","",SUMIFS(Allocation!J$5:J$204,Allocation!$A$5:$A$204,$A191))</f>
        <v/>
      </c>
      <c r="J191" s="43" t="str">
        <f aca="false">IF($A191="","",SUMIFS(Allocation!K$5:K$204,Allocation!$A$5:$A$204,$A191))</f>
        <v/>
      </c>
      <c r="K191" s="43" t="str">
        <f aca="false">IF($A191="","",SUMIFS(Allocation!L$5:L$204,Allocation!$A$5:$A$204,$A191))</f>
        <v/>
      </c>
      <c r="L191" s="43" t="str">
        <f aca="false">IF($A191="","",SUMIFS(Allocation!M$5:M$204,Allocation!$A$5:$A$204,$A191))</f>
        <v/>
      </c>
      <c r="M191" s="43" t="str">
        <f aca="false">IF($A191="","",SUMIFS(Allocation!N$5:N$204,Allocation!$A$5:$A$204,$A191))</f>
        <v/>
      </c>
      <c r="N191" s="43" t="str">
        <f aca="false">IF($A191="","",SUMIFS(Allocation!O$5:O$204,Allocation!$A$5:$A$204,$A191))</f>
        <v/>
      </c>
      <c r="O191" s="43" t="str">
        <f aca="false">IF($A191="","",SUMIFS(Allocation!P$5:P$204,Allocation!$A$5:$A$204,$A191))</f>
        <v/>
      </c>
      <c r="P191" s="19" t="str">
        <f aca="false">IF($A191="","",SUM(D191:O191))</f>
        <v/>
      </c>
      <c r="Q191" s="2"/>
      <c r="R191" s="2"/>
      <c r="S191" s="2"/>
    </row>
    <row r="192" customFormat="false" ht="15" hidden="false" customHeight="false" outlineLevel="0" collapsed="false">
      <c r="A192" s="26" t="str">
        <f aca="false">IF(Team!$A63="","",Team!$A63)</f>
        <v/>
      </c>
      <c r="B192" s="26" t="str">
        <f aca="false">IF(Team!$A63="","",Team!$B63)</f>
        <v/>
      </c>
      <c r="C192" s="26" t="str">
        <f aca="false">IF(Team!$A63="","",Team!$C63)</f>
        <v/>
      </c>
      <c r="D192" s="43" t="str">
        <f aca="false">IF($A192="","",SUMIFS(Allocation!E$5:E$204,Allocation!$A$5:$A$204,$A192))</f>
        <v/>
      </c>
      <c r="E192" s="43" t="str">
        <f aca="false">IF($A192="","",SUMIFS(Allocation!F$5:F$204,Allocation!$A$5:$A$204,$A192))</f>
        <v/>
      </c>
      <c r="F192" s="43" t="str">
        <f aca="false">IF($A192="","",SUMIFS(Allocation!G$5:G$204,Allocation!$A$5:$A$204,$A192))</f>
        <v/>
      </c>
      <c r="G192" s="43" t="str">
        <f aca="false">IF($A192="","",SUMIFS(Allocation!H$5:H$204,Allocation!$A$5:$A$204,$A192))</f>
        <v/>
      </c>
      <c r="H192" s="43" t="str">
        <f aca="false">IF($A192="","",SUMIFS(Allocation!I$5:I$204,Allocation!$A$5:$A$204,$A192))</f>
        <v/>
      </c>
      <c r="I192" s="43" t="str">
        <f aca="false">IF($A192="","",SUMIFS(Allocation!J$5:J$204,Allocation!$A$5:$A$204,$A192))</f>
        <v/>
      </c>
      <c r="J192" s="43" t="str">
        <f aca="false">IF($A192="","",SUMIFS(Allocation!K$5:K$204,Allocation!$A$5:$A$204,$A192))</f>
        <v/>
      </c>
      <c r="K192" s="43" t="str">
        <f aca="false">IF($A192="","",SUMIFS(Allocation!L$5:L$204,Allocation!$A$5:$A$204,$A192))</f>
        <v/>
      </c>
      <c r="L192" s="43" t="str">
        <f aca="false">IF($A192="","",SUMIFS(Allocation!M$5:M$204,Allocation!$A$5:$A$204,$A192))</f>
        <v/>
      </c>
      <c r="M192" s="43" t="str">
        <f aca="false">IF($A192="","",SUMIFS(Allocation!N$5:N$204,Allocation!$A$5:$A$204,$A192))</f>
        <v/>
      </c>
      <c r="N192" s="43" t="str">
        <f aca="false">IF($A192="","",SUMIFS(Allocation!O$5:O$204,Allocation!$A$5:$A$204,$A192))</f>
        <v/>
      </c>
      <c r="O192" s="43" t="str">
        <f aca="false">IF($A192="","",SUMIFS(Allocation!P$5:P$204,Allocation!$A$5:$A$204,$A192))</f>
        <v/>
      </c>
      <c r="P192" s="19" t="str">
        <f aca="false">IF($A192="","",SUM(D192:O192))</f>
        <v/>
      </c>
      <c r="Q192" s="2"/>
      <c r="R192" s="2"/>
      <c r="S192" s="2"/>
    </row>
    <row r="193" customFormat="false" ht="15" hidden="false" customHeight="false" outlineLevel="0" collapsed="false">
      <c r="A193" s="26" t="str">
        <f aca="false">IF(Team!$A64="","",Team!$A64)</f>
        <v/>
      </c>
      <c r="B193" s="26" t="str">
        <f aca="false">IF(Team!$A64="","",Team!$B64)</f>
        <v/>
      </c>
      <c r="C193" s="26" t="str">
        <f aca="false">IF(Team!$A64="","",Team!$C64)</f>
        <v/>
      </c>
      <c r="D193" s="43" t="str">
        <f aca="false">IF($A193="","",SUMIFS(Allocation!E$5:E$204,Allocation!$A$5:$A$204,$A193))</f>
        <v/>
      </c>
      <c r="E193" s="43" t="str">
        <f aca="false">IF($A193="","",SUMIFS(Allocation!F$5:F$204,Allocation!$A$5:$A$204,$A193))</f>
        <v/>
      </c>
      <c r="F193" s="43" t="str">
        <f aca="false">IF($A193="","",SUMIFS(Allocation!G$5:G$204,Allocation!$A$5:$A$204,$A193))</f>
        <v/>
      </c>
      <c r="G193" s="43" t="str">
        <f aca="false">IF($A193="","",SUMIFS(Allocation!H$5:H$204,Allocation!$A$5:$A$204,$A193))</f>
        <v/>
      </c>
      <c r="H193" s="43" t="str">
        <f aca="false">IF($A193="","",SUMIFS(Allocation!I$5:I$204,Allocation!$A$5:$A$204,$A193))</f>
        <v/>
      </c>
      <c r="I193" s="43" t="str">
        <f aca="false">IF($A193="","",SUMIFS(Allocation!J$5:J$204,Allocation!$A$5:$A$204,$A193))</f>
        <v/>
      </c>
      <c r="J193" s="43" t="str">
        <f aca="false">IF($A193="","",SUMIFS(Allocation!K$5:K$204,Allocation!$A$5:$A$204,$A193))</f>
        <v/>
      </c>
      <c r="K193" s="43" t="str">
        <f aca="false">IF($A193="","",SUMIFS(Allocation!L$5:L$204,Allocation!$A$5:$A$204,$A193))</f>
        <v/>
      </c>
      <c r="L193" s="43" t="str">
        <f aca="false">IF($A193="","",SUMIFS(Allocation!M$5:M$204,Allocation!$A$5:$A$204,$A193))</f>
        <v/>
      </c>
      <c r="M193" s="43" t="str">
        <f aca="false">IF($A193="","",SUMIFS(Allocation!N$5:N$204,Allocation!$A$5:$A$204,$A193))</f>
        <v/>
      </c>
      <c r="N193" s="43" t="str">
        <f aca="false">IF($A193="","",SUMIFS(Allocation!O$5:O$204,Allocation!$A$5:$A$204,$A193))</f>
        <v/>
      </c>
      <c r="O193" s="43" t="str">
        <f aca="false">IF($A193="","",SUMIFS(Allocation!P$5:P$204,Allocation!$A$5:$A$204,$A193))</f>
        <v/>
      </c>
      <c r="P193" s="19" t="str">
        <f aca="false">IF($A193="","",SUM(D193:O193))</f>
        <v/>
      </c>
      <c r="Q193" s="2"/>
      <c r="R193" s="2"/>
      <c r="S193" s="2"/>
    </row>
  </sheetData>
  <conditionalFormatting sqref="D6:Q65">
    <cfRule type="expression" priority="2" aboveAverage="0" equalAverage="0" bottom="0" percent="0" rank="0" text="" dxfId="13">
      <formula>AND(ISNUMBER(D6),D6&gt;1.0001)</formula>
    </cfRule>
    <cfRule type="expression" priority="3" aboveAverage="0" equalAverage="0" bottom="0" percent="0" rank="0" text="" dxfId="10">
      <formula>AND(ISNUMBER(D6),D6&gt;=0.8,D6&lt;=1.0001)</formula>
    </cfRule>
    <cfRule type="expression" priority="4" aboveAverage="0" equalAverage="0" bottom="0" percent="0" rank="0" text="" dxfId="9">
      <formula>AND(ISNUMBER(D6),D6&gt;0,D6&lt;0.5)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9" t="s">
        <v>201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10" t="s">
        <v>202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0" hidden="false" customHeight="true" outlineLevel="0" collapsed="false">
      <c r="A4" s="17" t="s">
        <v>178</v>
      </c>
      <c r="B4" s="17" t="s">
        <v>92</v>
      </c>
      <c r="C4" s="17" t="s">
        <v>203</v>
      </c>
      <c r="D4" s="17" t="s">
        <v>204</v>
      </c>
      <c r="E4" s="17" t="s">
        <v>205</v>
      </c>
      <c r="F4" s="17" t="s">
        <v>137</v>
      </c>
      <c r="G4" s="17" t="s">
        <v>74</v>
      </c>
      <c r="H4" s="17" t="s">
        <v>67</v>
      </c>
      <c r="I4" s="17" t="s">
        <v>149</v>
      </c>
    </row>
    <row r="5" customFormat="false" ht="15" hidden="false" customHeight="false" outlineLevel="0" collapsed="false">
      <c r="A5" s="29" t="s">
        <v>115</v>
      </c>
      <c r="B5" s="26" t="str">
        <f aca="false">IF(A5="","",IFERROR(INDEX(Projects!$B$5:$B$54,MATCH(A5,Projects!$A$5:$A$54,0)),"Unknown ID"))</f>
        <v>Application portfolio dashboard</v>
      </c>
      <c r="C5" s="29" t="s">
        <v>206</v>
      </c>
      <c r="D5" s="30" t="n">
        <v>46461</v>
      </c>
      <c r="E5" s="26" t="str">
        <f aca="false">IF(D5="","","Q"&amp;ROUNDUP(MONTH(D5)/3,0))</f>
        <v>Q1</v>
      </c>
      <c r="F5" s="29" t="s">
        <v>207</v>
      </c>
      <c r="G5" s="29" t="s">
        <v>110</v>
      </c>
      <c r="H5" s="29" t="s">
        <v>208</v>
      </c>
      <c r="I5" s="29"/>
    </row>
    <row r="6" customFormat="false" ht="15" hidden="false" customHeight="false" outlineLevel="0" collapsed="false">
      <c r="A6" s="29" t="s">
        <v>105</v>
      </c>
      <c r="B6" s="26" t="str">
        <f aca="false">IF(A6="","",IFERROR(INDEX(Projects!$B$5:$B$54,MATCH(A6,Projects!$A$5:$A$54,0)),"Unknown ID"))</f>
        <v>RepApp Angular migration (strangler fig)</v>
      </c>
      <c r="C6" s="29" t="s">
        <v>209</v>
      </c>
      <c r="D6" s="30" t="n">
        <v>46477</v>
      </c>
      <c r="E6" s="26" t="str">
        <f aca="false">IF(D6="","","Q"&amp;ROUNDUP(MONTH(D6)/3,0))</f>
        <v>Q1</v>
      </c>
      <c r="F6" s="29" t="s">
        <v>207</v>
      </c>
      <c r="G6" s="29" t="s">
        <v>110</v>
      </c>
      <c r="H6" s="29" t="s">
        <v>210</v>
      </c>
      <c r="I6" s="29"/>
    </row>
    <row r="7" customFormat="false" ht="15" hidden="false" customHeight="false" outlineLevel="0" collapsed="false">
      <c r="A7" s="29" t="s">
        <v>125</v>
      </c>
      <c r="B7" s="26" t="str">
        <f aca="false">IF(A7="","",IFERROR(INDEX(Projects!$B$5:$B$54,MATCH(A7,Projects!$A$5:$A$54,0)),"Unknown ID"))</f>
        <v>Observability &amp; alerting uplift</v>
      </c>
      <c r="C7" s="29" t="s">
        <v>211</v>
      </c>
      <c r="D7" s="30" t="n">
        <v>46568</v>
      </c>
      <c r="E7" s="26" t="str">
        <f aca="false">IF(D7="","","Q"&amp;ROUNDUP(MONTH(D7)/3,0))</f>
        <v>Q2</v>
      </c>
      <c r="F7" s="29" t="s">
        <v>203</v>
      </c>
      <c r="G7" s="29" t="s">
        <v>128</v>
      </c>
      <c r="H7" s="29" t="s">
        <v>208</v>
      </c>
      <c r="I7" s="29"/>
    </row>
    <row r="8" customFormat="false" ht="15" hidden="false" customHeight="false" outlineLevel="0" collapsed="false">
      <c r="A8" s="29" t="s">
        <v>105</v>
      </c>
      <c r="B8" s="26" t="str">
        <f aca="false">IF(A8="","",IFERROR(INDEX(Projects!$B$5:$B$54,MATCH(A8,Projects!$A$5:$A$54,0)),"Unknown ID"))</f>
        <v>RepApp Angular migration (strangler fig)</v>
      </c>
      <c r="C8" s="29" t="s">
        <v>212</v>
      </c>
      <c r="D8" s="30" t="n">
        <v>46598</v>
      </c>
      <c r="E8" s="26" t="str">
        <f aca="false">IF(D8="","","Q"&amp;ROUNDUP(MONTH(D8)/3,0))</f>
        <v>Q3</v>
      </c>
      <c r="F8" s="29" t="s">
        <v>207</v>
      </c>
      <c r="G8" s="29" t="s">
        <v>110</v>
      </c>
      <c r="H8" s="29" t="s">
        <v>208</v>
      </c>
      <c r="I8" s="29"/>
    </row>
    <row r="9" customFormat="false" ht="15" hidden="false" customHeight="false" outlineLevel="0" collapsed="false">
      <c r="A9" s="29" t="s">
        <v>105</v>
      </c>
      <c r="B9" s="26" t="str">
        <f aca="false">IF(A9="","",IFERROR(INDEX(Projects!$B$5:$B$54,MATCH(A9,Projects!$A$5:$A$54,0)),"Unknown ID"))</f>
        <v>RepApp Angular migration (strangler fig)</v>
      </c>
      <c r="C9" s="29" t="s">
        <v>213</v>
      </c>
      <c r="D9" s="30" t="n">
        <v>46706</v>
      </c>
      <c r="E9" s="26" t="str">
        <f aca="false">IF(D9="","","Q"&amp;ROUNDUP(MONTH(D9)/3,0))</f>
        <v>Q4</v>
      </c>
      <c r="F9" s="29" t="s">
        <v>214</v>
      </c>
      <c r="G9" s="29" t="s">
        <v>80</v>
      </c>
      <c r="H9" s="29" t="s">
        <v>208</v>
      </c>
      <c r="I9" s="29"/>
    </row>
    <row r="10" customFormat="false" ht="15" hidden="false" customHeight="false" outlineLevel="0" collapsed="false">
      <c r="A10" s="29"/>
      <c r="B10" s="26" t="str">
        <f aca="false">IF(A10="","",IFERROR(INDEX(Projects!$B$5:$B$54,MATCH(A10,Projects!$A$5:$A$54,0)),"Unknown ID"))</f>
        <v/>
      </c>
      <c r="C10" s="29"/>
      <c r="D10" s="30"/>
      <c r="E10" s="26" t="str">
        <f aca="false">IF(D10="","","Q"&amp;ROUNDUP(MONTH(D10)/3,0))</f>
        <v/>
      </c>
      <c r="F10" s="29"/>
      <c r="G10" s="29"/>
      <c r="H10" s="29"/>
      <c r="I10" s="29"/>
    </row>
    <row r="11" customFormat="false" ht="15" hidden="false" customHeight="false" outlineLevel="0" collapsed="false">
      <c r="A11" s="29"/>
      <c r="B11" s="26" t="str">
        <f aca="false">IF(A11="","",IFERROR(INDEX(Projects!$B$5:$B$54,MATCH(A11,Projects!$A$5:$A$54,0)),"Unknown ID"))</f>
        <v/>
      </c>
      <c r="C11" s="29"/>
      <c r="D11" s="30"/>
      <c r="E11" s="26" t="str">
        <f aca="false">IF(D11="","","Q"&amp;ROUNDUP(MONTH(D11)/3,0))</f>
        <v/>
      </c>
      <c r="F11" s="29"/>
      <c r="G11" s="29"/>
      <c r="H11" s="29"/>
      <c r="I11" s="29"/>
    </row>
    <row r="12" customFormat="false" ht="15" hidden="false" customHeight="false" outlineLevel="0" collapsed="false">
      <c r="A12" s="29"/>
      <c r="B12" s="26" t="str">
        <f aca="false">IF(A12="","",IFERROR(INDEX(Projects!$B$5:$B$54,MATCH(A12,Projects!$A$5:$A$54,0)),"Unknown ID"))</f>
        <v/>
      </c>
      <c r="C12" s="29"/>
      <c r="D12" s="30"/>
      <c r="E12" s="26" t="str">
        <f aca="false">IF(D12="","","Q"&amp;ROUNDUP(MONTH(D12)/3,0))</f>
        <v/>
      </c>
      <c r="F12" s="29"/>
      <c r="G12" s="29"/>
      <c r="H12" s="29"/>
      <c r="I12" s="29"/>
    </row>
    <row r="13" customFormat="false" ht="15" hidden="false" customHeight="false" outlineLevel="0" collapsed="false">
      <c r="A13" s="29"/>
      <c r="B13" s="26" t="str">
        <f aca="false">IF(A13="","",IFERROR(INDEX(Projects!$B$5:$B$54,MATCH(A13,Projects!$A$5:$A$54,0)),"Unknown ID"))</f>
        <v/>
      </c>
      <c r="C13" s="29"/>
      <c r="D13" s="30"/>
      <c r="E13" s="26" t="str">
        <f aca="false">IF(D13="","","Q"&amp;ROUNDUP(MONTH(D13)/3,0))</f>
        <v/>
      </c>
      <c r="F13" s="29"/>
      <c r="G13" s="29"/>
      <c r="H13" s="29"/>
      <c r="I13" s="29"/>
    </row>
    <row r="14" customFormat="false" ht="15" hidden="false" customHeight="false" outlineLevel="0" collapsed="false">
      <c r="A14" s="29"/>
      <c r="B14" s="26" t="str">
        <f aca="false">IF(A14="","",IFERROR(INDEX(Projects!$B$5:$B$54,MATCH(A14,Projects!$A$5:$A$54,0)),"Unknown ID"))</f>
        <v/>
      </c>
      <c r="C14" s="29"/>
      <c r="D14" s="30"/>
      <c r="E14" s="26" t="str">
        <f aca="false">IF(D14="","","Q"&amp;ROUNDUP(MONTH(D14)/3,0))</f>
        <v/>
      </c>
      <c r="F14" s="29"/>
      <c r="G14" s="29"/>
      <c r="H14" s="29"/>
      <c r="I14" s="29"/>
    </row>
    <row r="15" customFormat="false" ht="15" hidden="false" customHeight="false" outlineLevel="0" collapsed="false">
      <c r="A15" s="29"/>
      <c r="B15" s="26" t="str">
        <f aca="false">IF(A15="","",IFERROR(INDEX(Projects!$B$5:$B$54,MATCH(A15,Projects!$A$5:$A$54,0)),"Unknown ID"))</f>
        <v/>
      </c>
      <c r="C15" s="29"/>
      <c r="D15" s="30"/>
      <c r="E15" s="26" t="str">
        <f aca="false">IF(D15="","","Q"&amp;ROUNDUP(MONTH(D15)/3,0))</f>
        <v/>
      </c>
      <c r="F15" s="29"/>
      <c r="G15" s="29"/>
      <c r="H15" s="29"/>
      <c r="I15" s="29"/>
    </row>
    <row r="16" customFormat="false" ht="15" hidden="false" customHeight="false" outlineLevel="0" collapsed="false">
      <c r="A16" s="29"/>
      <c r="B16" s="26" t="str">
        <f aca="false">IF(A16="","",IFERROR(INDEX(Projects!$B$5:$B$54,MATCH(A16,Projects!$A$5:$A$54,0)),"Unknown ID"))</f>
        <v/>
      </c>
      <c r="C16" s="29"/>
      <c r="D16" s="30"/>
      <c r="E16" s="26" t="str">
        <f aca="false">IF(D16="","","Q"&amp;ROUNDUP(MONTH(D16)/3,0))</f>
        <v/>
      </c>
      <c r="F16" s="29"/>
      <c r="G16" s="29"/>
      <c r="H16" s="29"/>
      <c r="I16" s="29"/>
    </row>
    <row r="17" customFormat="false" ht="15" hidden="false" customHeight="false" outlineLevel="0" collapsed="false">
      <c r="A17" s="29"/>
      <c r="B17" s="26" t="str">
        <f aca="false">IF(A17="","",IFERROR(INDEX(Projects!$B$5:$B$54,MATCH(A17,Projects!$A$5:$A$54,0)),"Unknown ID"))</f>
        <v/>
      </c>
      <c r="C17" s="29"/>
      <c r="D17" s="30"/>
      <c r="E17" s="26" t="str">
        <f aca="false">IF(D17="","","Q"&amp;ROUNDUP(MONTH(D17)/3,0))</f>
        <v/>
      </c>
      <c r="F17" s="29"/>
      <c r="G17" s="29"/>
      <c r="H17" s="29"/>
      <c r="I17" s="29"/>
    </row>
    <row r="18" customFormat="false" ht="15" hidden="false" customHeight="false" outlineLevel="0" collapsed="false">
      <c r="A18" s="29"/>
      <c r="B18" s="26" t="str">
        <f aca="false">IF(A18="","",IFERROR(INDEX(Projects!$B$5:$B$54,MATCH(A18,Projects!$A$5:$A$54,0)),"Unknown ID"))</f>
        <v/>
      </c>
      <c r="C18" s="29"/>
      <c r="D18" s="30"/>
      <c r="E18" s="26" t="str">
        <f aca="false">IF(D18="","","Q"&amp;ROUNDUP(MONTH(D18)/3,0))</f>
        <v/>
      </c>
      <c r="F18" s="29"/>
      <c r="G18" s="29"/>
      <c r="H18" s="29"/>
      <c r="I18" s="29"/>
    </row>
    <row r="19" customFormat="false" ht="15" hidden="false" customHeight="false" outlineLevel="0" collapsed="false">
      <c r="A19" s="29"/>
      <c r="B19" s="26" t="str">
        <f aca="false">IF(A19="","",IFERROR(INDEX(Projects!$B$5:$B$54,MATCH(A19,Projects!$A$5:$A$54,0)),"Unknown ID"))</f>
        <v/>
      </c>
      <c r="C19" s="29"/>
      <c r="D19" s="30"/>
      <c r="E19" s="26" t="str">
        <f aca="false">IF(D19="","","Q"&amp;ROUNDUP(MONTH(D19)/3,0))</f>
        <v/>
      </c>
      <c r="F19" s="29"/>
      <c r="G19" s="29"/>
      <c r="H19" s="29"/>
      <c r="I19" s="29"/>
    </row>
    <row r="20" customFormat="false" ht="15" hidden="false" customHeight="false" outlineLevel="0" collapsed="false">
      <c r="A20" s="29"/>
      <c r="B20" s="26" t="str">
        <f aca="false">IF(A20="","",IFERROR(INDEX(Projects!$B$5:$B$54,MATCH(A20,Projects!$A$5:$A$54,0)),"Unknown ID"))</f>
        <v/>
      </c>
      <c r="C20" s="29"/>
      <c r="D20" s="30"/>
      <c r="E20" s="26" t="str">
        <f aca="false">IF(D20="","","Q"&amp;ROUNDUP(MONTH(D20)/3,0))</f>
        <v/>
      </c>
      <c r="F20" s="29"/>
      <c r="G20" s="29"/>
      <c r="H20" s="29"/>
      <c r="I20" s="29"/>
    </row>
    <row r="21" customFormat="false" ht="15" hidden="false" customHeight="false" outlineLevel="0" collapsed="false">
      <c r="A21" s="29"/>
      <c r="B21" s="26" t="str">
        <f aca="false">IF(A21="","",IFERROR(INDEX(Projects!$B$5:$B$54,MATCH(A21,Projects!$A$5:$A$54,0)),"Unknown ID"))</f>
        <v/>
      </c>
      <c r="C21" s="29"/>
      <c r="D21" s="30"/>
      <c r="E21" s="26" t="str">
        <f aca="false">IF(D21="","","Q"&amp;ROUNDUP(MONTH(D21)/3,0))</f>
        <v/>
      </c>
      <c r="F21" s="29"/>
      <c r="G21" s="29"/>
      <c r="H21" s="29"/>
      <c r="I21" s="29"/>
    </row>
    <row r="22" customFormat="false" ht="15" hidden="false" customHeight="false" outlineLevel="0" collapsed="false">
      <c r="A22" s="29"/>
      <c r="B22" s="26" t="str">
        <f aca="false">IF(A22="","",IFERROR(INDEX(Projects!$B$5:$B$54,MATCH(A22,Projects!$A$5:$A$54,0)),"Unknown ID"))</f>
        <v/>
      </c>
      <c r="C22" s="29"/>
      <c r="D22" s="30"/>
      <c r="E22" s="26" t="str">
        <f aca="false">IF(D22="","","Q"&amp;ROUNDUP(MONTH(D22)/3,0))</f>
        <v/>
      </c>
      <c r="F22" s="29"/>
      <c r="G22" s="29"/>
      <c r="H22" s="29"/>
      <c r="I22" s="29"/>
    </row>
    <row r="23" customFormat="false" ht="15" hidden="false" customHeight="false" outlineLevel="0" collapsed="false">
      <c r="A23" s="29"/>
      <c r="B23" s="26" t="str">
        <f aca="false">IF(A23="","",IFERROR(INDEX(Projects!$B$5:$B$54,MATCH(A23,Projects!$A$5:$A$54,0)),"Unknown ID"))</f>
        <v/>
      </c>
      <c r="C23" s="29"/>
      <c r="D23" s="30"/>
      <c r="E23" s="26" t="str">
        <f aca="false">IF(D23="","","Q"&amp;ROUNDUP(MONTH(D23)/3,0))</f>
        <v/>
      </c>
      <c r="F23" s="29"/>
      <c r="G23" s="29"/>
      <c r="H23" s="29"/>
      <c r="I23" s="29"/>
    </row>
    <row r="24" customFormat="false" ht="15" hidden="false" customHeight="false" outlineLevel="0" collapsed="false">
      <c r="A24" s="29"/>
      <c r="B24" s="26" t="str">
        <f aca="false">IF(A24="","",IFERROR(INDEX(Projects!$B$5:$B$54,MATCH(A24,Projects!$A$5:$A$54,0)),"Unknown ID"))</f>
        <v/>
      </c>
      <c r="C24" s="29"/>
      <c r="D24" s="30"/>
      <c r="E24" s="26" t="str">
        <f aca="false">IF(D24="","","Q"&amp;ROUNDUP(MONTH(D24)/3,0))</f>
        <v/>
      </c>
      <c r="F24" s="29"/>
      <c r="G24" s="29"/>
      <c r="H24" s="29"/>
      <c r="I24" s="29"/>
    </row>
    <row r="25" customFormat="false" ht="15" hidden="false" customHeight="false" outlineLevel="0" collapsed="false">
      <c r="A25" s="29"/>
      <c r="B25" s="26" t="str">
        <f aca="false">IF(A25="","",IFERROR(INDEX(Projects!$B$5:$B$54,MATCH(A25,Projects!$A$5:$A$54,0)),"Unknown ID"))</f>
        <v/>
      </c>
      <c r="C25" s="29"/>
      <c r="D25" s="30"/>
      <c r="E25" s="26" t="str">
        <f aca="false">IF(D25="","","Q"&amp;ROUNDUP(MONTH(D25)/3,0))</f>
        <v/>
      </c>
      <c r="F25" s="29"/>
      <c r="G25" s="29"/>
      <c r="H25" s="29"/>
      <c r="I25" s="29"/>
    </row>
    <row r="26" customFormat="false" ht="15" hidden="false" customHeight="false" outlineLevel="0" collapsed="false">
      <c r="A26" s="29"/>
      <c r="B26" s="26" t="str">
        <f aca="false">IF(A26="","",IFERROR(INDEX(Projects!$B$5:$B$54,MATCH(A26,Projects!$A$5:$A$54,0)),"Unknown ID"))</f>
        <v/>
      </c>
      <c r="C26" s="29"/>
      <c r="D26" s="30"/>
      <c r="E26" s="26" t="str">
        <f aca="false">IF(D26="","","Q"&amp;ROUNDUP(MONTH(D26)/3,0))</f>
        <v/>
      </c>
      <c r="F26" s="29"/>
      <c r="G26" s="29"/>
      <c r="H26" s="29"/>
      <c r="I26" s="29"/>
    </row>
    <row r="27" customFormat="false" ht="15" hidden="false" customHeight="false" outlineLevel="0" collapsed="false">
      <c r="A27" s="29"/>
      <c r="B27" s="26" t="str">
        <f aca="false">IF(A27="","",IFERROR(INDEX(Projects!$B$5:$B$54,MATCH(A27,Projects!$A$5:$A$54,0)),"Unknown ID"))</f>
        <v/>
      </c>
      <c r="C27" s="29"/>
      <c r="D27" s="30"/>
      <c r="E27" s="26" t="str">
        <f aca="false">IF(D27="","","Q"&amp;ROUNDUP(MONTH(D27)/3,0))</f>
        <v/>
      </c>
      <c r="F27" s="29"/>
      <c r="G27" s="29"/>
      <c r="H27" s="29"/>
      <c r="I27" s="29"/>
    </row>
    <row r="28" customFormat="false" ht="15" hidden="false" customHeight="false" outlineLevel="0" collapsed="false">
      <c r="A28" s="29"/>
      <c r="B28" s="26" t="str">
        <f aca="false">IF(A28="","",IFERROR(INDEX(Projects!$B$5:$B$54,MATCH(A28,Projects!$A$5:$A$54,0)),"Unknown ID"))</f>
        <v/>
      </c>
      <c r="C28" s="29"/>
      <c r="D28" s="30"/>
      <c r="E28" s="26" t="str">
        <f aca="false">IF(D28="","","Q"&amp;ROUNDUP(MONTH(D28)/3,0))</f>
        <v/>
      </c>
      <c r="F28" s="29"/>
      <c r="G28" s="29"/>
      <c r="H28" s="29"/>
      <c r="I28" s="29"/>
    </row>
    <row r="29" customFormat="false" ht="15" hidden="false" customHeight="false" outlineLevel="0" collapsed="false">
      <c r="A29" s="29"/>
      <c r="B29" s="26" t="str">
        <f aca="false">IF(A29="","",IFERROR(INDEX(Projects!$B$5:$B$54,MATCH(A29,Projects!$A$5:$A$54,0)),"Unknown ID"))</f>
        <v/>
      </c>
      <c r="C29" s="29"/>
      <c r="D29" s="30"/>
      <c r="E29" s="26" t="str">
        <f aca="false">IF(D29="","","Q"&amp;ROUNDUP(MONTH(D29)/3,0))</f>
        <v/>
      </c>
      <c r="F29" s="29"/>
      <c r="G29" s="29"/>
      <c r="H29" s="29"/>
      <c r="I29" s="29"/>
    </row>
    <row r="30" customFormat="false" ht="15" hidden="false" customHeight="false" outlineLevel="0" collapsed="false">
      <c r="A30" s="29"/>
      <c r="B30" s="26" t="str">
        <f aca="false">IF(A30="","",IFERROR(INDEX(Projects!$B$5:$B$54,MATCH(A30,Projects!$A$5:$A$54,0)),"Unknown ID"))</f>
        <v/>
      </c>
      <c r="C30" s="29"/>
      <c r="D30" s="30"/>
      <c r="E30" s="26" t="str">
        <f aca="false">IF(D30="","","Q"&amp;ROUNDUP(MONTH(D30)/3,0))</f>
        <v/>
      </c>
      <c r="F30" s="29"/>
      <c r="G30" s="29"/>
      <c r="H30" s="29"/>
      <c r="I30" s="29"/>
    </row>
    <row r="31" customFormat="false" ht="15" hidden="false" customHeight="false" outlineLevel="0" collapsed="false">
      <c r="A31" s="29"/>
      <c r="B31" s="26" t="str">
        <f aca="false">IF(A31="","",IFERROR(INDEX(Projects!$B$5:$B$54,MATCH(A31,Projects!$A$5:$A$54,0)),"Unknown ID"))</f>
        <v/>
      </c>
      <c r="C31" s="29"/>
      <c r="D31" s="30"/>
      <c r="E31" s="26" t="str">
        <f aca="false">IF(D31="","","Q"&amp;ROUNDUP(MONTH(D31)/3,0))</f>
        <v/>
      </c>
      <c r="F31" s="29"/>
      <c r="G31" s="29"/>
      <c r="H31" s="29"/>
      <c r="I31" s="29"/>
    </row>
    <row r="32" customFormat="false" ht="15" hidden="false" customHeight="false" outlineLevel="0" collapsed="false">
      <c r="A32" s="29"/>
      <c r="B32" s="26" t="str">
        <f aca="false">IF(A32="","",IFERROR(INDEX(Projects!$B$5:$B$54,MATCH(A32,Projects!$A$5:$A$54,0)),"Unknown ID"))</f>
        <v/>
      </c>
      <c r="C32" s="29"/>
      <c r="D32" s="30"/>
      <c r="E32" s="26" t="str">
        <f aca="false">IF(D32="","","Q"&amp;ROUNDUP(MONTH(D32)/3,0))</f>
        <v/>
      </c>
      <c r="F32" s="29"/>
      <c r="G32" s="29"/>
      <c r="H32" s="29"/>
      <c r="I32" s="29"/>
    </row>
    <row r="33" customFormat="false" ht="15" hidden="false" customHeight="false" outlineLevel="0" collapsed="false">
      <c r="A33" s="29"/>
      <c r="B33" s="26" t="str">
        <f aca="false">IF(A33="","",IFERROR(INDEX(Projects!$B$5:$B$54,MATCH(A33,Projects!$A$5:$A$54,0)),"Unknown ID"))</f>
        <v/>
      </c>
      <c r="C33" s="29"/>
      <c r="D33" s="30"/>
      <c r="E33" s="26" t="str">
        <f aca="false">IF(D33="","","Q"&amp;ROUNDUP(MONTH(D33)/3,0))</f>
        <v/>
      </c>
      <c r="F33" s="29"/>
      <c r="G33" s="29"/>
      <c r="H33" s="29"/>
      <c r="I33" s="29"/>
    </row>
    <row r="34" customFormat="false" ht="15" hidden="false" customHeight="false" outlineLevel="0" collapsed="false">
      <c r="A34" s="29"/>
      <c r="B34" s="26" t="str">
        <f aca="false">IF(A34="","",IFERROR(INDEX(Projects!$B$5:$B$54,MATCH(A34,Projects!$A$5:$A$54,0)),"Unknown ID"))</f>
        <v/>
      </c>
      <c r="C34" s="29"/>
      <c r="D34" s="30"/>
      <c r="E34" s="26" t="str">
        <f aca="false">IF(D34="","","Q"&amp;ROUNDUP(MONTH(D34)/3,0))</f>
        <v/>
      </c>
      <c r="F34" s="29"/>
      <c r="G34" s="29"/>
      <c r="H34" s="29"/>
      <c r="I34" s="29"/>
    </row>
    <row r="35" customFormat="false" ht="15" hidden="false" customHeight="false" outlineLevel="0" collapsed="false">
      <c r="A35" s="29"/>
      <c r="B35" s="26" t="str">
        <f aca="false">IF(A35="","",IFERROR(INDEX(Projects!$B$5:$B$54,MATCH(A35,Projects!$A$5:$A$54,0)),"Unknown ID"))</f>
        <v/>
      </c>
      <c r="C35" s="29"/>
      <c r="D35" s="30"/>
      <c r="E35" s="26" t="str">
        <f aca="false">IF(D35="","","Q"&amp;ROUNDUP(MONTH(D35)/3,0))</f>
        <v/>
      </c>
      <c r="F35" s="29"/>
      <c r="G35" s="29"/>
      <c r="H35" s="29"/>
      <c r="I35" s="29"/>
    </row>
    <row r="36" customFormat="false" ht="15" hidden="false" customHeight="false" outlineLevel="0" collapsed="false">
      <c r="A36" s="29"/>
      <c r="B36" s="26" t="str">
        <f aca="false">IF(A36="","",IFERROR(INDEX(Projects!$B$5:$B$54,MATCH(A36,Projects!$A$5:$A$54,0)),"Unknown ID"))</f>
        <v/>
      </c>
      <c r="C36" s="29"/>
      <c r="D36" s="30"/>
      <c r="E36" s="26" t="str">
        <f aca="false">IF(D36="","","Q"&amp;ROUNDUP(MONTH(D36)/3,0))</f>
        <v/>
      </c>
      <c r="F36" s="29"/>
      <c r="G36" s="29"/>
      <c r="H36" s="29"/>
      <c r="I36" s="29"/>
    </row>
    <row r="37" customFormat="false" ht="15" hidden="false" customHeight="false" outlineLevel="0" collapsed="false">
      <c r="A37" s="29"/>
      <c r="B37" s="26" t="str">
        <f aca="false">IF(A37="","",IFERROR(INDEX(Projects!$B$5:$B$54,MATCH(A37,Projects!$A$5:$A$54,0)),"Unknown ID"))</f>
        <v/>
      </c>
      <c r="C37" s="29"/>
      <c r="D37" s="30"/>
      <c r="E37" s="26" t="str">
        <f aca="false">IF(D37="","","Q"&amp;ROUNDUP(MONTH(D37)/3,0))</f>
        <v/>
      </c>
      <c r="F37" s="29"/>
      <c r="G37" s="29"/>
      <c r="H37" s="29"/>
      <c r="I37" s="29"/>
    </row>
    <row r="38" customFormat="false" ht="15" hidden="false" customHeight="false" outlineLevel="0" collapsed="false">
      <c r="A38" s="29"/>
      <c r="B38" s="26" t="str">
        <f aca="false">IF(A38="","",IFERROR(INDEX(Projects!$B$5:$B$54,MATCH(A38,Projects!$A$5:$A$54,0)),"Unknown ID"))</f>
        <v/>
      </c>
      <c r="C38" s="29"/>
      <c r="D38" s="30"/>
      <c r="E38" s="26" t="str">
        <f aca="false">IF(D38="","","Q"&amp;ROUNDUP(MONTH(D38)/3,0))</f>
        <v/>
      </c>
      <c r="F38" s="29"/>
      <c r="G38" s="29"/>
      <c r="H38" s="29"/>
      <c r="I38" s="29"/>
    </row>
    <row r="39" customFormat="false" ht="15" hidden="false" customHeight="false" outlineLevel="0" collapsed="false">
      <c r="A39" s="29"/>
      <c r="B39" s="26" t="str">
        <f aca="false">IF(A39="","",IFERROR(INDEX(Projects!$B$5:$B$54,MATCH(A39,Projects!$A$5:$A$54,0)),"Unknown ID"))</f>
        <v/>
      </c>
      <c r="C39" s="29"/>
      <c r="D39" s="30"/>
      <c r="E39" s="26" t="str">
        <f aca="false">IF(D39="","","Q"&amp;ROUNDUP(MONTH(D39)/3,0))</f>
        <v/>
      </c>
      <c r="F39" s="29"/>
      <c r="G39" s="29"/>
      <c r="H39" s="29"/>
      <c r="I39" s="29"/>
    </row>
    <row r="40" customFormat="false" ht="15" hidden="false" customHeight="false" outlineLevel="0" collapsed="false">
      <c r="A40" s="29"/>
      <c r="B40" s="26" t="str">
        <f aca="false">IF(A40="","",IFERROR(INDEX(Projects!$B$5:$B$54,MATCH(A40,Projects!$A$5:$A$54,0)),"Unknown ID"))</f>
        <v/>
      </c>
      <c r="C40" s="29"/>
      <c r="D40" s="30"/>
      <c r="E40" s="26" t="str">
        <f aca="false">IF(D40="","","Q"&amp;ROUNDUP(MONTH(D40)/3,0))</f>
        <v/>
      </c>
      <c r="F40" s="29"/>
      <c r="G40" s="29"/>
      <c r="H40" s="29"/>
      <c r="I40" s="29"/>
    </row>
    <row r="41" customFormat="false" ht="15" hidden="false" customHeight="false" outlineLevel="0" collapsed="false">
      <c r="A41" s="29"/>
      <c r="B41" s="26" t="str">
        <f aca="false">IF(A41="","",IFERROR(INDEX(Projects!$B$5:$B$54,MATCH(A41,Projects!$A$5:$A$54,0)),"Unknown ID"))</f>
        <v/>
      </c>
      <c r="C41" s="29"/>
      <c r="D41" s="30"/>
      <c r="E41" s="26" t="str">
        <f aca="false">IF(D41="","","Q"&amp;ROUNDUP(MONTH(D41)/3,0))</f>
        <v/>
      </c>
      <c r="F41" s="29"/>
      <c r="G41" s="29"/>
      <c r="H41" s="29"/>
      <c r="I41" s="29"/>
    </row>
    <row r="42" customFormat="false" ht="15" hidden="false" customHeight="false" outlineLevel="0" collapsed="false">
      <c r="A42" s="29"/>
      <c r="B42" s="26" t="str">
        <f aca="false">IF(A42="","",IFERROR(INDEX(Projects!$B$5:$B$54,MATCH(A42,Projects!$A$5:$A$54,0)),"Unknown ID"))</f>
        <v/>
      </c>
      <c r="C42" s="29"/>
      <c r="D42" s="30"/>
      <c r="E42" s="26" t="str">
        <f aca="false">IF(D42="","","Q"&amp;ROUNDUP(MONTH(D42)/3,0))</f>
        <v/>
      </c>
      <c r="F42" s="29"/>
      <c r="G42" s="29"/>
      <c r="H42" s="29"/>
      <c r="I42" s="29"/>
    </row>
    <row r="43" customFormat="false" ht="15" hidden="false" customHeight="false" outlineLevel="0" collapsed="false">
      <c r="A43" s="29"/>
      <c r="B43" s="26" t="str">
        <f aca="false">IF(A43="","",IFERROR(INDEX(Projects!$B$5:$B$54,MATCH(A43,Projects!$A$5:$A$54,0)),"Unknown ID"))</f>
        <v/>
      </c>
      <c r="C43" s="29"/>
      <c r="D43" s="30"/>
      <c r="E43" s="26" t="str">
        <f aca="false">IF(D43="","","Q"&amp;ROUNDUP(MONTH(D43)/3,0))</f>
        <v/>
      </c>
      <c r="F43" s="29"/>
      <c r="G43" s="29"/>
      <c r="H43" s="29"/>
      <c r="I43" s="29"/>
    </row>
    <row r="44" customFormat="false" ht="15" hidden="false" customHeight="false" outlineLevel="0" collapsed="false">
      <c r="A44" s="29"/>
      <c r="B44" s="26" t="str">
        <f aca="false">IF(A44="","",IFERROR(INDEX(Projects!$B$5:$B$54,MATCH(A44,Projects!$A$5:$A$54,0)),"Unknown ID"))</f>
        <v/>
      </c>
      <c r="C44" s="29"/>
      <c r="D44" s="30"/>
      <c r="E44" s="26" t="str">
        <f aca="false">IF(D44="","","Q"&amp;ROUNDUP(MONTH(D44)/3,0))</f>
        <v/>
      </c>
      <c r="F44" s="29"/>
      <c r="G44" s="29"/>
      <c r="H44" s="29"/>
      <c r="I44" s="29"/>
    </row>
    <row r="45" customFormat="false" ht="15" hidden="false" customHeight="false" outlineLevel="0" collapsed="false">
      <c r="A45" s="29"/>
      <c r="B45" s="26" t="str">
        <f aca="false">IF(A45="","",IFERROR(INDEX(Projects!$B$5:$B$54,MATCH(A45,Projects!$A$5:$A$54,0)),"Unknown ID"))</f>
        <v/>
      </c>
      <c r="C45" s="29"/>
      <c r="D45" s="30"/>
      <c r="E45" s="26" t="str">
        <f aca="false">IF(D45="","","Q"&amp;ROUNDUP(MONTH(D45)/3,0))</f>
        <v/>
      </c>
      <c r="F45" s="29"/>
      <c r="G45" s="29"/>
      <c r="H45" s="29"/>
      <c r="I45" s="29"/>
    </row>
    <row r="46" customFormat="false" ht="15" hidden="false" customHeight="false" outlineLevel="0" collapsed="false">
      <c r="A46" s="29"/>
      <c r="B46" s="26" t="str">
        <f aca="false">IF(A46="","",IFERROR(INDEX(Projects!$B$5:$B$54,MATCH(A46,Projects!$A$5:$A$54,0)),"Unknown ID"))</f>
        <v/>
      </c>
      <c r="C46" s="29"/>
      <c r="D46" s="30"/>
      <c r="E46" s="26" t="str">
        <f aca="false">IF(D46="","","Q"&amp;ROUNDUP(MONTH(D46)/3,0))</f>
        <v/>
      </c>
      <c r="F46" s="29"/>
      <c r="G46" s="29"/>
      <c r="H46" s="29"/>
      <c r="I46" s="29"/>
    </row>
    <row r="47" customFormat="false" ht="15" hidden="false" customHeight="false" outlineLevel="0" collapsed="false">
      <c r="A47" s="29"/>
      <c r="B47" s="26" t="str">
        <f aca="false">IF(A47="","",IFERROR(INDEX(Projects!$B$5:$B$54,MATCH(A47,Projects!$A$5:$A$54,0)),"Unknown ID"))</f>
        <v/>
      </c>
      <c r="C47" s="29"/>
      <c r="D47" s="30"/>
      <c r="E47" s="26" t="str">
        <f aca="false">IF(D47="","","Q"&amp;ROUNDUP(MONTH(D47)/3,0))</f>
        <v/>
      </c>
      <c r="F47" s="29"/>
      <c r="G47" s="29"/>
      <c r="H47" s="29"/>
      <c r="I47" s="29"/>
    </row>
    <row r="48" customFormat="false" ht="15" hidden="false" customHeight="false" outlineLevel="0" collapsed="false">
      <c r="A48" s="29"/>
      <c r="B48" s="26" t="str">
        <f aca="false">IF(A48="","",IFERROR(INDEX(Projects!$B$5:$B$54,MATCH(A48,Projects!$A$5:$A$54,0)),"Unknown ID"))</f>
        <v/>
      </c>
      <c r="C48" s="29"/>
      <c r="D48" s="30"/>
      <c r="E48" s="26" t="str">
        <f aca="false">IF(D48="","","Q"&amp;ROUNDUP(MONTH(D48)/3,0))</f>
        <v/>
      </c>
      <c r="F48" s="29"/>
      <c r="G48" s="29"/>
      <c r="H48" s="29"/>
      <c r="I48" s="29"/>
    </row>
    <row r="49" customFormat="false" ht="15" hidden="false" customHeight="false" outlineLevel="0" collapsed="false">
      <c r="A49" s="29"/>
      <c r="B49" s="26" t="str">
        <f aca="false">IF(A49="","",IFERROR(INDEX(Projects!$B$5:$B$54,MATCH(A49,Projects!$A$5:$A$54,0)),"Unknown ID"))</f>
        <v/>
      </c>
      <c r="C49" s="29"/>
      <c r="D49" s="30"/>
      <c r="E49" s="26" t="str">
        <f aca="false">IF(D49="","","Q"&amp;ROUNDUP(MONTH(D49)/3,0))</f>
        <v/>
      </c>
      <c r="F49" s="29"/>
      <c r="G49" s="29"/>
      <c r="H49" s="29"/>
      <c r="I49" s="29"/>
    </row>
    <row r="50" customFormat="false" ht="15" hidden="false" customHeight="false" outlineLevel="0" collapsed="false">
      <c r="A50" s="29"/>
      <c r="B50" s="26" t="str">
        <f aca="false">IF(A50="","",IFERROR(INDEX(Projects!$B$5:$B$54,MATCH(A50,Projects!$A$5:$A$54,0)),"Unknown ID"))</f>
        <v/>
      </c>
      <c r="C50" s="29"/>
      <c r="D50" s="30"/>
      <c r="E50" s="26" t="str">
        <f aca="false">IF(D50="","","Q"&amp;ROUNDUP(MONTH(D50)/3,0))</f>
        <v/>
      </c>
      <c r="F50" s="29"/>
      <c r="G50" s="29"/>
      <c r="H50" s="29"/>
      <c r="I50" s="29"/>
    </row>
    <row r="51" customFormat="false" ht="15" hidden="false" customHeight="false" outlineLevel="0" collapsed="false">
      <c r="A51" s="29"/>
      <c r="B51" s="26" t="str">
        <f aca="false">IF(A51="","",IFERROR(INDEX(Projects!$B$5:$B$54,MATCH(A51,Projects!$A$5:$A$54,0)),"Unknown ID"))</f>
        <v/>
      </c>
      <c r="C51" s="29"/>
      <c r="D51" s="30"/>
      <c r="E51" s="26" t="str">
        <f aca="false">IF(D51="","","Q"&amp;ROUNDUP(MONTH(D51)/3,0))</f>
        <v/>
      </c>
      <c r="F51" s="29"/>
      <c r="G51" s="29"/>
      <c r="H51" s="29"/>
      <c r="I51" s="29"/>
    </row>
    <row r="52" customFormat="false" ht="15" hidden="false" customHeight="false" outlineLevel="0" collapsed="false">
      <c r="A52" s="29"/>
      <c r="B52" s="26" t="str">
        <f aca="false">IF(A52="","",IFERROR(INDEX(Projects!$B$5:$B$54,MATCH(A52,Projects!$A$5:$A$54,0)),"Unknown ID"))</f>
        <v/>
      </c>
      <c r="C52" s="29"/>
      <c r="D52" s="30"/>
      <c r="E52" s="26" t="str">
        <f aca="false">IF(D52="","","Q"&amp;ROUNDUP(MONTH(D52)/3,0))</f>
        <v/>
      </c>
      <c r="F52" s="29"/>
      <c r="G52" s="29"/>
      <c r="H52" s="29"/>
      <c r="I52" s="29"/>
    </row>
    <row r="53" customFormat="false" ht="15" hidden="false" customHeight="false" outlineLevel="0" collapsed="false">
      <c r="A53" s="29"/>
      <c r="B53" s="26" t="str">
        <f aca="false">IF(A53="","",IFERROR(INDEX(Projects!$B$5:$B$54,MATCH(A53,Projects!$A$5:$A$54,0)),"Unknown ID"))</f>
        <v/>
      </c>
      <c r="C53" s="29"/>
      <c r="D53" s="30"/>
      <c r="E53" s="26" t="str">
        <f aca="false">IF(D53="","","Q"&amp;ROUNDUP(MONTH(D53)/3,0))</f>
        <v/>
      </c>
      <c r="F53" s="29"/>
      <c r="G53" s="29"/>
      <c r="H53" s="29"/>
      <c r="I53" s="29"/>
    </row>
    <row r="54" customFormat="false" ht="15" hidden="false" customHeight="false" outlineLevel="0" collapsed="false">
      <c r="A54" s="29"/>
      <c r="B54" s="26" t="str">
        <f aca="false">IF(A54="","",IFERROR(INDEX(Projects!$B$5:$B$54,MATCH(A54,Projects!$A$5:$A$54,0)),"Unknown ID"))</f>
        <v/>
      </c>
      <c r="C54" s="29"/>
      <c r="D54" s="30"/>
      <c r="E54" s="26" t="str">
        <f aca="false">IF(D54="","","Q"&amp;ROUNDUP(MONTH(D54)/3,0))</f>
        <v/>
      </c>
      <c r="F54" s="29"/>
      <c r="G54" s="29"/>
      <c r="H54" s="29"/>
      <c r="I54" s="29"/>
    </row>
    <row r="55" customFormat="false" ht="15" hidden="false" customHeight="false" outlineLevel="0" collapsed="false">
      <c r="A55" s="29"/>
      <c r="B55" s="26" t="str">
        <f aca="false">IF(A55="","",IFERROR(INDEX(Projects!$B$5:$B$54,MATCH(A55,Projects!$A$5:$A$54,0)),"Unknown ID"))</f>
        <v/>
      </c>
      <c r="C55" s="29"/>
      <c r="D55" s="30"/>
      <c r="E55" s="26" t="str">
        <f aca="false">IF(D55="","","Q"&amp;ROUNDUP(MONTH(D55)/3,0))</f>
        <v/>
      </c>
      <c r="F55" s="29"/>
      <c r="G55" s="29"/>
      <c r="H55" s="29"/>
      <c r="I55" s="29"/>
    </row>
    <row r="56" customFormat="false" ht="15" hidden="false" customHeight="false" outlineLevel="0" collapsed="false">
      <c r="A56" s="29"/>
      <c r="B56" s="26" t="str">
        <f aca="false">IF(A56="","",IFERROR(INDEX(Projects!$B$5:$B$54,MATCH(A56,Projects!$A$5:$A$54,0)),"Unknown ID"))</f>
        <v/>
      </c>
      <c r="C56" s="29"/>
      <c r="D56" s="30"/>
      <c r="E56" s="26" t="str">
        <f aca="false">IF(D56="","","Q"&amp;ROUNDUP(MONTH(D56)/3,0))</f>
        <v/>
      </c>
      <c r="F56" s="29"/>
      <c r="G56" s="29"/>
      <c r="H56" s="29"/>
      <c r="I56" s="29"/>
    </row>
    <row r="57" customFormat="false" ht="15" hidden="false" customHeight="false" outlineLevel="0" collapsed="false">
      <c r="A57" s="29"/>
      <c r="B57" s="26" t="str">
        <f aca="false">IF(A57="","",IFERROR(INDEX(Projects!$B$5:$B$54,MATCH(A57,Projects!$A$5:$A$54,0)),"Unknown ID"))</f>
        <v/>
      </c>
      <c r="C57" s="29"/>
      <c r="D57" s="30"/>
      <c r="E57" s="26" t="str">
        <f aca="false">IF(D57="","","Q"&amp;ROUNDUP(MONTH(D57)/3,0))</f>
        <v/>
      </c>
      <c r="F57" s="29"/>
      <c r="G57" s="29"/>
      <c r="H57" s="29"/>
      <c r="I57" s="29"/>
    </row>
    <row r="58" customFormat="false" ht="15" hidden="false" customHeight="false" outlineLevel="0" collapsed="false">
      <c r="A58" s="29"/>
      <c r="B58" s="26" t="str">
        <f aca="false">IF(A58="","",IFERROR(INDEX(Projects!$B$5:$B$54,MATCH(A58,Projects!$A$5:$A$54,0)),"Unknown ID"))</f>
        <v/>
      </c>
      <c r="C58" s="29"/>
      <c r="D58" s="30"/>
      <c r="E58" s="26" t="str">
        <f aca="false">IF(D58="","","Q"&amp;ROUNDUP(MONTH(D58)/3,0))</f>
        <v/>
      </c>
      <c r="F58" s="29"/>
      <c r="G58" s="29"/>
      <c r="H58" s="29"/>
      <c r="I58" s="29"/>
    </row>
    <row r="59" customFormat="false" ht="15" hidden="false" customHeight="false" outlineLevel="0" collapsed="false">
      <c r="A59" s="29"/>
      <c r="B59" s="26" t="str">
        <f aca="false">IF(A59="","",IFERROR(INDEX(Projects!$B$5:$B$54,MATCH(A59,Projects!$A$5:$A$54,0)),"Unknown ID"))</f>
        <v/>
      </c>
      <c r="C59" s="29"/>
      <c r="D59" s="30"/>
      <c r="E59" s="26" t="str">
        <f aca="false">IF(D59="","","Q"&amp;ROUNDUP(MONTH(D59)/3,0))</f>
        <v/>
      </c>
      <c r="F59" s="29"/>
      <c r="G59" s="29"/>
      <c r="H59" s="29"/>
      <c r="I59" s="29"/>
    </row>
    <row r="60" customFormat="false" ht="15" hidden="false" customHeight="false" outlineLevel="0" collapsed="false">
      <c r="A60" s="29"/>
      <c r="B60" s="26" t="str">
        <f aca="false">IF(A60="","",IFERROR(INDEX(Projects!$B$5:$B$54,MATCH(A60,Projects!$A$5:$A$54,0)),"Unknown ID"))</f>
        <v/>
      </c>
      <c r="C60" s="29"/>
      <c r="D60" s="30"/>
      <c r="E60" s="26" t="str">
        <f aca="false">IF(D60="","","Q"&amp;ROUNDUP(MONTH(D60)/3,0))</f>
        <v/>
      </c>
      <c r="F60" s="29"/>
      <c r="G60" s="29"/>
      <c r="H60" s="29"/>
      <c r="I60" s="29"/>
    </row>
    <row r="61" customFormat="false" ht="15" hidden="false" customHeight="false" outlineLevel="0" collapsed="false">
      <c r="A61" s="29"/>
      <c r="B61" s="26" t="str">
        <f aca="false">IF(A61="","",IFERROR(INDEX(Projects!$B$5:$B$54,MATCH(A61,Projects!$A$5:$A$54,0)),"Unknown ID"))</f>
        <v/>
      </c>
      <c r="C61" s="29"/>
      <c r="D61" s="30"/>
      <c r="E61" s="26" t="str">
        <f aca="false">IF(D61="","","Q"&amp;ROUNDUP(MONTH(D61)/3,0))</f>
        <v/>
      </c>
      <c r="F61" s="29"/>
      <c r="G61" s="29"/>
      <c r="H61" s="29"/>
      <c r="I61" s="29"/>
    </row>
    <row r="62" customFormat="false" ht="15" hidden="false" customHeight="false" outlineLevel="0" collapsed="false">
      <c r="A62" s="29"/>
      <c r="B62" s="26" t="str">
        <f aca="false">IF(A62="","",IFERROR(INDEX(Projects!$B$5:$B$54,MATCH(A62,Projects!$A$5:$A$54,0)),"Unknown ID"))</f>
        <v/>
      </c>
      <c r="C62" s="29"/>
      <c r="D62" s="30"/>
      <c r="E62" s="26" t="str">
        <f aca="false">IF(D62="","","Q"&amp;ROUNDUP(MONTH(D62)/3,0))</f>
        <v/>
      </c>
      <c r="F62" s="29"/>
      <c r="G62" s="29"/>
      <c r="H62" s="29"/>
      <c r="I62" s="29"/>
    </row>
    <row r="63" customFormat="false" ht="15" hidden="false" customHeight="false" outlineLevel="0" collapsed="false">
      <c r="A63" s="29"/>
      <c r="B63" s="26" t="str">
        <f aca="false">IF(A63="","",IFERROR(INDEX(Projects!$B$5:$B$54,MATCH(A63,Projects!$A$5:$A$54,0)),"Unknown ID"))</f>
        <v/>
      </c>
      <c r="C63" s="29"/>
      <c r="D63" s="30"/>
      <c r="E63" s="26" t="str">
        <f aca="false">IF(D63="","","Q"&amp;ROUNDUP(MONTH(D63)/3,0))</f>
        <v/>
      </c>
      <c r="F63" s="29"/>
      <c r="G63" s="29"/>
      <c r="H63" s="29"/>
      <c r="I63" s="29"/>
    </row>
    <row r="64" customFormat="false" ht="15" hidden="false" customHeight="false" outlineLevel="0" collapsed="false">
      <c r="A64" s="29"/>
      <c r="B64" s="26" t="str">
        <f aca="false">IF(A64="","",IFERROR(INDEX(Projects!$B$5:$B$54,MATCH(A64,Projects!$A$5:$A$54,0)),"Unknown ID"))</f>
        <v/>
      </c>
      <c r="C64" s="29"/>
      <c r="D64" s="30"/>
      <c r="E64" s="26" t="str">
        <f aca="false">IF(D64="","","Q"&amp;ROUNDUP(MONTH(D64)/3,0))</f>
        <v/>
      </c>
      <c r="F64" s="29"/>
      <c r="G64" s="29"/>
      <c r="H64" s="29"/>
      <c r="I64" s="29"/>
    </row>
    <row r="65" customFormat="false" ht="15" hidden="false" customHeight="false" outlineLevel="0" collapsed="false">
      <c r="A65" s="29"/>
      <c r="B65" s="26" t="str">
        <f aca="false">IF(A65="","",IFERROR(INDEX(Projects!$B$5:$B$54,MATCH(A65,Projects!$A$5:$A$54,0)),"Unknown ID"))</f>
        <v/>
      </c>
      <c r="C65" s="29"/>
      <c r="D65" s="30"/>
      <c r="E65" s="26" t="str">
        <f aca="false">IF(D65="","","Q"&amp;ROUNDUP(MONTH(D65)/3,0))</f>
        <v/>
      </c>
      <c r="F65" s="29"/>
      <c r="G65" s="29"/>
      <c r="H65" s="29"/>
      <c r="I65" s="29"/>
    </row>
    <row r="66" customFormat="false" ht="15" hidden="false" customHeight="false" outlineLevel="0" collapsed="false">
      <c r="A66" s="29"/>
      <c r="B66" s="26" t="str">
        <f aca="false">IF(A66="","",IFERROR(INDEX(Projects!$B$5:$B$54,MATCH(A66,Projects!$A$5:$A$54,0)),"Unknown ID"))</f>
        <v/>
      </c>
      <c r="C66" s="29"/>
      <c r="D66" s="30"/>
      <c r="E66" s="26" t="str">
        <f aca="false">IF(D66="","","Q"&amp;ROUNDUP(MONTH(D66)/3,0))</f>
        <v/>
      </c>
      <c r="F66" s="29"/>
      <c r="G66" s="29"/>
      <c r="H66" s="29"/>
      <c r="I66" s="29"/>
    </row>
    <row r="67" customFormat="false" ht="15" hidden="false" customHeight="false" outlineLevel="0" collapsed="false">
      <c r="A67" s="29"/>
      <c r="B67" s="26" t="str">
        <f aca="false">IF(A67="","",IFERROR(INDEX(Projects!$B$5:$B$54,MATCH(A67,Projects!$A$5:$A$54,0)),"Unknown ID"))</f>
        <v/>
      </c>
      <c r="C67" s="29"/>
      <c r="D67" s="30"/>
      <c r="E67" s="26" t="str">
        <f aca="false">IF(D67="","","Q"&amp;ROUNDUP(MONTH(D67)/3,0))</f>
        <v/>
      </c>
      <c r="F67" s="29"/>
      <c r="G67" s="29"/>
      <c r="H67" s="29"/>
      <c r="I67" s="29"/>
    </row>
    <row r="68" customFormat="false" ht="15" hidden="false" customHeight="false" outlineLevel="0" collapsed="false">
      <c r="A68" s="29"/>
      <c r="B68" s="26" t="str">
        <f aca="false">IF(A68="","",IFERROR(INDEX(Projects!$B$5:$B$54,MATCH(A68,Projects!$A$5:$A$54,0)),"Unknown ID"))</f>
        <v/>
      </c>
      <c r="C68" s="29"/>
      <c r="D68" s="30"/>
      <c r="E68" s="26" t="str">
        <f aca="false">IF(D68="","","Q"&amp;ROUNDUP(MONTH(D68)/3,0))</f>
        <v/>
      </c>
      <c r="F68" s="29"/>
      <c r="G68" s="29"/>
      <c r="H68" s="29"/>
      <c r="I68" s="29"/>
    </row>
    <row r="69" customFormat="false" ht="15" hidden="false" customHeight="false" outlineLevel="0" collapsed="false">
      <c r="A69" s="29"/>
      <c r="B69" s="26" t="str">
        <f aca="false">IF(A69="","",IFERROR(INDEX(Projects!$B$5:$B$54,MATCH(A69,Projects!$A$5:$A$54,0)),"Unknown ID"))</f>
        <v/>
      </c>
      <c r="C69" s="29"/>
      <c r="D69" s="30"/>
      <c r="E69" s="26" t="str">
        <f aca="false">IF(D69="","","Q"&amp;ROUNDUP(MONTH(D69)/3,0))</f>
        <v/>
      </c>
      <c r="F69" s="29"/>
      <c r="G69" s="29"/>
      <c r="H69" s="29"/>
      <c r="I69" s="29"/>
    </row>
    <row r="70" customFormat="false" ht="15" hidden="false" customHeight="false" outlineLevel="0" collapsed="false">
      <c r="A70" s="29"/>
      <c r="B70" s="26" t="str">
        <f aca="false">IF(A70="","",IFERROR(INDEX(Projects!$B$5:$B$54,MATCH(A70,Projects!$A$5:$A$54,0)),"Unknown ID"))</f>
        <v/>
      </c>
      <c r="C70" s="29"/>
      <c r="D70" s="30"/>
      <c r="E70" s="26" t="str">
        <f aca="false">IF(D70="","","Q"&amp;ROUNDUP(MONTH(D70)/3,0))</f>
        <v/>
      </c>
      <c r="F70" s="29"/>
      <c r="G70" s="29"/>
      <c r="H70" s="29"/>
      <c r="I70" s="29"/>
    </row>
    <row r="71" customFormat="false" ht="15" hidden="false" customHeight="false" outlineLevel="0" collapsed="false">
      <c r="A71" s="29"/>
      <c r="B71" s="26" t="str">
        <f aca="false">IF(A71="","",IFERROR(INDEX(Projects!$B$5:$B$54,MATCH(A71,Projects!$A$5:$A$54,0)),"Unknown ID"))</f>
        <v/>
      </c>
      <c r="C71" s="29"/>
      <c r="D71" s="30"/>
      <c r="E71" s="26" t="str">
        <f aca="false">IF(D71="","","Q"&amp;ROUNDUP(MONTH(D71)/3,0))</f>
        <v/>
      </c>
      <c r="F71" s="29"/>
      <c r="G71" s="29"/>
      <c r="H71" s="29"/>
      <c r="I71" s="29"/>
    </row>
    <row r="72" customFormat="false" ht="15" hidden="false" customHeight="false" outlineLevel="0" collapsed="false">
      <c r="A72" s="29"/>
      <c r="B72" s="26" t="str">
        <f aca="false">IF(A72="","",IFERROR(INDEX(Projects!$B$5:$B$54,MATCH(A72,Projects!$A$5:$A$54,0)),"Unknown ID"))</f>
        <v/>
      </c>
      <c r="C72" s="29"/>
      <c r="D72" s="30"/>
      <c r="E72" s="26" t="str">
        <f aca="false">IF(D72="","","Q"&amp;ROUNDUP(MONTH(D72)/3,0))</f>
        <v/>
      </c>
      <c r="F72" s="29"/>
      <c r="G72" s="29"/>
      <c r="H72" s="29"/>
      <c r="I72" s="29"/>
    </row>
    <row r="73" customFormat="false" ht="15" hidden="false" customHeight="false" outlineLevel="0" collapsed="false">
      <c r="A73" s="29"/>
      <c r="B73" s="26" t="str">
        <f aca="false">IF(A73="","",IFERROR(INDEX(Projects!$B$5:$B$54,MATCH(A73,Projects!$A$5:$A$54,0)),"Unknown ID"))</f>
        <v/>
      </c>
      <c r="C73" s="29"/>
      <c r="D73" s="30"/>
      <c r="E73" s="26" t="str">
        <f aca="false">IF(D73="","","Q"&amp;ROUNDUP(MONTH(D73)/3,0))</f>
        <v/>
      </c>
      <c r="F73" s="29"/>
      <c r="G73" s="29"/>
      <c r="H73" s="29"/>
      <c r="I73" s="29"/>
    </row>
    <row r="74" customFormat="false" ht="15" hidden="false" customHeight="false" outlineLevel="0" collapsed="false">
      <c r="A74" s="29"/>
      <c r="B74" s="26" t="str">
        <f aca="false">IF(A74="","",IFERROR(INDEX(Projects!$B$5:$B$54,MATCH(A74,Projects!$A$5:$A$54,0)),"Unknown ID"))</f>
        <v/>
      </c>
      <c r="C74" s="29"/>
      <c r="D74" s="30"/>
      <c r="E74" s="26" t="str">
        <f aca="false">IF(D74="","","Q"&amp;ROUNDUP(MONTH(D74)/3,0))</f>
        <v/>
      </c>
      <c r="F74" s="29"/>
      <c r="G74" s="29"/>
      <c r="H74" s="29"/>
      <c r="I74" s="29"/>
    </row>
    <row r="75" customFormat="false" ht="15" hidden="false" customHeight="false" outlineLevel="0" collapsed="false">
      <c r="A75" s="29"/>
      <c r="B75" s="26" t="str">
        <f aca="false">IF(A75="","",IFERROR(INDEX(Projects!$B$5:$B$54,MATCH(A75,Projects!$A$5:$A$54,0)),"Unknown ID"))</f>
        <v/>
      </c>
      <c r="C75" s="29"/>
      <c r="D75" s="30"/>
      <c r="E75" s="26" t="str">
        <f aca="false">IF(D75="","","Q"&amp;ROUNDUP(MONTH(D75)/3,0))</f>
        <v/>
      </c>
      <c r="F75" s="29"/>
      <c r="G75" s="29"/>
      <c r="H75" s="29"/>
      <c r="I75" s="29"/>
    </row>
    <row r="76" customFormat="false" ht="15" hidden="false" customHeight="false" outlineLevel="0" collapsed="false">
      <c r="A76" s="29"/>
      <c r="B76" s="26" t="str">
        <f aca="false">IF(A76="","",IFERROR(INDEX(Projects!$B$5:$B$54,MATCH(A76,Projects!$A$5:$A$54,0)),"Unknown ID"))</f>
        <v/>
      </c>
      <c r="C76" s="29"/>
      <c r="D76" s="30"/>
      <c r="E76" s="26" t="str">
        <f aca="false">IF(D76="","","Q"&amp;ROUNDUP(MONTH(D76)/3,0))</f>
        <v/>
      </c>
      <c r="F76" s="29"/>
      <c r="G76" s="29"/>
      <c r="H76" s="29"/>
      <c r="I76" s="29"/>
    </row>
    <row r="77" customFormat="false" ht="15" hidden="false" customHeight="false" outlineLevel="0" collapsed="false">
      <c r="A77" s="29"/>
      <c r="B77" s="26" t="str">
        <f aca="false">IF(A77="","",IFERROR(INDEX(Projects!$B$5:$B$54,MATCH(A77,Projects!$A$5:$A$54,0)),"Unknown ID"))</f>
        <v/>
      </c>
      <c r="C77" s="29"/>
      <c r="D77" s="30"/>
      <c r="E77" s="26" t="str">
        <f aca="false">IF(D77="","","Q"&amp;ROUNDUP(MONTH(D77)/3,0))</f>
        <v/>
      </c>
      <c r="F77" s="29"/>
      <c r="G77" s="29"/>
      <c r="H77" s="29"/>
      <c r="I77" s="29"/>
    </row>
    <row r="78" customFormat="false" ht="15" hidden="false" customHeight="false" outlineLevel="0" collapsed="false">
      <c r="A78" s="29"/>
      <c r="B78" s="26" t="str">
        <f aca="false">IF(A78="","",IFERROR(INDEX(Projects!$B$5:$B$54,MATCH(A78,Projects!$A$5:$A$54,0)),"Unknown ID"))</f>
        <v/>
      </c>
      <c r="C78" s="29"/>
      <c r="D78" s="30"/>
      <c r="E78" s="26" t="str">
        <f aca="false">IF(D78="","","Q"&amp;ROUNDUP(MONTH(D78)/3,0))</f>
        <v/>
      </c>
      <c r="F78" s="29"/>
      <c r="G78" s="29"/>
      <c r="H78" s="29"/>
      <c r="I78" s="29"/>
    </row>
    <row r="79" customFormat="false" ht="15" hidden="false" customHeight="false" outlineLevel="0" collapsed="false">
      <c r="A79" s="29"/>
      <c r="B79" s="26" t="str">
        <f aca="false">IF(A79="","",IFERROR(INDEX(Projects!$B$5:$B$54,MATCH(A79,Projects!$A$5:$A$54,0)),"Unknown ID"))</f>
        <v/>
      </c>
      <c r="C79" s="29"/>
      <c r="D79" s="30"/>
      <c r="E79" s="26" t="str">
        <f aca="false">IF(D79="","","Q"&amp;ROUNDUP(MONTH(D79)/3,0))</f>
        <v/>
      </c>
      <c r="F79" s="29"/>
      <c r="G79" s="29"/>
      <c r="H79" s="29"/>
      <c r="I79" s="29"/>
    </row>
    <row r="80" customFormat="false" ht="15" hidden="false" customHeight="false" outlineLevel="0" collapsed="false">
      <c r="A80" s="29"/>
      <c r="B80" s="26" t="str">
        <f aca="false">IF(A80="","",IFERROR(INDEX(Projects!$B$5:$B$54,MATCH(A80,Projects!$A$5:$A$54,0)),"Unknown ID"))</f>
        <v/>
      </c>
      <c r="C80" s="29"/>
      <c r="D80" s="30"/>
      <c r="E80" s="26" t="str">
        <f aca="false">IF(D80="","","Q"&amp;ROUNDUP(MONTH(D80)/3,0))</f>
        <v/>
      </c>
      <c r="F80" s="29"/>
      <c r="G80" s="29"/>
      <c r="H80" s="29"/>
      <c r="I80" s="29"/>
    </row>
    <row r="81" customFormat="false" ht="15" hidden="false" customHeight="false" outlineLevel="0" collapsed="false">
      <c r="A81" s="29"/>
      <c r="B81" s="26" t="str">
        <f aca="false">IF(A81="","",IFERROR(INDEX(Projects!$B$5:$B$54,MATCH(A81,Projects!$A$5:$A$54,0)),"Unknown ID"))</f>
        <v/>
      </c>
      <c r="C81" s="29"/>
      <c r="D81" s="30"/>
      <c r="E81" s="26" t="str">
        <f aca="false">IF(D81="","","Q"&amp;ROUNDUP(MONTH(D81)/3,0))</f>
        <v/>
      </c>
      <c r="F81" s="29"/>
      <c r="G81" s="29"/>
      <c r="H81" s="29"/>
      <c r="I81" s="29"/>
    </row>
    <row r="82" customFormat="false" ht="15" hidden="false" customHeight="false" outlineLevel="0" collapsed="false">
      <c r="A82" s="29"/>
      <c r="B82" s="26" t="str">
        <f aca="false">IF(A82="","",IFERROR(INDEX(Projects!$B$5:$B$54,MATCH(A82,Projects!$A$5:$A$54,0)),"Unknown ID"))</f>
        <v/>
      </c>
      <c r="C82" s="29"/>
      <c r="D82" s="30"/>
      <c r="E82" s="26" t="str">
        <f aca="false">IF(D82="","","Q"&amp;ROUNDUP(MONTH(D82)/3,0))</f>
        <v/>
      </c>
      <c r="F82" s="29"/>
      <c r="G82" s="29"/>
      <c r="H82" s="29"/>
      <c r="I82" s="29"/>
    </row>
    <row r="83" customFormat="false" ht="15" hidden="false" customHeight="false" outlineLevel="0" collapsed="false">
      <c r="A83" s="29"/>
      <c r="B83" s="26" t="str">
        <f aca="false">IF(A83="","",IFERROR(INDEX(Projects!$B$5:$B$54,MATCH(A83,Projects!$A$5:$A$54,0)),"Unknown ID"))</f>
        <v/>
      </c>
      <c r="C83" s="29"/>
      <c r="D83" s="30"/>
      <c r="E83" s="26" t="str">
        <f aca="false">IF(D83="","","Q"&amp;ROUNDUP(MONTH(D83)/3,0))</f>
        <v/>
      </c>
      <c r="F83" s="29"/>
      <c r="G83" s="29"/>
      <c r="H83" s="29"/>
      <c r="I83" s="29"/>
    </row>
    <row r="84" customFormat="false" ht="15" hidden="false" customHeight="false" outlineLevel="0" collapsed="false">
      <c r="A84" s="29"/>
      <c r="B84" s="26" t="str">
        <f aca="false">IF(A84="","",IFERROR(INDEX(Projects!$B$5:$B$54,MATCH(A84,Projects!$A$5:$A$54,0)),"Unknown ID"))</f>
        <v/>
      </c>
      <c r="C84" s="29"/>
      <c r="D84" s="30"/>
      <c r="E84" s="26" t="str">
        <f aca="false">IF(D84="","","Q"&amp;ROUNDUP(MONTH(D84)/3,0))</f>
        <v/>
      </c>
      <c r="F84" s="29"/>
      <c r="G84" s="29"/>
      <c r="H84" s="29"/>
      <c r="I84" s="29"/>
    </row>
    <row r="85" customFormat="false" ht="15" hidden="false" customHeight="false" outlineLevel="0" collapsed="false">
      <c r="A85" s="29"/>
      <c r="B85" s="26" t="str">
        <f aca="false">IF(A85="","",IFERROR(INDEX(Projects!$B$5:$B$54,MATCH(A85,Projects!$A$5:$A$54,0)),"Unknown ID"))</f>
        <v/>
      </c>
      <c r="C85" s="29"/>
      <c r="D85" s="30"/>
      <c r="E85" s="26" t="str">
        <f aca="false">IF(D85="","","Q"&amp;ROUNDUP(MONTH(D85)/3,0))</f>
        <v/>
      </c>
      <c r="F85" s="29"/>
      <c r="G85" s="29"/>
      <c r="H85" s="29"/>
      <c r="I85" s="29"/>
    </row>
    <row r="86" customFormat="false" ht="15" hidden="false" customHeight="false" outlineLevel="0" collapsed="false">
      <c r="A86" s="29"/>
      <c r="B86" s="26" t="str">
        <f aca="false">IF(A86="","",IFERROR(INDEX(Projects!$B$5:$B$54,MATCH(A86,Projects!$A$5:$A$54,0)),"Unknown ID"))</f>
        <v/>
      </c>
      <c r="C86" s="29"/>
      <c r="D86" s="30"/>
      <c r="E86" s="26" t="str">
        <f aca="false">IF(D86="","","Q"&amp;ROUNDUP(MONTH(D86)/3,0))</f>
        <v/>
      </c>
      <c r="F86" s="29"/>
      <c r="G86" s="29"/>
      <c r="H86" s="29"/>
      <c r="I86" s="29"/>
    </row>
    <row r="87" customFormat="false" ht="15" hidden="false" customHeight="false" outlineLevel="0" collapsed="false">
      <c r="A87" s="29"/>
      <c r="B87" s="26" t="str">
        <f aca="false">IF(A87="","",IFERROR(INDEX(Projects!$B$5:$B$54,MATCH(A87,Projects!$A$5:$A$54,0)),"Unknown ID"))</f>
        <v/>
      </c>
      <c r="C87" s="29"/>
      <c r="D87" s="30"/>
      <c r="E87" s="26" t="str">
        <f aca="false">IF(D87="","","Q"&amp;ROUNDUP(MONTH(D87)/3,0))</f>
        <v/>
      </c>
      <c r="F87" s="29"/>
      <c r="G87" s="29"/>
      <c r="H87" s="29"/>
      <c r="I87" s="29"/>
    </row>
    <row r="88" customFormat="false" ht="15" hidden="false" customHeight="false" outlineLevel="0" collapsed="false">
      <c r="A88" s="29"/>
      <c r="B88" s="26" t="str">
        <f aca="false">IF(A88="","",IFERROR(INDEX(Projects!$B$5:$B$54,MATCH(A88,Projects!$A$5:$A$54,0)),"Unknown ID"))</f>
        <v/>
      </c>
      <c r="C88" s="29"/>
      <c r="D88" s="30"/>
      <c r="E88" s="26" t="str">
        <f aca="false">IF(D88="","","Q"&amp;ROUNDUP(MONTH(D88)/3,0))</f>
        <v/>
      </c>
      <c r="F88" s="29"/>
      <c r="G88" s="29"/>
      <c r="H88" s="29"/>
      <c r="I88" s="29"/>
    </row>
    <row r="89" customFormat="false" ht="15" hidden="false" customHeight="false" outlineLevel="0" collapsed="false">
      <c r="A89" s="29"/>
      <c r="B89" s="26" t="str">
        <f aca="false">IF(A89="","",IFERROR(INDEX(Projects!$B$5:$B$54,MATCH(A89,Projects!$A$5:$A$54,0)),"Unknown ID"))</f>
        <v/>
      </c>
      <c r="C89" s="29"/>
      <c r="D89" s="30"/>
      <c r="E89" s="26" t="str">
        <f aca="false">IF(D89="","","Q"&amp;ROUNDUP(MONTH(D89)/3,0))</f>
        <v/>
      </c>
      <c r="F89" s="29"/>
      <c r="G89" s="29"/>
      <c r="H89" s="29"/>
      <c r="I89" s="29"/>
    </row>
    <row r="90" customFormat="false" ht="15" hidden="false" customHeight="false" outlineLevel="0" collapsed="false">
      <c r="A90" s="29"/>
      <c r="B90" s="26" t="str">
        <f aca="false">IF(A90="","",IFERROR(INDEX(Projects!$B$5:$B$54,MATCH(A90,Projects!$A$5:$A$54,0)),"Unknown ID"))</f>
        <v/>
      </c>
      <c r="C90" s="29"/>
      <c r="D90" s="30"/>
      <c r="E90" s="26" t="str">
        <f aca="false">IF(D90="","","Q"&amp;ROUNDUP(MONTH(D90)/3,0))</f>
        <v/>
      </c>
      <c r="F90" s="29"/>
      <c r="G90" s="29"/>
      <c r="H90" s="29"/>
      <c r="I90" s="29"/>
    </row>
    <row r="91" customFormat="false" ht="15" hidden="false" customHeight="false" outlineLevel="0" collapsed="false">
      <c r="A91" s="29"/>
      <c r="B91" s="26" t="str">
        <f aca="false">IF(A91="","",IFERROR(INDEX(Projects!$B$5:$B$54,MATCH(A91,Projects!$A$5:$A$54,0)),"Unknown ID"))</f>
        <v/>
      </c>
      <c r="C91" s="29"/>
      <c r="D91" s="30"/>
      <c r="E91" s="26" t="str">
        <f aca="false">IF(D91="","","Q"&amp;ROUNDUP(MONTH(D91)/3,0))</f>
        <v/>
      </c>
      <c r="F91" s="29"/>
      <c r="G91" s="29"/>
      <c r="H91" s="29"/>
      <c r="I91" s="29"/>
    </row>
    <row r="92" customFormat="false" ht="15" hidden="false" customHeight="false" outlineLevel="0" collapsed="false">
      <c r="A92" s="29"/>
      <c r="B92" s="26" t="str">
        <f aca="false">IF(A92="","",IFERROR(INDEX(Projects!$B$5:$B$54,MATCH(A92,Projects!$A$5:$A$54,0)),"Unknown ID"))</f>
        <v/>
      </c>
      <c r="C92" s="29"/>
      <c r="D92" s="30"/>
      <c r="E92" s="26" t="str">
        <f aca="false">IF(D92="","","Q"&amp;ROUNDUP(MONTH(D92)/3,0))</f>
        <v/>
      </c>
      <c r="F92" s="29"/>
      <c r="G92" s="29"/>
      <c r="H92" s="29"/>
      <c r="I92" s="29"/>
    </row>
    <row r="93" customFormat="false" ht="15" hidden="false" customHeight="false" outlineLevel="0" collapsed="false">
      <c r="A93" s="29"/>
      <c r="B93" s="26" t="str">
        <f aca="false">IF(A93="","",IFERROR(INDEX(Projects!$B$5:$B$54,MATCH(A93,Projects!$A$5:$A$54,0)),"Unknown ID"))</f>
        <v/>
      </c>
      <c r="C93" s="29"/>
      <c r="D93" s="30"/>
      <c r="E93" s="26" t="str">
        <f aca="false">IF(D93="","","Q"&amp;ROUNDUP(MONTH(D93)/3,0))</f>
        <v/>
      </c>
      <c r="F93" s="29"/>
      <c r="G93" s="29"/>
      <c r="H93" s="29"/>
      <c r="I93" s="29"/>
    </row>
    <row r="94" customFormat="false" ht="15" hidden="false" customHeight="false" outlineLevel="0" collapsed="false">
      <c r="A94" s="29"/>
      <c r="B94" s="26" t="str">
        <f aca="false">IF(A94="","",IFERROR(INDEX(Projects!$B$5:$B$54,MATCH(A94,Projects!$A$5:$A$54,0)),"Unknown ID"))</f>
        <v/>
      </c>
      <c r="C94" s="29"/>
      <c r="D94" s="30"/>
      <c r="E94" s="26" t="str">
        <f aca="false">IF(D94="","","Q"&amp;ROUNDUP(MONTH(D94)/3,0))</f>
        <v/>
      </c>
      <c r="F94" s="29"/>
      <c r="G94" s="29"/>
      <c r="H94" s="29"/>
      <c r="I94" s="29"/>
    </row>
    <row r="95" customFormat="false" ht="15" hidden="false" customHeight="false" outlineLevel="0" collapsed="false">
      <c r="A95" s="29"/>
      <c r="B95" s="26" t="str">
        <f aca="false">IF(A95="","",IFERROR(INDEX(Projects!$B$5:$B$54,MATCH(A95,Projects!$A$5:$A$54,0)),"Unknown ID"))</f>
        <v/>
      </c>
      <c r="C95" s="29"/>
      <c r="D95" s="30"/>
      <c r="E95" s="26" t="str">
        <f aca="false">IF(D95="","","Q"&amp;ROUNDUP(MONTH(D95)/3,0))</f>
        <v/>
      </c>
      <c r="F95" s="29"/>
      <c r="G95" s="29"/>
      <c r="H95" s="29"/>
      <c r="I95" s="29"/>
    </row>
    <row r="96" customFormat="false" ht="15" hidden="false" customHeight="false" outlineLevel="0" collapsed="false">
      <c r="A96" s="29"/>
      <c r="B96" s="26" t="str">
        <f aca="false">IF(A96="","",IFERROR(INDEX(Projects!$B$5:$B$54,MATCH(A96,Projects!$A$5:$A$54,0)),"Unknown ID"))</f>
        <v/>
      </c>
      <c r="C96" s="29"/>
      <c r="D96" s="30"/>
      <c r="E96" s="26" t="str">
        <f aca="false">IF(D96="","","Q"&amp;ROUNDUP(MONTH(D96)/3,0))</f>
        <v/>
      </c>
      <c r="F96" s="29"/>
      <c r="G96" s="29"/>
      <c r="H96" s="29"/>
      <c r="I96" s="29"/>
    </row>
    <row r="97" customFormat="false" ht="15" hidden="false" customHeight="false" outlineLevel="0" collapsed="false">
      <c r="A97" s="29"/>
      <c r="B97" s="26" t="str">
        <f aca="false">IF(A97="","",IFERROR(INDEX(Projects!$B$5:$B$54,MATCH(A97,Projects!$A$5:$A$54,0)),"Unknown ID"))</f>
        <v/>
      </c>
      <c r="C97" s="29"/>
      <c r="D97" s="30"/>
      <c r="E97" s="26" t="str">
        <f aca="false">IF(D97="","","Q"&amp;ROUNDUP(MONTH(D97)/3,0))</f>
        <v/>
      </c>
      <c r="F97" s="29"/>
      <c r="G97" s="29"/>
      <c r="H97" s="29"/>
      <c r="I97" s="29"/>
    </row>
    <row r="98" customFormat="false" ht="15" hidden="false" customHeight="false" outlineLevel="0" collapsed="false">
      <c r="A98" s="29"/>
      <c r="B98" s="26" t="str">
        <f aca="false">IF(A98="","",IFERROR(INDEX(Projects!$B$5:$B$54,MATCH(A98,Projects!$A$5:$A$54,0)),"Unknown ID"))</f>
        <v/>
      </c>
      <c r="C98" s="29"/>
      <c r="D98" s="30"/>
      <c r="E98" s="26" t="str">
        <f aca="false">IF(D98="","","Q"&amp;ROUNDUP(MONTH(D98)/3,0))</f>
        <v/>
      </c>
      <c r="F98" s="29"/>
      <c r="G98" s="29"/>
      <c r="H98" s="29"/>
      <c r="I98" s="29"/>
    </row>
    <row r="99" customFormat="false" ht="15" hidden="false" customHeight="false" outlineLevel="0" collapsed="false">
      <c r="A99" s="29"/>
      <c r="B99" s="26" t="str">
        <f aca="false">IF(A99="","",IFERROR(INDEX(Projects!$B$5:$B$54,MATCH(A99,Projects!$A$5:$A$54,0)),"Unknown ID"))</f>
        <v/>
      </c>
      <c r="C99" s="29"/>
      <c r="D99" s="30"/>
      <c r="E99" s="26" t="str">
        <f aca="false">IF(D99="","","Q"&amp;ROUNDUP(MONTH(D99)/3,0))</f>
        <v/>
      </c>
      <c r="F99" s="29"/>
      <c r="G99" s="29"/>
      <c r="H99" s="29"/>
      <c r="I99" s="29"/>
    </row>
    <row r="100" customFormat="false" ht="15" hidden="false" customHeight="false" outlineLevel="0" collapsed="false">
      <c r="A100" s="29"/>
      <c r="B100" s="26" t="str">
        <f aca="false">IF(A100="","",IFERROR(INDEX(Projects!$B$5:$B$54,MATCH(A100,Projects!$A$5:$A$54,0)),"Unknown ID"))</f>
        <v/>
      </c>
      <c r="C100" s="29"/>
      <c r="D100" s="30"/>
      <c r="E100" s="26" t="str">
        <f aca="false">IF(D100="","","Q"&amp;ROUNDUP(MONTH(D100)/3,0))</f>
        <v/>
      </c>
      <c r="F100" s="29"/>
      <c r="G100" s="29"/>
      <c r="H100" s="29"/>
      <c r="I100" s="29"/>
    </row>
    <row r="101" customFormat="false" ht="15" hidden="false" customHeight="false" outlineLevel="0" collapsed="false">
      <c r="A101" s="29"/>
      <c r="B101" s="26" t="str">
        <f aca="false">IF(A101="","",IFERROR(INDEX(Projects!$B$5:$B$54,MATCH(A101,Projects!$A$5:$A$54,0)),"Unknown ID"))</f>
        <v/>
      </c>
      <c r="C101" s="29"/>
      <c r="D101" s="30"/>
      <c r="E101" s="26" t="str">
        <f aca="false">IF(D101="","","Q"&amp;ROUNDUP(MONTH(D101)/3,0))</f>
        <v/>
      </c>
      <c r="F101" s="29"/>
      <c r="G101" s="29"/>
      <c r="H101" s="29"/>
      <c r="I101" s="29"/>
    </row>
    <row r="102" customFormat="false" ht="15" hidden="false" customHeight="false" outlineLevel="0" collapsed="false">
      <c r="A102" s="29"/>
      <c r="B102" s="26" t="str">
        <f aca="false">IF(A102="","",IFERROR(INDEX(Projects!$B$5:$B$54,MATCH(A102,Projects!$A$5:$A$54,0)),"Unknown ID"))</f>
        <v/>
      </c>
      <c r="C102" s="29"/>
      <c r="D102" s="30"/>
      <c r="E102" s="26" t="str">
        <f aca="false">IF(D102="","","Q"&amp;ROUNDUP(MONTH(D102)/3,0))</f>
        <v/>
      </c>
      <c r="F102" s="29"/>
      <c r="G102" s="29"/>
      <c r="H102" s="29"/>
      <c r="I102" s="29"/>
    </row>
    <row r="103" customFormat="false" ht="15" hidden="false" customHeight="false" outlineLevel="0" collapsed="false">
      <c r="A103" s="29"/>
      <c r="B103" s="26" t="str">
        <f aca="false">IF(A103="","",IFERROR(INDEX(Projects!$B$5:$B$54,MATCH(A103,Projects!$A$5:$A$54,0)),"Unknown ID"))</f>
        <v/>
      </c>
      <c r="C103" s="29"/>
      <c r="D103" s="30"/>
      <c r="E103" s="26" t="str">
        <f aca="false">IF(D103="","","Q"&amp;ROUNDUP(MONTH(D103)/3,0))</f>
        <v/>
      </c>
      <c r="F103" s="29"/>
      <c r="G103" s="29"/>
      <c r="H103" s="29"/>
      <c r="I103" s="29"/>
    </row>
    <row r="104" customFormat="false" ht="15" hidden="false" customHeight="false" outlineLevel="0" collapsed="false">
      <c r="A104" s="29"/>
      <c r="B104" s="26" t="str">
        <f aca="false">IF(A104="","",IFERROR(INDEX(Projects!$B$5:$B$54,MATCH(A104,Projects!$A$5:$A$54,0)),"Unknown ID"))</f>
        <v/>
      </c>
      <c r="C104" s="29"/>
      <c r="D104" s="30"/>
      <c r="E104" s="26" t="str">
        <f aca="false">IF(D104="","","Q"&amp;ROUNDUP(MONTH(D104)/3,0))</f>
        <v/>
      </c>
      <c r="F104" s="29"/>
      <c r="G104" s="29"/>
      <c r="H104" s="29"/>
      <c r="I104" s="29"/>
    </row>
  </sheetData>
  <dataValidations count="3">
    <dataValidation allowBlank="true" errorStyle="stop" operator="between" showDropDown="false" showErrorMessage="false" showInputMessage="false" sqref="A5:A104" type="list">
      <formula1>Projects!$A$5:$A$54</formula1>
      <formula2>0</formula2>
    </dataValidation>
    <dataValidation allowBlank="true" errorStyle="stop" operator="between" showDropDown="false" showErrorMessage="false" showInputMessage="false" sqref="F5:F104" type="list">
      <formula1>Settings!$R$8:$R$19</formula1>
      <formula2>0</formula2>
    </dataValidation>
    <dataValidation allowBlank="true" errorStyle="stop" operator="between" showDropDown="false" showErrorMessage="false" showInputMessage="false" sqref="H5:H104" type="list">
      <formula1>Settings!$Q$8:$Q$19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44"/>
    <col collapsed="false" customWidth="true" hidden="false" outlineLevel="0" max="12" min="11" style="0" width="11"/>
  </cols>
  <sheetData>
    <row r="1" customFormat="false" ht="17.35" hidden="false" customHeight="false" outlineLevel="0" collapsed="false">
      <c r="A1" s="9" t="s">
        <v>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10" t="s">
        <v>216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0" hidden="false" customHeight="true" outlineLevel="0" collapsed="false">
      <c r="A4" s="17" t="s">
        <v>91</v>
      </c>
      <c r="B4" s="17" t="s">
        <v>137</v>
      </c>
      <c r="C4" s="17" t="s">
        <v>178</v>
      </c>
      <c r="D4" s="17" t="s">
        <v>217</v>
      </c>
      <c r="E4" s="17" t="s">
        <v>218</v>
      </c>
      <c r="F4" s="17" t="s">
        <v>219</v>
      </c>
      <c r="G4" s="17" t="s">
        <v>220</v>
      </c>
      <c r="H4" s="17" t="s">
        <v>221</v>
      </c>
      <c r="I4" s="17" t="s">
        <v>74</v>
      </c>
      <c r="J4" s="17" t="s">
        <v>222</v>
      </c>
      <c r="K4" s="17" t="s">
        <v>223</v>
      </c>
      <c r="L4" s="17" t="s">
        <v>67</v>
      </c>
    </row>
    <row r="5" customFormat="false" ht="15" hidden="false" customHeight="false" outlineLevel="0" collapsed="false">
      <c r="A5" s="29" t="s">
        <v>224</v>
      </c>
      <c r="B5" s="29" t="s">
        <v>225</v>
      </c>
      <c r="C5" s="29" t="s">
        <v>105</v>
      </c>
      <c r="D5" s="29" t="s">
        <v>226</v>
      </c>
      <c r="E5" s="29" t="n">
        <v>3</v>
      </c>
      <c r="F5" s="29" t="n">
        <v>4</v>
      </c>
      <c r="G5" s="26" t="n">
        <f aca="false">IF(OR(E5="",F5=""),"",E5*F5)</f>
        <v>12</v>
      </c>
      <c r="H5" s="26" t="str">
        <f aca="false">IF(G5="","",IF(G5&gt;=15,"High",IF(G5&gt;=8,"Medium","Low")))</f>
        <v>Medium</v>
      </c>
      <c r="I5" s="29" t="s">
        <v>80</v>
      </c>
      <c r="J5" s="29" t="s">
        <v>227</v>
      </c>
      <c r="K5" s="30" t="n">
        <v>46446</v>
      </c>
      <c r="L5" s="29" t="s">
        <v>228</v>
      </c>
    </row>
    <row r="6" customFormat="false" ht="15" hidden="false" customHeight="false" outlineLevel="0" collapsed="false">
      <c r="A6" s="29" t="s">
        <v>229</v>
      </c>
      <c r="B6" s="29" t="s">
        <v>230</v>
      </c>
      <c r="C6" s="29" t="s">
        <v>105</v>
      </c>
      <c r="D6" s="29" t="s">
        <v>231</v>
      </c>
      <c r="E6" s="29" t="n">
        <v>3</v>
      </c>
      <c r="F6" s="29" t="n">
        <v>4</v>
      </c>
      <c r="G6" s="26" t="n">
        <f aca="false">IF(OR(E6="",F6=""),"",E6*F6)</f>
        <v>12</v>
      </c>
      <c r="H6" s="26" t="str">
        <f aca="false">IF(G6="","",IF(G6&gt;=15,"High",IF(G6&gt;=8,"Medium","Low")))</f>
        <v>Medium</v>
      </c>
      <c r="I6" s="29" t="s">
        <v>80</v>
      </c>
      <c r="J6" s="29" t="s">
        <v>232</v>
      </c>
      <c r="K6" s="30" t="n">
        <v>46418</v>
      </c>
      <c r="L6" s="29" t="s">
        <v>228</v>
      </c>
    </row>
    <row r="7" customFormat="false" ht="15" hidden="false" customHeight="false" outlineLevel="0" collapsed="false">
      <c r="A7" s="29" t="s">
        <v>233</v>
      </c>
      <c r="B7" s="29" t="s">
        <v>234</v>
      </c>
      <c r="C7" s="29" t="s">
        <v>115</v>
      </c>
      <c r="D7" s="29" t="s">
        <v>235</v>
      </c>
      <c r="E7" s="29" t="n">
        <v>3</v>
      </c>
      <c r="F7" s="29" t="n">
        <v>3</v>
      </c>
      <c r="G7" s="26" t="n">
        <f aca="false">IF(OR(E7="",F7=""),"",E7*F7)</f>
        <v>9</v>
      </c>
      <c r="H7" s="26" t="str">
        <f aca="false">IF(G7="","",IF(G7&gt;=15,"High",IF(G7&gt;=8,"Medium","Low")))</f>
        <v>Medium</v>
      </c>
      <c r="I7" s="29" t="s">
        <v>110</v>
      </c>
      <c r="J7" s="29" t="s">
        <v>236</v>
      </c>
      <c r="K7" s="30" t="n">
        <v>46416</v>
      </c>
      <c r="L7" s="29" t="s">
        <v>228</v>
      </c>
    </row>
    <row r="8" customFormat="false" ht="15" hidden="false" customHeight="false" outlineLevel="0" collapsed="false">
      <c r="A8" s="29"/>
      <c r="B8" s="29"/>
      <c r="C8" s="29"/>
      <c r="D8" s="29"/>
      <c r="E8" s="29"/>
      <c r="F8" s="29"/>
      <c r="G8" s="26" t="str">
        <f aca="false">IF(OR(E8="",F8=""),"",E8*F8)</f>
        <v/>
      </c>
      <c r="H8" s="26" t="str">
        <f aca="false">IF(G8="","",IF(G8&gt;=15,"High",IF(G8&gt;=8,"Medium","Low")))</f>
        <v/>
      </c>
      <c r="I8" s="29"/>
      <c r="J8" s="29"/>
      <c r="K8" s="30"/>
      <c r="L8" s="29"/>
    </row>
    <row r="9" customFormat="false" ht="15" hidden="false" customHeight="false" outlineLevel="0" collapsed="false">
      <c r="A9" s="29"/>
      <c r="B9" s="29"/>
      <c r="C9" s="29"/>
      <c r="D9" s="29"/>
      <c r="E9" s="29"/>
      <c r="F9" s="29"/>
      <c r="G9" s="26" t="str">
        <f aca="false">IF(OR(E9="",F9=""),"",E9*F9)</f>
        <v/>
      </c>
      <c r="H9" s="26" t="str">
        <f aca="false">IF(G9="","",IF(G9&gt;=15,"High",IF(G9&gt;=8,"Medium","Low")))</f>
        <v/>
      </c>
      <c r="I9" s="29"/>
      <c r="J9" s="29"/>
      <c r="K9" s="30"/>
      <c r="L9" s="29"/>
    </row>
    <row r="10" customFormat="false" ht="15" hidden="false" customHeight="false" outlineLevel="0" collapsed="false">
      <c r="A10" s="29"/>
      <c r="B10" s="29"/>
      <c r="C10" s="29"/>
      <c r="D10" s="29"/>
      <c r="E10" s="29"/>
      <c r="F10" s="29"/>
      <c r="G10" s="26" t="str">
        <f aca="false">IF(OR(E10="",F10=""),"",E10*F10)</f>
        <v/>
      </c>
      <c r="H10" s="26" t="str">
        <f aca="false">IF(G10="","",IF(G10&gt;=15,"High",IF(G10&gt;=8,"Medium","Low")))</f>
        <v/>
      </c>
      <c r="I10" s="29"/>
      <c r="J10" s="29"/>
      <c r="K10" s="30"/>
      <c r="L10" s="29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6" t="str">
        <f aca="false">IF(OR(E11="",F11=""),"",E11*F11)</f>
        <v/>
      </c>
      <c r="H11" s="26" t="str">
        <f aca="false">IF(G11="","",IF(G11&gt;=15,"High",IF(G11&gt;=8,"Medium","Low")))</f>
        <v/>
      </c>
      <c r="I11" s="29"/>
      <c r="J11" s="29"/>
      <c r="K11" s="30"/>
      <c r="L11" s="29"/>
    </row>
    <row r="12" customFormat="false" ht="15" hidden="false" customHeight="false" outlineLevel="0" collapsed="false">
      <c r="A12" s="29"/>
      <c r="B12" s="29"/>
      <c r="C12" s="29"/>
      <c r="D12" s="29"/>
      <c r="E12" s="29"/>
      <c r="F12" s="29"/>
      <c r="G12" s="26" t="str">
        <f aca="false">IF(OR(E12="",F12=""),"",E12*F12)</f>
        <v/>
      </c>
      <c r="H12" s="26" t="str">
        <f aca="false">IF(G12="","",IF(G12&gt;=15,"High",IF(G12&gt;=8,"Medium","Low")))</f>
        <v/>
      </c>
      <c r="I12" s="29"/>
      <c r="J12" s="29"/>
      <c r="K12" s="30"/>
      <c r="L12" s="29"/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6" t="str">
        <f aca="false">IF(OR(E13="",F13=""),"",E13*F13)</f>
        <v/>
      </c>
      <c r="H13" s="26" t="str">
        <f aca="false">IF(G13="","",IF(G13&gt;=15,"High",IF(G13&gt;=8,"Medium","Low")))</f>
        <v/>
      </c>
      <c r="I13" s="29"/>
      <c r="J13" s="29"/>
      <c r="K13" s="30"/>
      <c r="L13" s="29"/>
    </row>
    <row r="14" customFormat="false" ht="15" hidden="false" customHeight="false" outlineLevel="0" collapsed="false">
      <c r="A14" s="29"/>
      <c r="B14" s="29"/>
      <c r="C14" s="29"/>
      <c r="D14" s="29"/>
      <c r="E14" s="29"/>
      <c r="F14" s="29"/>
      <c r="G14" s="26" t="str">
        <f aca="false">IF(OR(E14="",F14=""),"",E14*F14)</f>
        <v/>
      </c>
      <c r="H14" s="26" t="str">
        <f aca="false">IF(G14="","",IF(G14&gt;=15,"High",IF(G14&gt;=8,"Medium","Low")))</f>
        <v/>
      </c>
      <c r="I14" s="29"/>
      <c r="J14" s="29"/>
      <c r="K14" s="30"/>
      <c r="L14" s="29"/>
    </row>
    <row r="15" customFormat="false" ht="15" hidden="false" customHeight="false" outlineLevel="0" collapsed="false">
      <c r="A15" s="29"/>
      <c r="B15" s="29"/>
      <c r="C15" s="29"/>
      <c r="D15" s="29"/>
      <c r="E15" s="29"/>
      <c r="F15" s="29"/>
      <c r="G15" s="26" t="str">
        <f aca="false">IF(OR(E15="",F15=""),"",E15*F15)</f>
        <v/>
      </c>
      <c r="H15" s="26" t="str">
        <f aca="false">IF(G15="","",IF(G15&gt;=15,"High",IF(G15&gt;=8,"Medium","Low")))</f>
        <v/>
      </c>
      <c r="I15" s="29"/>
      <c r="J15" s="29"/>
      <c r="K15" s="30"/>
      <c r="L15" s="29"/>
    </row>
    <row r="16" customFormat="false" ht="15" hidden="false" customHeight="false" outlineLevel="0" collapsed="false">
      <c r="A16" s="29"/>
      <c r="B16" s="29"/>
      <c r="C16" s="29"/>
      <c r="D16" s="29"/>
      <c r="E16" s="29"/>
      <c r="F16" s="29"/>
      <c r="G16" s="26" t="str">
        <f aca="false">IF(OR(E16="",F16=""),"",E16*F16)</f>
        <v/>
      </c>
      <c r="H16" s="26" t="str">
        <f aca="false">IF(G16="","",IF(G16&gt;=15,"High",IF(G16&gt;=8,"Medium","Low")))</f>
        <v/>
      </c>
      <c r="I16" s="29"/>
      <c r="J16" s="29"/>
      <c r="K16" s="30"/>
      <c r="L16" s="29"/>
    </row>
    <row r="17" customFormat="false" ht="15" hidden="false" customHeight="false" outlineLevel="0" collapsed="false">
      <c r="A17" s="29"/>
      <c r="B17" s="29"/>
      <c r="C17" s="29"/>
      <c r="D17" s="29"/>
      <c r="E17" s="29"/>
      <c r="F17" s="29"/>
      <c r="G17" s="26" t="str">
        <f aca="false">IF(OR(E17="",F17=""),"",E17*F17)</f>
        <v/>
      </c>
      <c r="H17" s="26" t="str">
        <f aca="false">IF(G17="","",IF(G17&gt;=15,"High",IF(G17&gt;=8,"Medium","Low")))</f>
        <v/>
      </c>
      <c r="I17" s="29"/>
      <c r="J17" s="29"/>
      <c r="K17" s="30"/>
      <c r="L17" s="29"/>
    </row>
    <row r="18" customFormat="false" ht="15" hidden="false" customHeight="false" outlineLevel="0" collapsed="false">
      <c r="A18" s="29"/>
      <c r="B18" s="29"/>
      <c r="C18" s="29"/>
      <c r="D18" s="29"/>
      <c r="E18" s="29"/>
      <c r="F18" s="29"/>
      <c r="G18" s="26" t="str">
        <f aca="false">IF(OR(E18="",F18=""),"",E18*F18)</f>
        <v/>
      </c>
      <c r="H18" s="26" t="str">
        <f aca="false">IF(G18="","",IF(G18&gt;=15,"High",IF(G18&gt;=8,"Medium","Low")))</f>
        <v/>
      </c>
      <c r="I18" s="29"/>
      <c r="J18" s="29"/>
      <c r="K18" s="30"/>
      <c r="L18" s="29"/>
    </row>
    <row r="19" customFormat="false" ht="15" hidden="false" customHeight="false" outlineLevel="0" collapsed="false">
      <c r="A19" s="29"/>
      <c r="B19" s="29"/>
      <c r="C19" s="29"/>
      <c r="D19" s="29"/>
      <c r="E19" s="29"/>
      <c r="F19" s="29"/>
      <c r="G19" s="26" t="str">
        <f aca="false">IF(OR(E19="",F19=""),"",E19*F19)</f>
        <v/>
      </c>
      <c r="H19" s="26" t="str">
        <f aca="false">IF(G19="","",IF(G19&gt;=15,"High",IF(G19&gt;=8,"Medium","Low")))</f>
        <v/>
      </c>
      <c r="I19" s="29"/>
      <c r="J19" s="29"/>
      <c r="K19" s="30"/>
      <c r="L19" s="29"/>
    </row>
    <row r="20" customFormat="false" ht="15" hidden="false" customHeight="false" outlineLevel="0" collapsed="false">
      <c r="A20" s="29"/>
      <c r="B20" s="29"/>
      <c r="C20" s="29"/>
      <c r="D20" s="29"/>
      <c r="E20" s="29"/>
      <c r="F20" s="29"/>
      <c r="G20" s="26" t="str">
        <f aca="false">IF(OR(E20="",F20=""),"",E20*F20)</f>
        <v/>
      </c>
      <c r="H20" s="26" t="str">
        <f aca="false">IF(G20="","",IF(G20&gt;=15,"High",IF(G20&gt;=8,"Medium","Low")))</f>
        <v/>
      </c>
      <c r="I20" s="29"/>
      <c r="J20" s="29"/>
      <c r="K20" s="30"/>
      <c r="L20" s="29"/>
    </row>
    <row r="21" customFormat="false" ht="15" hidden="false" customHeight="false" outlineLevel="0" collapsed="false">
      <c r="A21" s="29"/>
      <c r="B21" s="29"/>
      <c r="C21" s="29"/>
      <c r="D21" s="29"/>
      <c r="E21" s="29"/>
      <c r="F21" s="29"/>
      <c r="G21" s="26" t="str">
        <f aca="false">IF(OR(E21="",F21=""),"",E21*F21)</f>
        <v/>
      </c>
      <c r="H21" s="26" t="str">
        <f aca="false">IF(G21="","",IF(G21&gt;=15,"High",IF(G21&gt;=8,"Medium","Low")))</f>
        <v/>
      </c>
      <c r="I21" s="29"/>
      <c r="J21" s="29"/>
      <c r="K21" s="30"/>
      <c r="L21" s="29"/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  <c r="G22" s="26" t="str">
        <f aca="false">IF(OR(E22="",F22=""),"",E22*F22)</f>
        <v/>
      </c>
      <c r="H22" s="26" t="str">
        <f aca="false">IF(G22="","",IF(G22&gt;=15,"High",IF(G22&gt;=8,"Medium","Low")))</f>
        <v/>
      </c>
      <c r="I22" s="29"/>
      <c r="J22" s="29"/>
      <c r="K22" s="30"/>
      <c r="L22" s="29"/>
    </row>
    <row r="23" customFormat="false" ht="15" hidden="false" customHeight="false" outlineLevel="0" collapsed="false">
      <c r="A23" s="29"/>
      <c r="B23" s="29"/>
      <c r="C23" s="29"/>
      <c r="D23" s="29"/>
      <c r="E23" s="29"/>
      <c r="F23" s="29"/>
      <c r="G23" s="26" t="str">
        <f aca="false">IF(OR(E23="",F23=""),"",E23*F23)</f>
        <v/>
      </c>
      <c r="H23" s="26" t="str">
        <f aca="false">IF(G23="","",IF(G23&gt;=15,"High",IF(G23&gt;=8,"Medium","Low")))</f>
        <v/>
      </c>
      <c r="I23" s="29"/>
      <c r="J23" s="29"/>
      <c r="K23" s="30"/>
      <c r="L23" s="29"/>
    </row>
    <row r="24" customFormat="false" ht="15" hidden="false" customHeight="false" outlineLevel="0" collapsed="false">
      <c r="A24" s="29"/>
      <c r="B24" s="29"/>
      <c r="C24" s="29"/>
      <c r="D24" s="29"/>
      <c r="E24" s="29"/>
      <c r="F24" s="29"/>
      <c r="G24" s="26" t="str">
        <f aca="false">IF(OR(E24="",F24=""),"",E24*F24)</f>
        <v/>
      </c>
      <c r="H24" s="26" t="str">
        <f aca="false">IF(G24="","",IF(G24&gt;=15,"High",IF(G24&gt;=8,"Medium","Low")))</f>
        <v/>
      </c>
      <c r="I24" s="29"/>
      <c r="J24" s="29"/>
      <c r="K24" s="30"/>
      <c r="L24" s="29"/>
    </row>
    <row r="25" customFormat="false" ht="15" hidden="false" customHeight="false" outlineLevel="0" collapsed="false">
      <c r="A25" s="29"/>
      <c r="B25" s="29"/>
      <c r="C25" s="29"/>
      <c r="D25" s="29"/>
      <c r="E25" s="29"/>
      <c r="F25" s="29"/>
      <c r="G25" s="26" t="str">
        <f aca="false">IF(OR(E25="",F25=""),"",E25*F25)</f>
        <v/>
      </c>
      <c r="H25" s="26" t="str">
        <f aca="false">IF(G25="","",IF(G25&gt;=15,"High",IF(G25&gt;=8,"Medium","Low")))</f>
        <v/>
      </c>
      <c r="I25" s="29"/>
      <c r="J25" s="29"/>
      <c r="K25" s="30"/>
      <c r="L25" s="29"/>
    </row>
    <row r="26" customFormat="false" ht="15" hidden="false" customHeight="false" outlineLevel="0" collapsed="false">
      <c r="A26" s="29"/>
      <c r="B26" s="29"/>
      <c r="C26" s="29"/>
      <c r="D26" s="29"/>
      <c r="E26" s="29"/>
      <c r="F26" s="29"/>
      <c r="G26" s="26" t="str">
        <f aca="false">IF(OR(E26="",F26=""),"",E26*F26)</f>
        <v/>
      </c>
      <c r="H26" s="26" t="str">
        <f aca="false">IF(G26="","",IF(G26&gt;=15,"High",IF(G26&gt;=8,"Medium","Low")))</f>
        <v/>
      </c>
      <c r="I26" s="29"/>
      <c r="J26" s="29"/>
      <c r="K26" s="30"/>
      <c r="L26" s="29"/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26" t="str">
        <f aca="false">IF(OR(E27="",F27=""),"",E27*F27)</f>
        <v/>
      </c>
      <c r="H27" s="26" t="str">
        <f aca="false">IF(G27="","",IF(G27&gt;=15,"High",IF(G27&gt;=8,"Medium","Low")))</f>
        <v/>
      </c>
      <c r="I27" s="29"/>
      <c r="J27" s="29"/>
      <c r="K27" s="30"/>
      <c r="L27" s="29"/>
    </row>
    <row r="28" customFormat="false" ht="15" hidden="false" customHeight="false" outlineLevel="0" collapsed="false">
      <c r="A28" s="29"/>
      <c r="B28" s="29"/>
      <c r="C28" s="29"/>
      <c r="D28" s="29"/>
      <c r="E28" s="29"/>
      <c r="F28" s="29"/>
      <c r="G28" s="26" t="str">
        <f aca="false">IF(OR(E28="",F28=""),"",E28*F28)</f>
        <v/>
      </c>
      <c r="H28" s="26" t="str">
        <f aca="false">IF(G28="","",IF(G28&gt;=15,"High",IF(G28&gt;=8,"Medium","Low")))</f>
        <v/>
      </c>
      <c r="I28" s="29"/>
      <c r="J28" s="29"/>
      <c r="K28" s="30"/>
      <c r="L28" s="29"/>
    </row>
    <row r="29" customFormat="false" ht="15" hidden="false" customHeight="false" outlineLevel="0" collapsed="false">
      <c r="A29" s="29"/>
      <c r="B29" s="29"/>
      <c r="C29" s="29"/>
      <c r="D29" s="29"/>
      <c r="E29" s="29"/>
      <c r="F29" s="29"/>
      <c r="G29" s="26" t="str">
        <f aca="false">IF(OR(E29="",F29=""),"",E29*F29)</f>
        <v/>
      </c>
      <c r="H29" s="26" t="str">
        <f aca="false">IF(G29="","",IF(G29&gt;=15,"High",IF(G29&gt;=8,"Medium","Low")))</f>
        <v/>
      </c>
      <c r="I29" s="29"/>
      <c r="J29" s="29"/>
      <c r="K29" s="30"/>
      <c r="L29" s="29"/>
    </row>
    <row r="30" customFormat="false" ht="15" hidden="false" customHeight="false" outlineLevel="0" collapsed="false">
      <c r="A30" s="29"/>
      <c r="B30" s="29"/>
      <c r="C30" s="29"/>
      <c r="D30" s="29"/>
      <c r="E30" s="29"/>
      <c r="F30" s="29"/>
      <c r="G30" s="26" t="str">
        <f aca="false">IF(OR(E30="",F30=""),"",E30*F30)</f>
        <v/>
      </c>
      <c r="H30" s="26" t="str">
        <f aca="false">IF(G30="","",IF(G30&gt;=15,"High",IF(G30&gt;=8,"Medium","Low")))</f>
        <v/>
      </c>
      <c r="I30" s="29"/>
      <c r="J30" s="29"/>
      <c r="K30" s="30"/>
      <c r="L30" s="29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26" t="str">
        <f aca="false">IF(OR(E31="",F31=""),"",E31*F31)</f>
        <v/>
      </c>
      <c r="H31" s="26" t="str">
        <f aca="false">IF(G31="","",IF(G31&gt;=15,"High",IF(G31&gt;=8,"Medium","Low")))</f>
        <v/>
      </c>
      <c r="I31" s="29"/>
      <c r="J31" s="29"/>
      <c r="K31" s="30"/>
      <c r="L31" s="29"/>
    </row>
    <row r="32" customFormat="false" ht="15" hidden="false" customHeight="false" outlineLevel="0" collapsed="false">
      <c r="A32" s="29"/>
      <c r="B32" s="29"/>
      <c r="C32" s="29"/>
      <c r="D32" s="29"/>
      <c r="E32" s="29"/>
      <c r="F32" s="29"/>
      <c r="G32" s="26" t="str">
        <f aca="false">IF(OR(E32="",F32=""),"",E32*F32)</f>
        <v/>
      </c>
      <c r="H32" s="26" t="str">
        <f aca="false">IF(G32="","",IF(G32&gt;=15,"High",IF(G32&gt;=8,"Medium","Low")))</f>
        <v/>
      </c>
      <c r="I32" s="29"/>
      <c r="J32" s="29"/>
      <c r="K32" s="30"/>
      <c r="L32" s="29"/>
    </row>
    <row r="33" customFormat="false" ht="15" hidden="false" customHeight="false" outlineLevel="0" collapsed="false">
      <c r="A33" s="29"/>
      <c r="B33" s="29"/>
      <c r="C33" s="29"/>
      <c r="D33" s="29"/>
      <c r="E33" s="29"/>
      <c r="F33" s="29"/>
      <c r="G33" s="26" t="str">
        <f aca="false">IF(OR(E33="",F33=""),"",E33*F33)</f>
        <v/>
      </c>
      <c r="H33" s="26" t="str">
        <f aca="false">IF(G33="","",IF(G33&gt;=15,"High",IF(G33&gt;=8,"Medium","Low")))</f>
        <v/>
      </c>
      <c r="I33" s="29"/>
      <c r="J33" s="29"/>
      <c r="K33" s="30"/>
      <c r="L33" s="29"/>
    </row>
    <row r="34" customFormat="false" ht="15" hidden="false" customHeight="false" outlineLevel="0" collapsed="false">
      <c r="A34" s="29"/>
      <c r="B34" s="29"/>
      <c r="C34" s="29"/>
      <c r="D34" s="29"/>
      <c r="E34" s="29"/>
      <c r="F34" s="29"/>
      <c r="G34" s="26" t="str">
        <f aca="false">IF(OR(E34="",F34=""),"",E34*F34)</f>
        <v/>
      </c>
      <c r="H34" s="26" t="str">
        <f aca="false">IF(G34="","",IF(G34&gt;=15,"High",IF(G34&gt;=8,"Medium","Low")))</f>
        <v/>
      </c>
      <c r="I34" s="29"/>
      <c r="J34" s="29"/>
      <c r="K34" s="30"/>
      <c r="L34" s="29"/>
    </row>
    <row r="35" customFormat="false" ht="15" hidden="false" customHeight="false" outlineLevel="0" collapsed="false">
      <c r="A35" s="29"/>
      <c r="B35" s="29"/>
      <c r="C35" s="29"/>
      <c r="D35" s="29"/>
      <c r="E35" s="29"/>
      <c r="F35" s="29"/>
      <c r="G35" s="26" t="str">
        <f aca="false">IF(OR(E35="",F35=""),"",E35*F35)</f>
        <v/>
      </c>
      <c r="H35" s="26" t="str">
        <f aca="false">IF(G35="","",IF(G35&gt;=15,"High",IF(G35&gt;=8,"Medium","Low")))</f>
        <v/>
      </c>
      <c r="I35" s="29"/>
      <c r="J35" s="29"/>
      <c r="K35" s="30"/>
      <c r="L35" s="29"/>
    </row>
    <row r="36" customFormat="false" ht="15" hidden="false" customHeight="false" outlineLevel="0" collapsed="false">
      <c r="A36" s="29"/>
      <c r="B36" s="29"/>
      <c r="C36" s="29"/>
      <c r="D36" s="29"/>
      <c r="E36" s="29"/>
      <c r="F36" s="29"/>
      <c r="G36" s="26" t="str">
        <f aca="false">IF(OR(E36="",F36=""),"",E36*F36)</f>
        <v/>
      </c>
      <c r="H36" s="26" t="str">
        <f aca="false">IF(G36="","",IF(G36&gt;=15,"High",IF(G36&gt;=8,"Medium","Low")))</f>
        <v/>
      </c>
      <c r="I36" s="29"/>
      <c r="J36" s="29"/>
      <c r="K36" s="30"/>
      <c r="L36" s="29"/>
    </row>
    <row r="37" customFormat="false" ht="15" hidden="false" customHeight="false" outlineLevel="0" collapsed="false">
      <c r="A37" s="29"/>
      <c r="B37" s="29"/>
      <c r="C37" s="29"/>
      <c r="D37" s="29"/>
      <c r="E37" s="29"/>
      <c r="F37" s="29"/>
      <c r="G37" s="26" t="str">
        <f aca="false">IF(OR(E37="",F37=""),"",E37*F37)</f>
        <v/>
      </c>
      <c r="H37" s="26" t="str">
        <f aca="false">IF(G37="","",IF(G37&gt;=15,"High",IF(G37&gt;=8,"Medium","Low")))</f>
        <v/>
      </c>
      <c r="I37" s="29"/>
      <c r="J37" s="29"/>
      <c r="K37" s="30"/>
      <c r="L37" s="29"/>
    </row>
    <row r="38" customFormat="false" ht="15" hidden="false" customHeight="false" outlineLevel="0" collapsed="false">
      <c r="A38" s="29"/>
      <c r="B38" s="29"/>
      <c r="C38" s="29"/>
      <c r="D38" s="29"/>
      <c r="E38" s="29"/>
      <c r="F38" s="29"/>
      <c r="G38" s="26" t="str">
        <f aca="false">IF(OR(E38="",F38=""),"",E38*F38)</f>
        <v/>
      </c>
      <c r="H38" s="26" t="str">
        <f aca="false">IF(G38="","",IF(G38&gt;=15,"High",IF(G38&gt;=8,"Medium","Low")))</f>
        <v/>
      </c>
      <c r="I38" s="29"/>
      <c r="J38" s="29"/>
      <c r="K38" s="30"/>
      <c r="L38" s="29"/>
    </row>
    <row r="39" customFormat="false" ht="15" hidden="false" customHeight="false" outlineLevel="0" collapsed="false">
      <c r="A39" s="29"/>
      <c r="B39" s="29"/>
      <c r="C39" s="29"/>
      <c r="D39" s="29"/>
      <c r="E39" s="29"/>
      <c r="F39" s="29"/>
      <c r="G39" s="26" t="str">
        <f aca="false">IF(OR(E39="",F39=""),"",E39*F39)</f>
        <v/>
      </c>
      <c r="H39" s="26" t="str">
        <f aca="false">IF(G39="","",IF(G39&gt;=15,"High",IF(G39&gt;=8,"Medium","Low")))</f>
        <v/>
      </c>
      <c r="I39" s="29"/>
      <c r="J39" s="29"/>
      <c r="K39" s="30"/>
      <c r="L39" s="29"/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29"/>
      <c r="G40" s="26" t="str">
        <f aca="false">IF(OR(E40="",F40=""),"",E40*F40)</f>
        <v/>
      </c>
      <c r="H40" s="26" t="str">
        <f aca="false">IF(G40="","",IF(G40&gt;=15,"High",IF(G40&gt;=8,"Medium","Low")))</f>
        <v/>
      </c>
      <c r="I40" s="29"/>
      <c r="J40" s="29"/>
      <c r="K40" s="30"/>
      <c r="L40" s="29"/>
    </row>
    <row r="41" customFormat="false" ht="15" hidden="false" customHeight="false" outlineLevel="0" collapsed="false">
      <c r="A41" s="29"/>
      <c r="B41" s="29"/>
      <c r="C41" s="29"/>
      <c r="D41" s="29"/>
      <c r="E41" s="29"/>
      <c r="F41" s="29"/>
      <c r="G41" s="26" t="str">
        <f aca="false">IF(OR(E41="",F41=""),"",E41*F41)</f>
        <v/>
      </c>
      <c r="H41" s="26" t="str">
        <f aca="false">IF(G41="","",IF(G41&gt;=15,"High",IF(G41&gt;=8,"Medium","Low")))</f>
        <v/>
      </c>
      <c r="I41" s="29"/>
      <c r="J41" s="29"/>
      <c r="K41" s="30"/>
      <c r="L41" s="29"/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29"/>
      <c r="G42" s="26" t="str">
        <f aca="false">IF(OR(E42="",F42=""),"",E42*F42)</f>
        <v/>
      </c>
      <c r="H42" s="26" t="str">
        <f aca="false">IF(G42="","",IF(G42&gt;=15,"High",IF(G42&gt;=8,"Medium","Low")))</f>
        <v/>
      </c>
      <c r="I42" s="29"/>
      <c r="J42" s="29"/>
      <c r="K42" s="30"/>
      <c r="L42" s="29"/>
    </row>
    <row r="43" customFormat="false" ht="15" hidden="false" customHeight="false" outlineLevel="0" collapsed="false">
      <c r="A43" s="29"/>
      <c r="B43" s="29"/>
      <c r="C43" s="29"/>
      <c r="D43" s="29"/>
      <c r="E43" s="29"/>
      <c r="F43" s="29"/>
      <c r="G43" s="26" t="str">
        <f aca="false">IF(OR(E43="",F43=""),"",E43*F43)</f>
        <v/>
      </c>
      <c r="H43" s="26" t="str">
        <f aca="false">IF(G43="","",IF(G43&gt;=15,"High",IF(G43&gt;=8,"Medium","Low")))</f>
        <v/>
      </c>
      <c r="I43" s="29"/>
      <c r="J43" s="29"/>
      <c r="K43" s="30"/>
      <c r="L43" s="29"/>
    </row>
    <row r="44" customFormat="false" ht="15" hidden="false" customHeight="false" outlineLevel="0" collapsed="false">
      <c r="A44" s="29"/>
      <c r="B44" s="29"/>
      <c r="C44" s="29"/>
      <c r="D44" s="29"/>
      <c r="E44" s="29"/>
      <c r="F44" s="29"/>
      <c r="G44" s="26" t="str">
        <f aca="false">IF(OR(E44="",F44=""),"",E44*F44)</f>
        <v/>
      </c>
      <c r="H44" s="26" t="str">
        <f aca="false">IF(G44="","",IF(G44&gt;=15,"High",IF(G44&gt;=8,"Medium","Low")))</f>
        <v/>
      </c>
      <c r="I44" s="29"/>
      <c r="J44" s="29"/>
      <c r="K44" s="30"/>
      <c r="L44" s="29"/>
    </row>
    <row r="45" customFormat="false" ht="15" hidden="false" customHeight="false" outlineLevel="0" collapsed="false">
      <c r="A45" s="29"/>
      <c r="B45" s="29"/>
      <c r="C45" s="29"/>
      <c r="D45" s="29"/>
      <c r="E45" s="29"/>
      <c r="F45" s="29"/>
      <c r="G45" s="26" t="str">
        <f aca="false">IF(OR(E45="",F45=""),"",E45*F45)</f>
        <v/>
      </c>
      <c r="H45" s="26" t="str">
        <f aca="false">IF(G45="","",IF(G45&gt;=15,"High",IF(G45&gt;=8,"Medium","Low")))</f>
        <v/>
      </c>
      <c r="I45" s="29"/>
      <c r="J45" s="29"/>
      <c r="K45" s="30"/>
      <c r="L45" s="29"/>
    </row>
    <row r="46" customFormat="false" ht="15" hidden="false" customHeight="false" outlineLevel="0" collapsed="false">
      <c r="A46" s="29"/>
      <c r="B46" s="29"/>
      <c r="C46" s="29"/>
      <c r="D46" s="29"/>
      <c r="E46" s="29"/>
      <c r="F46" s="29"/>
      <c r="G46" s="26" t="str">
        <f aca="false">IF(OR(E46="",F46=""),"",E46*F46)</f>
        <v/>
      </c>
      <c r="H46" s="26" t="str">
        <f aca="false">IF(G46="","",IF(G46&gt;=15,"High",IF(G46&gt;=8,"Medium","Low")))</f>
        <v/>
      </c>
      <c r="I46" s="29"/>
      <c r="J46" s="29"/>
      <c r="K46" s="30"/>
      <c r="L46" s="29"/>
    </row>
    <row r="47" customFormat="false" ht="15" hidden="false" customHeight="false" outlineLevel="0" collapsed="false">
      <c r="A47" s="29"/>
      <c r="B47" s="29"/>
      <c r="C47" s="29"/>
      <c r="D47" s="29"/>
      <c r="E47" s="29"/>
      <c r="F47" s="29"/>
      <c r="G47" s="26" t="str">
        <f aca="false">IF(OR(E47="",F47=""),"",E47*F47)</f>
        <v/>
      </c>
      <c r="H47" s="26" t="str">
        <f aca="false">IF(G47="","",IF(G47&gt;=15,"High",IF(G47&gt;=8,"Medium","Low")))</f>
        <v/>
      </c>
      <c r="I47" s="29"/>
      <c r="J47" s="29"/>
      <c r="K47" s="30"/>
      <c r="L47" s="29"/>
    </row>
    <row r="48" customFormat="false" ht="15" hidden="false" customHeight="false" outlineLevel="0" collapsed="false">
      <c r="A48" s="29"/>
      <c r="B48" s="29"/>
      <c r="C48" s="29"/>
      <c r="D48" s="29"/>
      <c r="E48" s="29"/>
      <c r="F48" s="29"/>
      <c r="G48" s="26" t="str">
        <f aca="false">IF(OR(E48="",F48=""),"",E48*F48)</f>
        <v/>
      </c>
      <c r="H48" s="26" t="str">
        <f aca="false">IF(G48="","",IF(G48&gt;=15,"High",IF(G48&gt;=8,"Medium","Low")))</f>
        <v/>
      </c>
      <c r="I48" s="29"/>
      <c r="J48" s="29"/>
      <c r="K48" s="30"/>
      <c r="L48" s="29"/>
    </row>
    <row r="49" customFormat="false" ht="15" hidden="false" customHeight="false" outlineLevel="0" collapsed="false">
      <c r="A49" s="29"/>
      <c r="B49" s="29"/>
      <c r="C49" s="29"/>
      <c r="D49" s="29"/>
      <c r="E49" s="29"/>
      <c r="F49" s="29"/>
      <c r="G49" s="26" t="str">
        <f aca="false">IF(OR(E49="",F49=""),"",E49*F49)</f>
        <v/>
      </c>
      <c r="H49" s="26" t="str">
        <f aca="false">IF(G49="","",IF(G49&gt;=15,"High",IF(G49&gt;=8,"Medium","Low")))</f>
        <v/>
      </c>
      <c r="I49" s="29"/>
      <c r="J49" s="29"/>
      <c r="K49" s="30"/>
      <c r="L49" s="29"/>
    </row>
    <row r="50" customFormat="false" ht="15" hidden="false" customHeight="false" outlineLevel="0" collapsed="false">
      <c r="A50" s="29"/>
      <c r="B50" s="29"/>
      <c r="C50" s="29"/>
      <c r="D50" s="29"/>
      <c r="E50" s="29"/>
      <c r="F50" s="29"/>
      <c r="G50" s="26" t="str">
        <f aca="false">IF(OR(E50="",F50=""),"",E50*F50)</f>
        <v/>
      </c>
      <c r="H50" s="26" t="str">
        <f aca="false">IF(G50="","",IF(G50&gt;=15,"High",IF(G50&gt;=8,"Medium","Low")))</f>
        <v/>
      </c>
      <c r="I50" s="29"/>
      <c r="J50" s="29"/>
      <c r="K50" s="30"/>
      <c r="L50" s="29"/>
    </row>
    <row r="51" customFormat="false" ht="15" hidden="false" customHeight="false" outlineLevel="0" collapsed="false">
      <c r="A51" s="29"/>
      <c r="B51" s="29"/>
      <c r="C51" s="29"/>
      <c r="D51" s="29"/>
      <c r="E51" s="29"/>
      <c r="F51" s="29"/>
      <c r="G51" s="26" t="str">
        <f aca="false">IF(OR(E51="",F51=""),"",E51*F51)</f>
        <v/>
      </c>
      <c r="H51" s="26" t="str">
        <f aca="false">IF(G51="","",IF(G51&gt;=15,"High",IF(G51&gt;=8,"Medium","Low")))</f>
        <v/>
      </c>
      <c r="I51" s="29"/>
      <c r="J51" s="29"/>
      <c r="K51" s="30"/>
      <c r="L51" s="29"/>
    </row>
    <row r="52" customFormat="false" ht="15" hidden="false" customHeight="false" outlineLevel="0" collapsed="false">
      <c r="A52" s="29"/>
      <c r="B52" s="29"/>
      <c r="C52" s="29"/>
      <c r="D52" s="29"/>
      <c r="E52" s="29"/>
      <c r="F52" s="29"/>
      <c r="G52" s="26" t="str">
        <f aca="false">IF(OR(E52="",F52=""),"",E52*F52)</f>
        <v/>
      </c>
      <c r="H52" s="26" t="str">
        <f aca="false">IF(G52="","",IF(G52&gt;=15,"High",IF(G52&gt;=8,"Medium","Low")))</f>
        <v/>
      </c>
      <c r="I52" s="29"/>
      <c r="J52" s="29"/>
      <c r="K52" s="30"/>
      <c r="L52" s="29"/>
    </row>
    <row r="53" customFormat="false" ht="15" hidden="false" customHeight="false" outlineLevel="0" collapsed="false">
      <c r="A53" s="29"/>
      <c r="B53" s="29"/>
      <c r="C53" s="29"/>
      <c r="D53" s="29"/>
      <c r="E53" s="29"/>
      <c r="F53" s="29"/>
      <c r="G53" s="26" t="str">
        <f aca="false">IF(OR(E53="",F53=""),"",E53*F53)</f>
        <v/>
      </c>
      <c r="H53" s="26" t="str">
        <f aca="false">IF(G53="","",IF(G53&gt;=15,"High",IF(G53&gt;=8,"Medium","Low")))</f>
        <v/>
      </c>
      <c r="I53" s="29"/>
      <c r="J53" s="29"/>
      <c r="K53" s="30"/>
      <c r="L53" s="29"/>
    </row>
    <row r="54" customFormat="false" ht="15" hidden="false" customHeight="false" outlineLevel="0" collapsed="false">
      <c r="A54" s="29"/>
      <c r="B54" s="29"/>
      <c r="C54" s="29"/>
      <c r="D54" s="29"/>
      <c r="E54" s="29"/>
      <c r="F54" s="29"/>
      <c r="G54" s="26" t="str">
        <f aca="false">IF(OR(E54="",F54=""),"",E54*F54)</f>
        <v/>
      </c>
      <c r="H54" s="26" t="str">
        <f aca="false">IF(G54="","",IF(G54&gt;=15,"High",IF(G54&gt;=8,"Medium","Low")))</f>
        <v/>
      </c>
      <c r="I54" s="29"/>
      <c r="J54" s="29"/>
      <c r="K54" s="30"/>
      <c r="L54" s="29"/>
    </row>
    <row r="55" customFormat="false" ht="15" hidden="false" customHeight="false" outlineLevel="0" collapsed="false">
      <c r="A55" s="29"/>
      <c r="B55" s="29"/>
      <c r="C55" s="29"/>
      <c r="D55" s="29"/>
      <c r="E55" s="29"/>
      <c r="F55" s="29"/>
      <c r="G55" s="26" t="str">
        <f aca="false">IF(OR(E55="",F55=""),"",E55*F55)</f>
        <v/>
      </c>
      <c r="H55" s="26" t="str">
        <f aca="false">IF(G55="","",IF(G55&gt;=15,"High",IF(G55&gt;=8,"Medium","Low")))</f>
        <v/>
      </c>
      <c r="I55" s="29"/>
      <c r="J55" s="29"/>
      <c r="K55" s="30"/>
      <c r="L55" s="29"/>
    </row>
    <row r="56" customFormat="false" ht="15" hidden="false" customHeight="false" outlineLevel="0" collapsed="false">
      <c r="A56" s="29"/>
      <c r="B56" s="29"/>
      <c r="C56" s="29"/>
      <c r="D56" s="29"/>
      <c r="E56" s="29"/>
      <c r="F56" s="29"/>
      <c r="G56" s="26" t="str">
        <f aca="false">IF(OR(E56="",F56=""),"",E56*F56)</f>
        <v/>
      </c>
      <c r="H56" s="26" t="str">
        <f aca="false">IF(G56="","",IF(G56&gt;=15,"High",IF(G56&gt;=8,"Medium","Low")))</f>
        <v/>
      </c>
      <c r="I56" s="29"/>
      <c r="J56" s="29"/>
      <c r="K56" s="30"/>
      <c r="L56" s="29"/>
    </row>
    <row r="57" customFormat="false" ht="15" hidden="false" customHeight="false" outlineLevel="0" collapsed="false">
      <c r="A57" s="29"/>
      <c r="B57" s="29"/>
      <c r="C57" s="29"/>
      <c r="D57" s="29"/>
      <c r="E57" s="29"/>
      <c r="F57" s="29"/>
      <c r="G57" s="26" t="str">
        <f aca="false">IF(OR(E57="",F57=""),"",E57*F57)</f>
        <v/>
      </c>
      <c r="H57" s="26" t="str">
        <f aca="false">IF(G57="","",IF(G57&gt;=15,"High",IF(G57&gt;=8,"Medium","Low")))</f>
        <v/>
      </c>
      <c r="I57" s="29"/>
      <c r="J57" s="29"/>
      <c r="K57" s="30"/>
      <c r="L57" s="29"/>
    </row>
    <row r="58" customFormat="false" ht="15" hidden="false" customHeight="false" outlineLevel="0" collapsed="false">
      <c r="A58" s="29"/>
      <c r="B58" s="29"/>
      <c r="C58" s="29"/>
      <c r="D58" s="29"/>
      <c r="E58" s="29"/>
      <c r="F58" s="29"/>
      <c r="G58" s="26" t="str">
        <f aca="false">IF(OR(E58="",F58=""),"",E58*F58)</f>
        <v/>
      </c>
      <c r="H58" s="26" t="str">
        <f aca="false">IF(G58="","",IF(G58&gt;=15,"High",IF(G58&gt;=8,"Medium","Low")))</f>
        <v/>
      </c>
      <c r="I58" s="29"/>
      <c r="J58" s="29"/>
      <c r="K58" s="30"/>
      <c r="L58" s="29"/>
    </row>
    <row r="59" customFormat="false" ht="15" hidden="false" customHeight="false" outlineLevel="0" collapsed="false">
      <c r="A59" s="29"/>
      <c r="B59" s="29"/>
      <c r="C59" s="29"/>
      <c r="D59" s="29"/>
      <c r="E59" s="29"/>
      <c r="F59" s="29"/>
      <c r="G59" s="26" t="str">
        <f aca="false">IF(OR(E59="",F59=""),"",E59*F59)</f>
        <v/>
      </c>
      <c r="H59" s="26" t="str">
        <f aca="false">IF(G59="","",IF(G59&gt;=15,"High",IF(G59&gt;=8,"Medium","Low")))</f>
        <v/>
      </c>
      <c r="I59" s="29"/>
      <c r="J59" s="29"/>
      <c r="K59" s="30"/>
      <c r="L59" s="29"/>
    </row>
    <row r="60" customFormat="false" ht="15" hidden="false" customHeight="false" outlineLevel="0" collapsed="false">
      <c r="A60" s="29"/>
      <c r="B60" s="29"/>
      <c r="C60" s="29"/>
      <c r="D60" s="29"/>
      <c r="E60" s="29"/>
      <c r="F60" s="29"/>
      <c r="G60" s="26" t="str">
        <f aca="false">IF(OR(E60="",F60=""),"",E60*F60)</f>
        <v/>
      </c>
      <c r="H60" s="26" t="str">
        <f aca="false">IF(G60="","",IF(G60&gt;=15,"High",IF(G60&gt;=8,"Medium","Low")))</f>
        <v/>
      </c>
      <c r="I60" s="29"/>
      <c r="J60" s="29"/>
      <c r="K60" s="30"/>
      <c r="L60" s="29"/>
    </row>
    <row r="61" customFormat="false" ht="15" hidden="false" customHeight="false" outlineLevel="0" collapsed="false">
      <c r="A61" s="29"/>
      <c r="B61" s="29"/>
      <c r="C61" s="29"/>
      <c r="D61" s="29"/>
      <c r="E61" s="29"/>
      <c r="F61" s="29"/>
      <c r="G61" s="26" t="str">
        <f aca="false">IF(OR(E61="",F61=""),"",E61*F61)</f>
        <v/>
      </c>
      <c r="H61" s="26" t="str">
        <f aca="false">IF(G61="","",IF(G61&gt;=15,"High",IF(G61&gt;=8,"Medium","Low")))</f>
        <v/>
      </c>
      <c r="I61" s="29"/>
      <c r="J61" s="29"/>
      <c r="K61" s="30"/>
      <c r="L61" s="29"/>
    </row>
    <row r="62" customFormat="false" ht="15" hidden="false" customHeight="false" outlineLevel="0" collapsed="false">
      <c r="A62" s="29"/>
      <c r="B62" s="29"/>
      <c r="C62" s="29"/>
      <c r="D62" s="29"/>
      <c r="E62" s="29"/>
      <c r="F62" s="29"/>
      <c r="G62" s="26" t="str">
        <f aca="false">IF(OR(E62="",F62=""),"",E62*F62)</f>
        <v/>
      </c>
      <c r="H62" s="26" t="str">
        <f aca="false">IF(G62="","",IF(G62&gt;=15,"High",IF(G62&gt;=8,"Medium","Low")))</f>
        <v/>
      </c>
      <c r="I62" s="29"/>
      <c r="J62" s="29"/>
      <c r="K62" s="30"/>
      <c r="L62" s="29"/>
    </row>
    <row r="63" customFormat="false" ht="15" hidden="false" customHeight="false" outlineLevel="0" collapsed="false">
      <c r="A63" s="29"/>
      <c r="B63" s="29"/>
      <c r="C63" s="29"/>
      <c r="D63" s="29"/>
      <c r="E63" s="29"/>
      <c r="F63" s="29"/>
      <c r="G63" s="26" t="str">
        <f aca="false">IF(OR(E63="",F63=""),"",E63*F63)</f>
        <v/>
      </c>
      <c r="H63" s="26" t="str">
        <f aca="false">IF(G63="","",IF(G63&gt;=15,"High",IF(G63&gt;=8,"Medium","Low")))</f>
        <v/>
      </c>
      <c r="I63" s="29"/>
      <c r="J63" s="29"/>
      <c r="K63" s="30"/>
      <c r="L63" s="29"/>
    </row>
    <row r="64" customFormat="false" ht="15" hidden="false" customHeight="false" outlineLevel="0" collapsed="false">
      <c r="A64" s="29"/>
      <c r="B64" s="29"/>
      <c r="C64" s="29"/>
      <c r="D64" s="29"/>
      <c r="E64" s="29"/>
      <c r="F64" s="29"/>
      <c r="G64" s="26" t="str">
        <f aca="false">IF(OR(E64="",F64=""),"",E64*F64)</f>
        <v/>
      </c>
      <c r="H64" s="26" t="str">
        <f aca="false">IF(G64="","",IF(G64&gt;=15,"High",IF(G64&gt;=8,"Medium","Low")))</f>
        <v/>
      </c>
      <c r="I64" s="29"/>
      <c r="J64" s="29"/>
      <c r="K64" s="30"/>
      <c r="L64" s="29"/>
    </row>
    <row r="65" customFormat="false" ht="15" hidden="false" customHeight="false" outlineLevel="0" collapsed="false">
      <c r="A65" s="29"/>
      <c r="B65" s="29"/>
      <c r="C65" s="29"/>
      <c r="D65" s="29"/>
      <c r="E65" s="29"/>
      <c r="F65" s="29"/>
      <c r="G65" s="26" t="str">
        <f aca="false">IF(OR(E65="",F65=""),"",E65*F65)</f>
        <v/>
      </c>
      <c r="H65" s="26" t="str">
        <f aca="false">IF(G65="","",IF(G65&gt;=15,"High",IF(G65&gt;=8,"Medium","Low")))</f>
        <v/>
      </c>
      <c r="I65" s="29"/>
      <c r="J65" s="29"/>
      <c r="K65" s="30"/>
      <c r="L65" s="29"/>
    </row>
    <row r="66" customFormat="false" ht="15" hidden="false" customHeight="false" outlineLevel="0" collapsed="false">
      <c r="A66" s="29"/>
      <c r="B66" s="29"/>
      <c r="C66" s="29"/>
      <c r="D66" s="29"/>
      <c r="E66" s="29"/>
      <c r="F66" s="29"/>
      <c r="G66" s="26" t="str">
        <f aca="false">IF(OR(E66="",F66=""),"",E66*F66)</f>
        <v/>
      </c>
      <c r="H66" s="26" t="str">
        <f aca="false">IF(G66="","",IF(G66&gt;=15,"High",IF(G66&gt;=8,"Medium","Low")))</f>
        <v/>
      </c>
      <c r="I66" s="29"/>
      <c r="J66" s="29"/>
      <c r="K66" s="30"/>
      <c r="L66" s="29"/>
    </row>
    <row r="67" customFormat="false" ht="15" hidden="false" customHeight="false" outlineLevel="0" collapsed="false">
      <c r="A67" s="29"/>
      <c r="B67" s="29"/>
      <c r="C67" s="29"/>
      <c r="D67" s="29"/>
      <c r="E67" s="29"/>
      <c r="F67" s="29"/>
      <c r="G67" s="26" t="str">
        <f aca="false">IF(OR(E67="",F67=""),"",E67*F67)</f>
        <v/>
      </c>
      <c r="H67" s="26" t="str">
        <f aca="false">IF(G67="","",IF(G67&gt;=15,"High",IF(G67&gt;=8,"Medium","Low")))</f>
        <v/>
      </c>
      <c r="I67" s="29"/>
      <c r="J67" s="29"/>
      <c r="K67" s="30"/>
      <c r="L67" s="29"/>
    </row>
    <row r="68" customFormat="false" ht="15" hidden="false" customHeight="false" outlineLevel="0" collapsed="false">
      <c r="A68" s="29"/>
      <c r="B68" s="29"/>
      <c r="C68" s="29"/>
      <c r="D68" s="29"/>
      <c r="E68" s="29"/>
      <c r="F68" s="29"/>
      <c r="G68" s="26" t="str">
        <f aca="false">IF(OR(E68="",F68=""),"",E68*F68)</f>
        <v/>
      </c>
      <c r="H68" s="26" t="str">
        <f aca="false">IF(G68="","",IF(G68&gt;=15,"High",IF(G68&gt;=8,"Medium","Low")))</f>
        <v/>
      </c>
      <c r="I68" s="29"/>
      <c r="J68" s="29"/>
      <c r="K68" s="30"/>
      <c r="L68" s="29"/>
    </row>
    <row r="69" customFormat="false" ht="15" hidden="false" customHeight="false" outlineLevel="0" collapsed="false">
      <c r="A69" s="29"/>
      <c r="B69" s="29"/>
      <c r="C69" s="29"/>
      <c r="D69" s="29"/>
      <c r="E69" s="29"/>
      <c r="F69" s="29"/>
      <c r="G69" s="26" t="str">
        <f aca="false">IF(OR(E69="",F69=""),"",E69*F69)</f>
        <v/>
      </c>
      <c r="H69" s="26" t="str">
        <f aca="false">IF(G69="","",IF(G69&gt;=15,"High",IF(G69&gt;=8,"Medium","Low")))</f>
        <v/>
      </c>
      <c r="I69" s="29"/>
      <c r="J69" s="29"/>
      <c r="K69" s="30"/>
      <c r="L69" s="29"/>
    </row>
    <row r="70" customFormat="false" ht="15" hidden="false" customHeight="false" outlineLevel="0" collapsed="false">
      <c r="A70" s="29"/>
      <c r="B70" s="29"/>
      <c r="C70" s="29"/>
      <c r="D70" s="29"/>
      <c r="E70" s="29"/>
      <c r="F70" s="29"/>
      <c r="G70" s="26" t="str">
        <f aca="false">IF(OR(E70="",F70=""),"",E70*F70)</f>
        <v/>
      </c>
      <c r="H70" s="26" t="str">
        <f aca="false">IF(G70="","",IF(G70&gt;=15,"High",IF(G70&gt;=8,"Medium","Low")))</f>
        <v/>
      </c>
      <c r="I70" s="29"/>
      <c r="J70" s="29"/>
      <c r="K70" s="30"/>
      <c r="L70" s="29"/>
    </row>
    <row r="71" customFormat="false" ht="15" hidden="false" customHeight="false" outlineLevel="0" collapsed="false">
      <c r="A71" s="29"/>
      <c r="B71" s="29"/>
      <c r="C71" s="29"/>
      <c r="D71" s="29"/>
      <c r="E71" s="29"/>
      <c r="F71" s="29"/>
      <c r="G71" s="26" t="str">
        <f aca="false">IF(OR(E71="",F71=""),"",E71*F71)</f>
        <v/>
      </c>
      <c r="H71" s="26" t="str">
        <f aca="false">IF(G71="","",IF(G71&gt;=15,"High",IF(G71&gt;=8,"Medium","Low")))</f>
        <v/>
      </c>
      <c r="I71" s="29"/>
      <c r="J71" s="29"/>
      <c r="K71" s="30"/>
      <c r="L71" s="29"/>
    </row>
    <row r="72" customFormat="false" ht="15" hidden="false" customHeight="false" outlineLevel="0" collapsed="false">
      <c r="A72" s="29"/>
      <c r="B72" s="29"/>
      <c r="C72" s="29"/>
      <c r="D72" s="29"/>
      <c r="E72" s="29"/>
      <c r="F72" s="29"/>
      <c r="G72" s="26" t="str">
        <f aca="false">IF(OR(E72="",F72=""),"",E72*F72)</f>
        <v/>
      </c>
      <c r="H72" s="26" t="str">
        <f aca="false">IF(G72="","",IF(G72&gt;=15,"High",IF(G72&gt;=8,"Medium","Low")))</f>
        <v/>
      </c>
      <c r="I72" s="29"/>
      <c r="J72" s="29"/>
      <c r="K72" s="30"/>
      <c r="L72" s="29"/>
    </row>
    <row r="73" customFormat="false" ht="15" hidden="false" customHeight="false" outlineLevel="0" collapsed="false">
      <c r="A73" s="29"/>
      <c r="B73" s="29"/>
      <c r="C73" s="29"/>
      <c r="D73" s="29"/>
      <c r="E73" s="29"/>
      <c r="F73" s="29"/>
      <c r="G73" s="26" t="str">
        <f aca="false">IF(OR(E73="",F73=""),"",E73*F73)</f>
        <v/>
      </c>
      <c r="H73" s="26" t="str">
        <f aca="false">IF(G73="","",IF(G73&gt;=15,"High",IF(G73&gt;=8,"Medium","Low")))</f>
        <v/>
      </c>
      <c r="I73" s="29"/>
      <c r="J73" s="29"/>
      <c r="K73" s="30"/>
      <c r="L73" s="29"/>
    </row>
    <row r="74" customFormat="false" ht="15" hidden="false" customHeight="false" outlineLevel="0" collapsed="false">
      <c r="A74" s="29"/>
      <c r="B74" s="29"/>
      <c r="C74" s="29"/>
      <c r="D74" s="29"/>
      <c r="E74" s="29"/>
      <c r="F74" s="29"/>
      <c r="G74" s="26" t="str">
        <f aca="false">IF(OR(E74="",F74=""),"",E74*F74)</f>
        <v/>
      </c>
      <c r="H74" s="26" t="str">
        <f aca="false">IF(G74="","",IF(G74&gt;=15,"High",IF(G74&gt;=8,"Medium","Low")))</f>
        <v/>
      </c>
      <c r="I74" s="29"/>
      <c r="J74" s="29"/>
      <c r="K74" s="30"/>
      <c r="L74" s="29"/>
    </row>
    <row r="75" customFormat="false" ht="15" hidden="false" customHeight="false" outlineLevel="0" collapsed="false">
      <c r="A75" s="29"/>
      <c r="B75" s="29"/>
      <c r="C75" s="29"/>
      <c r="D75" s="29"/>
      <c r="E75" s="29"/>
      <c r="F75" s="29"/>
      <c r="G75" s="26" t="str">
        <f aca="false">IF(OR(E75="",F75=""),"",E75*F75)</f>
        <v/>
      </c>
      <c r="H75" s="26" t="str">
        <f aca="false">IF(G75="","",IF(G75&gt;=15,"High",IF(G75&gt;=8,"Medium","Low")))</f>
        <v/>
      </c>
      <c r="I75" s="29"/>
      <c r="J75" s="29"/>
      <c r="K75" s="30"/>
      <c r="L75" s="29"/>
    </row>
    <row r="76" customFormat="false" ht="15" hidden="false" customHeight="false" outlineLevel="0" collapsed="false">
      <c r="A76" s="29"/>
      <c r="B76" s="29"/>
      <c r="C76" s="29"/>
      <c r="D76" s="29"/>
      <c r="E76" s="29"/>
      <c r="F76" s="29"/>
      <c r="G76" s="26" t="str">
        <f aca="false">IF(OR(E76="",F76=""),"",E76*F76)</f>
        <v/>
      </c>
      <c r="H76" s="26" t="str">
        <f aca="false">IF(G76="","",IF(G76&gt;=15,"High",IF(G76&gt;=8,"Medium","Low")))</f>
        <v/>
      </c>
      <c r="I76" s="29"/>
      <c r="J76" s="29"/>
      <c r="K76" s="30"/>
      <c r="L76" s="29"/>
    </row>
    <row r="77" customFormat="false" ht="15" hidden="false" customHeight="false" outlineLevel="0" collapsed="false">
      <c r="A77" s="29"/>
      <c r="B77" s="29"/>
      <c r="C77" s="29"/>
      <c r="D77" s="29"/>
      <c r="E77" s="29"/>
      <c r="F77" s="29"/>
      <c r="G77" s="26" t="str">
        <f aca="false">IF(OR(E77="",F77=""),"",E77*F77)</f>
        <v/>
      </c>
      <c r="H77" s="26" t="str">
        <f aca="false">IF(G77="","",IF(G77&gt;=15,"High",IF(G77&gt;=8,"Medium","Low")))</f>
        <v/>
      </c>
      <c r="I77" s="29"/>
      <c r="J77" s="29"/>
      <c r="K77" s="30"/>
      <c r="L77" s="29"/>
    </row>
    <row r="78" customFormat="false" ht="15" hidden="false" customHeight="false" outlineLevel="0" collapsed="false">
      <c r="A78" s="29"/>
      <c r="B78" s="29"/>
      <c r="C78" s="29"/>
      <c r="D78" s="29"/>
      <c r="E78" s="29"/>
      <c r="F78" s="29"/>
      <c r="G78" s="26" t="str">
        <f aca="false">IF(OR(E78="",F78=""),"",E78*F78)</f>
        <v/>
      </c>
      <c r="H78" s="26" t="str">
        <f aca="false">IF(G78="","",IF(G78&gt;=15,"High",IF(G78&gt;=8,"Medium","Low")))</f>
        <v/>
      </c>
      <c r="I78" s="29"/>
      <c r="J78" s="29"/>
      <c r="K78" s="30"/>
      <c r="L78" s="29"/>
    </row>
    <row r="79" customFormat="false" ht="15" hidden="false" customHeight="false" outlineLevel="0" collapsed="false">
      <c r="A79" s="29"/>
      <c r="B79" s="29"/>
      <c r="C79" s="29"/>
      <c r="D79" s="29"/>
      <c r="E79" s="29"/>
      <c r="F79" s="29"/>
      <c r="G79" s="26" t="str">
        <f aca="false">IF(OR(E79="",F79=""),"",E79*F79)</f>
        <v/>
      </c>
      <c r="H79" s="26" t="str">
        <f aca="false">IF(G79="","",IF(G79&gt;=15,"High",IF(G79&gt;=8,"Medium","Low")))</f>
        <v/>
      </c>
      <c r="I79" s="29"/>
      <c r="J79" s="29"/>
      <c r="K79" s="30"/>
      <c r="L79" s="29"/>
    </row>
    <row r="80" customFormat="false" ht="15" hidden="false" customHeight="false" outlineLevel="0" collapsed="false">
      <c r="A80" s="29"/>
      <c r="B80" s="29"/>
      <c r="C80" s="29"/>
      <c r="D80" s="29"/>
      <c r="E80" s="29"/>
      <c r="F80" s="29"/>
      <c r="G80" s="26" t="str">
        <f aca="false">IF(OR(E80="",F80=""),"",E80*F80)</f>
        <v/>
      </c>
      <c r="H80" s="26" t="str">
        <f aca="false">IF(G80="","",IF(G80&gt;=15,"High",IF(G80&gt;=8,"Medium","Low")))</f>
        <v/>
      </c>
      <c r="I80" s="29"/>
      <c r="J80" s="29"/>
      <c r="K80" s="30"/>
      <c r="L80" s="29"/>
    </row>
    <row r="81" customFormat="false" ht="15" hidden="false" customHeight="false" outlineLevel="0" collapsed="false">
      <c r="A81" s="29"/>
      <c r="B81" s="29"/>
      <c r="C81" s="29"/>
      <c r="D81" s="29"/>
      <c r="E81" s="29"/>
      <c r="F81" s="29"/>
      <c r="G81" s="26" t="str">
        <f aca="false">IF(OR(E81="",F81=""),"",E81*F81)</f>
        <v/>
      </c>
      <c r="H81" s="26" t="str">
        <f aca="false">IF(G81="","",IF(G81&gt;=15,"High",IF(G81&gt;=8,"Medium","Low")))</f>
        <v/>
      </c>
      <c r="I81" s="29"/>
      <c r="J81" s="29"/>
      <c r="K81" s="30"/>
      <c r="L81" s="29"/>
    </row>
    <row r="82" customFormat="false" ht="15" hidden="false" customHeight="false" outlineLevel="0" collapsed="false">
      <c r="A82" s="29"/>
      <c r="B82" s="29"/>
      <c r="C82" s="29"/>
      <c r="D82" s="29"/>
      <c r="E82" s="29"/>
      <c r="F82" s="29"/>
      <c r="G82" s="26" t="str">
        <f aca="false">IF(OR(E82="",F82=""),"",E82*F82)</f>
        <v/>
      </c>
      <c r="H82" s="26" t="str">
        <f aca="false">IF(G82="","",IF(G82&gt;=15,"High",IF(G82&gt;=8,"Medium","Low")))</f>
        <v/>
      </c>
      <c r="I82" s="29"/>
      <c r="J82" s="29"/>
      <c r="K82" s="30"/>
      <c r="L82" s="29"/>
    </row>
    <row r="83" customFormat="false" ht="15" hidden="false" customHeight="false" outlineLevel="0" collapsed="false">
      <c r="A83" s="29"/>
      <c r="B83" s="29"/>
      <c r="C83" s="29"/>
      <c r="D83" s="29"/>
      <c r="E83" s="29"/>
      <c r="F83" s="29"/>
      <c r="G83" s="26" t="str">
        <f aca="false">IF(OR(E83="",F83=""),"",E83*F83)</f>
        <v/>
      </c>
      <c r="H83" s="26" t="str">
        <f aca="false">IF(G83="","",IF(G83&gt;=15,"High",IF(G83&gt;=8,"Medium","Low")))</f>
        <v/>
      </c>
      <c r="I83" s="29"/>
      <c r="J83" s="29"/>
      <c r="K83" s="30"/>
      <c r="L83" s="29"/>
    </row>
    <row r="84" customFormat="false" ht="15" hidden="false" customHeight="false" outlineLevel="0" collapsed="false">
      <c r="A84" s="29"/>
      <c r="B84" s="29"/>
      <c r="C84" s="29"/>
      <c r="D84" s="29"/>
      <c r="E84" s="29"/>
      <c r="F84" s="29"/>
      <c r="G84" s="26" t="str">
        <f aca="false">IF(OR(E84="",F84=""),"",E84*F84)</f>
        <v/>
      </c>
      <c r="H84" s="26" t="str">
        <f aca="false">IF(G84="","",IF(G84&gt;=15,"High",IF(G84&gt;=8,"Medium","Low")))</f>
        <v/>
      </c>
      <c r="I84" s="29"/>
      <c r="J84" s="29"/>
      <c r="K84" s="30"/>
      <c r="L84" s="29"/>
    </row>
    <row r="85" customFormat="false" ht="15" hidden="false" customHeight="false" outlineLevel="0" collapsed="false">
      <c r="A85" s="29"/>
      <c r="B85" s="29"/>
      <c r="C85" s="29"/>
      <c r="D85" s="29"/>
      <c r="E85" s="29"/>
      <c r="F85" s="29"/>
      <c r="G85" s="26" t="str">
        <f aca="false">IF(OR(E85="",F85=""),"",E85*F85)</f>
        <v/>
      </c>
      <c r="H85" s="26" t="str">
        <f aca="false">IF(G85="","",IF(G85&gt;=15,"High",IF(G85&gt;=8,"Medium","Low")))</f>
        <v/>
      </c>
      <c r="I85" s="29"/>
      <c r="J85" s="29"/>
      <c r="K85" s="30"/>
      <c r="L85" s="29"/>
    </row>
    <row r="86" customFormat="false" ht="15" hidden="false" customHeight="false" outlineLevel="0" collapsed="false">
      <c r="A86" s="29"/>
      <c r="B86" s="29"/>
      <c r="C86" s="29"/>
      <c r="D86" s="29"/>
      <c r="E86" s="29"/>
      <c r="F86" s="29"/>
      <c r="G86" s="26" t="str">
        <f aca="false">IF(OR(E86="",F86=""),"",E86*F86)</f>
        <v/>
      </c>
      <c r="H86" s="26" t="str">
        <f aca="false">IF(G86="","",IF(G86&gt;=15,"High",IF(G86&gt;=8,"Medium","Low")))</f>
        <v/>
      </c>
      <c r="I86" s="29"/>
      <c r="J86" s="29"/>
      <c r="K86" s="30"/>
      <c r="L86" s="29"/>
    </row>
    <row r="87" customFormat="false" ht="15" hidden="false" customHeight="false" outlineLevel="0" collapsed="false">
      <c r="A87" s="29"/>
      <c r="B87" s="29"/>
      <c r="C87" s="29"/>
      <c r="D87" s="29"/>
      <c r="E87" s="29"/>
      <c r="F87" s="29"/>
      <c r="G87" s="26" t="str">
        <f aca="false">IF(OR(E87="",F87=""),"",E87*F87)</f>
        <v/>
      </c>
      <c r="H87" s="26" t="str">
        <f aca="false">IF(G87="","",IF(G87&gt;=15,"High",IF(G87&gt;=8,"Medium","Low")))</f>
        <v/>
      </c>
      <c r="I87" s="29"/>
      <c r="J87" s="29"/>
      <c r="K87" s="30"/>
      <c r="L87" s="29"/>
    </row>
    <row r="88" customFormat="false" ht="15" hidden="false" customHeight="false" outlineLevel="0" collapsed="false">
      <c r="A88" s="29"/>
      <c r="B88" s="29"/>
      <c r="C88" s="29"/>
      <c r="D88" s="29"/>
      <c r="E88" s="29"/>
      <c r="F88" s="29"/>
      <c r="G88" s="26" t="str">
        <f aca="false">IF(OR(E88="",F88=""),"",E88*F88)</f>
        <v/>
      </c>
      <c r="H88" s="26" t="str">
        <f aca="false">IF(G88="","",IF(G88&gt;=15,"High",IF(G88&gt;=8,"Medium","Low")))</f>
        <v/>
      </c>
      <c r="I88" s="29"/>
      <c r="J88" s="29"/>
      <c r="K88" s="30"/>
      <c r="L88" s="29"/>
    </row>
    <row r="89" customFormat="false" ht="15" hidden="false" customHeight="false" outlineLevel="0" collapsed="false">
      <c r="A89" s="29"/>
      <c r="B89" s="29"/>
      <c r="C89" s="29"/>
      <c r="D89" s="29"/>
      <c r="E89" s="29"/>
      <c r="F89" s="29"/>
      <c r="G89" s="26" t="str">
        <f aca="false">IF(OR(E89="",F89=""),"",E89*F89)</f>
        <v/>
      </c>
      <c r="H89" s="26" t="str">
        <f aca="false">IF(G89="","",IF(G89&gt;=15,"High",IF(G89&gt;=8,"Medium","Low")))</f>
        <v/>
      </c>
      <c r="I89" s="29"/>
      <c r="J89" s="29"/>
      <c r="K89" s="30"/>
      <c r="L89" s="29"/>
    </row>
    <row r="90" customFormat="false" ht="15" hidden="false" customHeight="false" outlineLevel="0" collapsed="false">
      <c r="A90" s="29"/>
      <c r="B90" s="29"/>
      <c r="C90" s="29"/>
      <c r="D90" s="29"/>
      <c r="E90" s="29"/>
      <c r="F90" s="29"/>
      <c r="G90" s="26" t="str">
        <f aca="false">IF(OR(E90="",F90=""),"",E90*F90)</f>
        <v/>
      </c>
      <c r="H90" s="26" t="str">
        <f aca="false">IF(G90="","",IF(G90&gt;=15,"High",IF(G90&gt;=8,"Medium","Low")))</f>
        <v/>
      </c>
      <c r="I90" s="29"/>
      <c r="J90" s="29"/>
      <c r="K90" s="30"/>
      <c r="L90" s="29"/>
    </row>
    <row r="91" customFormat="false" ht="15" hidden="false" customHeight="false" outlineLevel="0" collapsed="false">
      <c r="A91" s="29"/>
      <c r="B91" s="29"/>
      <c r="C91" s="29"/>
      <c r="D91" s="29"/>
      <c r="E91" s="29"/>
      <c r="F91" s="29"/>
      <c r="G91" s="26" t="str">
        <f aca="false">IF(OR(E91="",F91=""),"",E91*F91)</f>
        <v/>
      </c>
      <c r="H91" s="26" t="str">
        <f aca="false">IF(G91="","",IF(G91&gt;=15,"High",IF(G91&gt;=8,"Medium","Low")))</f>
        <v/>
      </c>
      <c r="I91" s="29"/>
      <c r="J91" s="29"/>
      <c r="K91" s="30"/>
      <c r="L91" s="29"/>
    </row>
    <row r="92" customFormat="false" ht="15" hidden="false" customHeight="false" outlineLevel="0" collapsed="false">
      <c r="A92" s="29"/>
      <c r="B92" s="29"/>
      <c r="C92" s="29"/>
      <c r="D92" s="29"/>
      <c r="E92" s="29"/>
      <c r="F92" s="29"/>
      <c r="G92" s="26" t="str">
        <f aca="false">IF(OR(E92="",F92=""),"",E92*F92)</f>
        <v/>
      </c>
      <c r="H92" s="26" t="str">
        <f aca="false">IF(G92="","",IF(G92&gt;=15,"High",IF(G92&gt;=8,"Medium","Low")))</f>
        <v/>
      </c>
      <c r="I92" s="29"/>
      <c r="J92" s="29"/>
      <c r="K92" s="30"/>
      <c r="L92" s="29"/>
    </row>
    <row r="93" customFormat="false" ht="15" hidden="false" customHeight="false" outlineLevel="0" collapsed="false">
      <c r="A93" s="29"/>
      <c r="B93" s="29"/>
      <c r="C93" s="29"/>
      <c r="D93" s="29"/>
      <c r="E93" s="29"/>
      <c r="F93" s="29"/>
      <c r="G93" s="26" t="str">
        <f aca="false">IF(OR(E93="",F93=""),"",E93*F93)</f>
        <v/>
      </c>
      <c r="H93" s="26" t="str">
        <f aca="false">IF(G93="","",IF(G93&gt;=15,"High",IF(G93&gt;=8,"Medium","Low")))</f>
        <v/>
      </c>
      <c r="I93" s="29"/>
      <c r="J93" s="29"/>
      <c r="K93" s="30"/>
      <c r="L93" s="29"/>
    </row>
    <row r="94" customFormat="false" ht="15" hidden="false" customHeight="false" outlineLevel="0" collapsed="false">
      <c r="A94" s="29"/>
      <c r="B94" s="29"/>
      <c r="C94" s="29"/>
      <c r="D94" s="29"/>
      <c r="E94" s="29"/>
      <c r="F94" s="29"/>
      <c r="G94" s="26" t="str">
        <f aca="false">IF(OR(E94="",F94=""),"",E94*F94)</f>
        <v/>
      </c>
      <c r="H94" s="26" t="str">
        <f aca="false">IF(G94="","",IF(G94&gt;=15,"High",IF(G94&gt;=8,"Medium","Low")))</f>
        <v/>
      </c>
      <c r="I94" s="29"/>
      <c r="J94" s="29"/>
      <c r="K94" s="30"/>
      <c r="L94" s="29"/>
    </row>
    <row r="95" customFormat="false" ht="15" hidden="false" customHeight="false" outlineLevel="0" collapsed="false">
      <c r="A95" s="29"/>
      <c r="B95" s="29"/>
      <c r="C95" s="29"/>
      <c r="D95" s="29"/>
      <c r="E95" s="29"/>
      <c r="F95" s="29"/>
      <c r="G95" s="26" t="str">
        <f aca="false">IF(OR(E95="",F95=""),"",E95*F95)</f>
        <v/>
      </c>
      <c r="H95" s="26" t="str">
        <f aca="false">IF(G95="","",IF(G95&gt;=15,"High",IF(G95&gt;=8,"Medium","Low")))</f>
        <v/>
      </c>
      <c r="I95" s="29"/>
      <c r="J95" s="29"/>
      <c r="K95" s="30"/>
      <c r="L95" s="29"/>
    </row>
    <row r="96" customFormat="false" ht="15" hidden="false" customHeight="false" outlineLevel="0" collapsed="false">
      <c r="A96" s="29"/>
      <c r="B96" s="29"/>
      <c r="C96" s="29"/>
      <c r="D96" s="29"/>
      <c r="E96" s="29"/>
      <c r="F96" s="29"/>
      <c r="G96" s="26" t="str">
        <f aca="false">IF(OR(E96="",F96=""),"",E96*F96)</f>
        <v/>
      </c>
      <c r="H96" s="26" t="str">
        <f aca="false">IF(G96="","",IF(G96&gt;=15,"High",IF(G96&gt;=8,"Medium","Low")))</f>
        <v/>
      </c>
      <c r="I96" s="29"/>
      <c r="J96" s="29"/>
      <c r="K96" s="30"/>
      <c r="L96" s="29"/>
    </row>
    <row r="97" customFormat="false" ht="15" hidden="false" customHeight="false" outlineLevel="0" collapsed="false">
      <c r="A97" s="29"/>
      <c r="B97" s="29"/>
      <c r="C97" s="29"/>
      <c r="D97" s="29"/>
      <c r="E97" s="29"/>
      <c r="F97" s="29"/>
      <c r="G97" s="26" t="str">
        <f aca="false">IF(OR(E97="",F97=""),"",E97*F97)</f>
        <v/>
      </c>
      <c r="H97" s="26" t="str">
        <f aca="false">IF(G97="","",IF(G97&gt;=15,"High",IF(G97&gt;=8,"Medium","Low")))</f>
        <v/>
      </c>
      <c r="I97" s="29"/>
      <c r="J97" s="29"/>
      <c r="K97" s="30"/>
      <c r="L97" s="29"/>
    </row>
    <row r="98" customFormat="false" ht="15" hidden="false" customHeight="false" outlineLevel="0" collapsed="false">
      <c r="A98" s="29"/>
      <c r="B98" s="29"/>
      <c r="C98" s="29"/>
      <c r="D98" s="29"/>
      <c r="E98" s="29"/>
      <c r="F98" s="29"/>
      <c r="G98" s="26" t="str">
        <f aca="false">IF(OR(E98="",F98=""),"",E98*F98)</f>
        <v/>
      </c>
      <c r="H98" s="26" t="str">
        <f aca="false">IF(G98="","",IF(G98&gt;=15,"High",IF(G98&gt;=8,"Medium","Low")))</f>
        <v/>
      </c>
      <c r="I98" s="29"/>
      <c r="J98" s="29"/>
      <c r="K98" s="30"/>
      <c r="L98" s="29"/>
    </row>
    <row r="99" customFormat="false" ht="15" hidden="false" customHeight="false" outlineLevel="0" collapsed="false">
      <c r="A99" s="29"/>
      <c r="B99" s="29"/>
      <c r="C99" s="29"/>
      <c r="D99" s="29"/>
      <c r="E99" s="29"/>
      <c r="F99" s="29"/>
      <c r="G99" s="26" t="str">
        <f aca="false">IF(OR(E99="",F99=""),"",E99*F99)</f>
        <v/>
      </c>
      <c r="H99" s="26" t="str">
        <f aca="false">IF(G99="","",IF(G99&gt;=15,"High",IF(G99&gt;=8,"Medium","Low")))</f>
        <v/>
      </c>
      <c r="I99" s="29"/>
      <c r="J99" s="29"/>
      <c r="K99" s="30"/>
      <c r="L99" s="29"/>
    </row>
    <row r="100" customFormat="false" ht="15" hidden="false" customHeight="false" outlineLevel="0" collapsed="false">
      <c r="A100" s="29"/>
      <c r="B100" s="29"/>
      <c r="C100" s="29"/>
      <c r="D100" s="29"/>
      <c r="E100" s="29"/>
      <c r="F100" s="29"/>
      <c r="G100" s="26" t="str">
        <f aca="false">IF(OR(E100="",F100=""),"",E100*F100)</f>
        <v/>
      </c>
      <c r="H100" s="26" t="str">
        <f aca="false">IF(G100="","",IF(G100&gt;=15,"High",IF(G100&gt;=8,"Medium","Low")))</f>
        <v/>
      </c>
      <c r="I100" s="29"/>
      <c r="J100" s="29"/>
      <c r="K100" s="30"/>
      <c r="L100" s="29"/>
    </row>
    <row r="101" customFormat="false" ht="15" hidden="false" customHeight="false" outlineLevel="0" collapsed="false">
      <c r="A101" s="29"/>
      <c r="B101" s="29"/>
      <c r="C101" s="29"/>
      <c r="D101" s="29"/>
      <c r="E101" s="29"/>
      <c r="F101" s="29"/>
      <c r="G101" s="26" t="str">
        <f aca="false">IF(OR(E101="",F101=""),"",E101*F101)</f>
        <v/>
      </c>
      <c r="H101" s="26" t="str">
        <f aca="false">IF(G101="","",IF(G101&gt;=15,"High",IF(G101&gt;=8,"Medium","Low")))</f>
        <v/>
      </c>
      <c r="I101" s="29"/>
      <c r="J101" s="29"/>
      <c r="K101" s="30"/>
      <c r="L101" s="29"/>
    </row>
    <row r="102" customFormat="false" ht="15" hidden="false" customHeight="false" outlineLevel="0" collapsed="false">
      <c r="A102" s="29"/>
      <c r="B102" s="29"/>
      <c r="C102" s="29"/>
      <c r="D102" s="29"/>
      <c r="E102" s="29"/>
      <c r="F102" s="29"/>
      <c r="G102" s="26" t="str">
        <f aca="false">IF(OR(E102="",F102=""),"",E102*F102)</f>
        <v/>
      </c>
      <c r="H102" s="26" t="str">
        <f aca="false">IF(G102="","",IF(G102&gt;=15,"High",IF(G102&gt;=8,"Medium","Low")))</f>
        <v/>
      </c>
      <c r="I102" s="29"/>
      <c r="J102" s="29"/>
      <c r="K102" s="30"/>
      <c r="L102" s="29"/>
    </row>
    <row r="103" customFormat="false" ht="15" hidden="false" customHeight="false" outlineLevel="0" collapsed="false">
      <c r="A103" s="29"/>
      <c r="B103" s="29"/>
      <c r="C103" s="29"/>
      <c r="D103" s="29"/>
      <c r="E103" s="29"/>
      <c r="F103" s="29"/>
      <c r="G103" s="26" t="str">
        <f aca="false">IF(OR(E103="",F103=""),"",E103*F103)</f>
        <v/>
      </c>
      <c r="H103" s="26" t="str">
        <f aca="false">IF(G103="","",IF(G103&gt;=15,"High",IF(G103&gt;=8,"Medium","Low")))</f>
        <v/>
      </c>
      <c r="I103" s="29"/>
      <c r="J103" s="29"/>
      <c r="K103" s="30"/>
      <c r="L103" s="29"/>
    </row>
    <row r="104" customFormat="false" ht="15" hidden="false" customHeight="false" outlineLevel="0" collapsed="false">
      <c r="A104" s="29"/>
      <c r="B104" s="29"/>
      <c r="C104" s="29"/>
      <c r="D104" s="29"/>
      <c r="E104" s="29"/>
      <c r="F104" s="29"/>
      <c r="G104" s="26" t="str">
        <f aca="false">IF(OR(E104="",F104=""),"",E104*F104)</f>
        <v/>
      </c>
      <c r="H104" s="26" t="str">
        <f aca="false">IF(G104="","",IF(G104&gt;=15,"High",IF(G104&gt;=8,"Medium","Low")))</f>
        <v/>
      </c>
      <c r="I104" s="29"/>
      <c r="J104" s="29"/>
      <c r="K104" s="30"/>
      <c r="L104" s="29"/>
    </row>
  </sheetData>
  <conditionalFormatting sqref="H5:H104">
    <cfRule type="expression" priority="2" aboveAverage="0" equalAverage="0" bottom="0" percent="0" rank="0" text="" dxfId="8">
      <formula>$H5="High"</formula>
    </cfRule>
    <cfRule type="expression" priority="3" aboveAverage="0" equalAverage="0" bottom="0" percent="0" rank="0" text="" dxfId="9">
      <formula>$H5="Medium"</formula>
    </cfRule>
    <cfRule type="expression" priority="4" aboveAverage="0" equalAverage="0" bottom="0" percent="0" rank="0" text="" dxfId="10">
      <formula>$H5="Low"</formula>
    </cfRule>
  </conditionalFormatting>
  <dataValidations count="4">
    <dataValidation allowBlank="true" errorStyle="stop" operator="between" showDropDown="false" showErrorMessage="false" showInputMessage="false" sqref="B5:B104" type="list">
      <formula1>Settings!$O$8:$O$19</formula1>
      <formula2>0</formula2>
    </dataValidation>
    <dataValidation allowBlank="true" errorStyle="stop" operator="between" showDropDown="false" showErrorMessage="false" showInputMessage="false" sqref="C5:C104" type="list">
      <formula1>Projects!$A$5:$A$54</formula1>
      <formula2>0</formula2>
    </dataValidation>
    <dataValidation allowBlank="true" errorStyle="stop" operator="between" showDropDown="false" showErrorMessage="false" showInputMessage="false" sqref="L5:L104" type="list">
      <formula1>Settings!$P$8:$P$19</formula1>
      <formula2>0</formula2>
    </dataValidation>
    <dataValidation allowBlank="true" errorStyle="stop" operator="between" showDropDown="false" showErrorMessage="false" showInputMessage="false" sqref="E5:F10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18" min="8" style="0" width="19"/>
  </cols>
  <sheetData>
    <row r="1" customFormat="false" ht="17.35" hidden="false" customHeight="false" outlineLevel="0" collapsed="false">
      <c r="A1" s="9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10" t="s">
        <v>238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4" t="s">
        <v>239</v>
      </c>
      <c r="B3" s="29" t="n">
        <v>2027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4" t="s">
        <v>240</v>
      </c>
      <c r="B4" s="37" t="n">
        <v>0.85</v>
      </c>
      <c r="C4" s="10" t="s">
        <v>241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customFormat="false" ht="30" hidden="false" customHeight="true" outlineLevel="0" collapsed="false">
      <c r="A7" s="17" t="s">
        <v>242</v>
      </c>
      <c r="B7" s="17" t="s">
        <v>243</v>
      </c>
      <c r="C7" s="17" t="s">
        <v>205</v>
      </c>
      <c r="D7" s="2"/>
      <c r="E7" s="17" t="s">
        <v>244</v>
      </c>
      <c r="F7" s="17" t="s">
        <v>245</v>
      </c>
      <c r="G7" s="2"/>
      <c r="H7" s="17" t="s">
        <v>246</v>
      </c>
      <c r="I7" s="17" t="s">
        <v>94</v>
      </c>
      <c r="J7" s="17" t="s">
        <v>63</v>
      </c>
      <c r="K7" s="17" t="s">
        <v>95</v>
      </c>
      <c r="L7" s="17" t="s">
        <v>100</v>
      </c>
      <c r="M7" s="17" t="s">
        <v>247</v>
      </c>
      <c r="N7" s="17" t="s">
        <v>59</v>
      </c>
      <c r="O7" s="17" t="s">
        <v>248</v>
      </c>
      <c r="P7" s="17" t="s">
        <v>249</v>
      </c>
      <c r="Q7" s="17" t="s">
        <v>250</v>
      </c>
      <c r="R7" s="17" t="s">
        <v>251</v>
      </c>
    </row>
    <row r="8" customFormat="false" ht="15" hidden="false" customHeight="false" outlineLevel="0" collapsed="false">
      <c r="A8" s="44" t="n">
        <f aca="false">DATE($B$3,1,1)</f>
        <v>46388</v>
      </c>
      <c r="B8" s="26" t="n">
        <f aca="false">NETWORKDAYS(A8,EOMONTH(A8,0),$E$8:$E$30)</f>
        <v>19</v>
      </c>
      <c r="C8" s="26" t="str">
        <f aca="false">"Q"&amp;ROUNDUP(MONTH(A8)/3,0)</f>
        <v>Q1</v>
      </c>
      <c r="D8" s="2"/>
      <c r="E8" s="30" t="n">
        <v>46388</v>
      </c>
      <c r="F8" s="29" t="s">
        <v>252</v>
      </c>
      <c r="G8" s="2"/>
      <c r="H8" s="29" t="s">
        <v>129</v>
      </c>
      <c r="I8" s="29" t="s">
        <v>108</v>
      </c>
      <c r="J8" s="29" t="s">
        <v>117</v>
      </c>
      <c r="K8" s="29" t="s">
        <v>253</v>
      </c>
      <c r="L8" s="29" t="s">
        <v>112</v>
      </c>
      <c r="M8" s="29" t="s">
        <v>150</v>
      </c>
      <c r="N8" s="29" t="s">
        <v>254</v>
      </c>
      <c r="O8" s="29" t="s">
        <v>225</v>
      </c>
      <c r="P8" s="29" t="s">
        <v>228</v>
      </c>
      <c r="Q8" s="29" t="s">
        <v>208</v>
      </c>
      <c r="R8" s="29" t="s">
        <v>203</v>
      </c>
    </row>
    <row r="9" customFormat="false" ht="15" hidden="false" customHeight="false" outlineLevel="0" collapsed="false">
      <c r="A9" s="44" t="n">
        <f aca="false">DATE($B$3,2,1)</f>
        <v>46419</v>
      </c>
      <c r="B9" s="26" t="n">
        <f aca="false">NETWORKDAYS(A9,EOMONTH(A9,0),$E$8:$E$30)</f>
        <v>19</v>
      </c>
      <c r="C9" s="26" t="str">
        <f aca="false">"Q"&amp;ROUNDUP(MONTH(A9)/3,0)</f>
        <v>Q1</v>
      </c>
      <c r="D9" s="2"/>
      <c r="E9" s="30" t="n">
        <v>46405</v>
      </c>
      <c r="F9" s="29" t="s">
        <v>255</v>
      </c>
      <c r="G9" s="2"/>
      <c r="H9" s="29" t="s">
        <v>121</v>
      </c>
      <c r="I9" s="29" t="s">
        <v>118</v>
      </c>
      <c r="J9" s="29" t="s">
        <v>127</v>
      </c>
      <c r="K9" s="29" t="s">
        <v>119</v>
      </c>
      <c r="L9" s="29" t="s">
        <v>122</v>
      </c>
      <c r="M9" s="29" t="s">
        <v>160</v>
      </c>
      <c r="N9" s="29" t="s">
        <v>97</v>
      </c>
      <c r="O9" s="29" t="s">
        <v>230</v>
      </c>
      <c r="P9" s="29" t="s">
        <v>256</v>
      </c>
      <c r="Q9" s="29" t="s">
        <v>210</v>
      </c>
      <c r="R9" s="29" t="s">
        <v>207</v>
      </c>
    </row>
    <row r="10" customFormat="false" ht="15" hidden="false" customHeight="false" outlineLevel="0" collapsed="false">
      <c r="A10" s="44" t="n">
        <f aca="false">DATE($B$3,3,1)</f>
        <v>46447</v>
      </c>
      <c r="B10" s="26" t="n">
        <f aca="false">NETWORKDAYS(A10,EOMONTH(A10,0),$E$8:$E$30)</f>
        <v>22</v>
      </c>
      <c r="C10" s="26" t="str">
        <f aca="false">"Q"&amp;ROUNDUP(MONTH(A10)/3,0)</f>
        <v>Q1</v>
      </c>
      <c r="D10" s="2"/>
      <c r="E10" s="30" t="n">
        <v>46433</v>
      </c>
      <c r="F10" s="29" t="s">
        <v>257</v>
      </c>
      <c r="G10" s="2"/>
      <c r="H10" s="29" t="s">
        <v>111</v>
      </c>
      <c r="I10" s="29" t="s">
        <v>258</v>
      </c>
      <c r="J10" s="29" t="s">
        <v>107</v>
      </c>
      <c r="K10" s="29" t="s">
        <v>259</v>
      </c>
      <c r="L10" s="29" t="s">
        <v>260</v>
      </c>
      <c r="M10" s="29" t="s">
        <v>173</v>
      </c>
      <c r="N10" s="29" t="s">
        <v>261</v>
      </c>
      <c r="O10" s="29" t="s">
        <v>262</v>
      </c>
      <c r="P10" s="29" t="s">
        <v>263</v>
      </c>
      <c r="Q10" s="29" t="s">
        <v>264</v>
      </c>
      <c r="R10" s="29" t="s">
        <v>214</v>
      </c>
    </row>
    <row r="11" customFormat="false" ht="15" hidden="false" customHeight="false" outlineLevel="0" collapsed="false">
      <c r="A11" s="44" t="n">
        <f aca="false">DATE($B$3,4,1)</f>
        <v>46478</v>
      </c>
      <c r="B11" s="26" t="n">
        <f aca="false">NETWORKDAYS(A11,EOMONTH(A11,0),$E$8:$E$30)</f>
        <v>22</v>
      </c>
      <c r="C11" s="26" t="str">
        <f aca="false">"Q"&amp;ROUNDUP(MONTH(A11)/3,0)</f>
        <v>Q2</v>
      </c>
      <c r="D11" s="2"/>
      <c r="E11" s="30" t="n">
        <v>46472</v>
      </c>
      <c r="F11" s="29" t="s">
        <v>265</v>
      </c>
      <c r="G11" s="2"/>
      <c r="H11" s="29" t="s">
        <v>266</v>
      </c>
      <c r="I11" s="29" t="s">
        <v>267</v>
      </c>
      <c r="J11" s="29" t="s">
        <v>268</v>
      </c>
      <c r="K11" s="29" t="s">
        <v>109</v>
      </c>
      <c r="L11" s="29"/>
      <c r="M11" s="29"/>
      <c r="N11" s="29" t="s">
        <v>155</v>
      </c>
      <c r="O11" s="29" t="s">
        <v>234</v>
      </c>
      <c r="P11" s="29"/>
      <c r="Q11" s="29" t="s">
        <v>269</v>
      </c>
      <c r="R11" s="29" t="s">
        <v>270</v>
      </c>
    </row>
    <row r="12" customFormat="false" ht="15" hidden="false" customHeight="false" outlineLevel="0" collapsed="false">
      <c r="A12" s="44" t="n">
        <f aca="false">DATE($B$3,5,1)</f>
        <v>46508</v>
      </c>
      <c r="B12" s="26" t="n">
        <f aca="false">NETWORKDAYS(A12,EOMONTH(A12,0),$E$8:$E$30)</f>
        <v>20</v>
      </c>
      <c r="C12" s="26" t="str">
        <f aca="false">"Q"&amp;ROUNDUP(MONTH(A12)/3,0)</f>
        <v>Q2</v>
      </c>
      <c r="D12" s="2"/>
      <c r="E12" s="30" t="n">
        <v>46538</v>
      </c>
      <c r="F12" s="29" t="s">
        <v>271</v>
      </c>
      <c r="G12" s="2"/>
      <c r="H12" s="29" t="s">
        <v>272</v>
      </c>
      <c r="I12" s="29"/>
      <c r="J12" s="29" t="s">
        <v>273</v>
      </c>
      <c r="K12" s="29"/>
      <c r="L12" s="29"/>
      <c r="M12" s="29"/>
      <c r="N12" s="29" t="s">
        <v>159</v>
      </c>
      <c r="O12" s="29"/>
      <c r="P12" s="29"/>
      <c r="Q12" s="29" t="s">
        <v>272</v>
      </c>
      <c r="R12" s="29"/>
    </row>
    <row r="13" customFormat="false" ht="15" hidden="false" customHeight="false" outlineLevel="0" collapsed="false">
      <c r="A13" s="44" t="n">
        <f aca="false">DATE($B$3,6,1)</f>
        <v>46539</v>
      </c>
      <c r="B13" s="26" t="n">
        <f aca="false">NETWORKDAYS(A13,EOMONTH(A13,0),$E$8:$E$30)</f>
        <v>21</v>
      </c>
      <c r="C13" s="26" t="str">
        <f aca="false">"Q"&amp;ROUNDUP(MONTH(A13)/3,0)</f>
        <v>Q2</v>
      </c>
      <c r="D13" s="2"/>
      <c r="E13" s="30" t="n">
        <v>46556</v>
      </c>
      <c r="F13" s="29" t="s">
        <v>274</v>
      </c>
      <c r="G13" s="2"/>
      <c r="H13" s="29" t="s">
        <v>275</v>
      </c>
      <c r="I13" s="29"/>
      <c r="J13" s="29"/>
      <c r="K13" s="29"/>
      <c r="L13" s="29"/>
      <c r="M13" s="29"/>
      <c r="N13" s="29" t="s">
        <v>166</v>
      </c>
      <c r="O13" s="29"/>
      <c r="P13" s="29"/>
      <c r="Q13" s="29"/>
      <c r="R13" s="29"/>
    </row>
    <row r="14" customFormat="false" ht="15" hidden="false" customHeight="false" outlineLevel="0" collapsed="false">
      <c r="A14" s="44" t="n">
        <f aca="false">DATE($B$3,7,1)</f>
        <v>46569</v>
      </c>
      <c r="B14" s="26" t="n">
        <f aca="false">NETWORKDAYS(A14,EOMONTH(A14,0),$E$8:$E$30)</f>
        <v>21</v>
      </c>
      <c r="C14" s="26" t="str">
        <f aca="false">"Q"&amp;ROUNDUP(MONTH(A14)/3,0)</f>
        <v>Q3</v>
      </c>
      <c r="D14" s="2"/>
      <c r="E14" s="30" t="n">
        <v>46573</v>
      </c>
      <c r="F14" s="29" t="s">
        <v>276</v>
      </c>
      <c r="G14" s="2"/>
      <c r="H14" s="29"/>
      <c r="I14" s="29"/>
      <c r="J14" s="29"/>
      <c r="K14" s="29"/>
      <c r="L14" s="29"/>
      <c r="M14" s="29"/>
      <c r="N14" s="29" t="s">
        <v>170</v>
      </c>
      <c r="O14" s="29"/>
      <c r="P14" s="29"/>
      <c r="Q14" s="29"/>
      <c r="R14" s="29"/>
    </row>
    <row r="15" customFormat="false" ht="15" hidden="false" customHeight="false" outlineLevel="0" collapsed="false">
      <c r="A15" s="44" t="n">
        <f aca="false">DATE($B$3,8,1)</f>
        <v>46600</v>
      </c>
      <c r="B15" s="26" t="n">
        <f aca="false">NETWORKDAYS(A15,EOMONTH(A15,0),$E$8:$E$30)</f>
        <v>22</v>
      </c>
      <c r="C15" s="26" t="str">
        <f aca="false">"Q"&amp;ROUNDUP(MONTH(A15)/3,0)</f>
        <v>Q3</v>
      </c>
      <c r="D15" s="2"/>
      <c r="E15" s="30" t="n">
        <v>46636</v>
      </c>
      <c r="F15" s="29" t="s">
        <v>277</v>
      </c>
      <c r="G15" s="2"/>
      <c r="H15" s="29"/>
      <c r="I15" s="29"/>
      <c r="J15" s="29"/>
      <c r="K15" s="29"/>
      <c r="L15" s="29"/>
      <c r="M15" s="29"/>
      <c r="N15" s="29" t="s">
        <v>278</v>
      </c>
      <c r="O15" s="29"/>
      <c r="P15" s="29"/>
      <c r="Q15" s="29"/>
      <c r="R15" s="29"/>
    </row>
    <row r="16" customFormat="false" ht="15" hidden="false" customHeight="false" outlineLevel="0" collapsed="false">
      <c r="A16" s="44" t="n">
        <f aca="false">DATE($B$3,9,1)</f>
        <v>46631</v>
      </c>
      <c r="B16" s="26" t="n">
        <f aca="false">NETWORKDAYS(A16,EOMONTH(A16,0),$E$8:$E$30)</f>
        <v>21</v>
      </c>
      <c r="C16" s="26" t="str">
        <f aca="false">"Q"&amp;ROUNDUP(MONTH(A16)/3,0)</f>
        <v>Q3</v>
      </c>
      <c r="D16" s="2"/>
      <c r="E16" s="30" t="n">
        <v>46716</v>
      </c>
      <c r="F16" s="29" t="s">
        <v>279</v>
      </c>
      <c r="G16" s="2"/>
      <c r="H16" s="29"/>
      <c r="I16" s="29"/>
      <c r="J16" s="29"/>
      <c r="K16" s="29"/>
      <c r="L16" s="29"/>
      <c r="M16" s="29"/>
      <c r="N16" s="29" t="s">
        <v>280</v>
      </c>
      <c r="O16" s="29"/>
      <c r="P16" s="29"/>
      <c r="Q16" s="29"/>
      <c r="R16" s="29"/>
    </row>
    <row r="17" customFormat="false" ht="15" hidden="false" customHeight="false" outlineLevel="0" collapsed="false">
      <c r="A17" s="44" t="n">
        <f aca="false">DATE($B$3,10,1)</f>
        <v>46661</v>
      </c>
      <c r="B17" s="26" t="n">
        <f aca="false">NETWORKDAYS(A17,EOMONTH(A17,0),$E$8:$E$30)</f>
        <v>21</v>
      </c>
      <c r="C17" s="26" t="str">
        <f aca="false">"Q"&amp;ROUNDUP(MONTH(A17)/3,0)</f>
        <v>Q4</v>
      </c>
      <c r="D17" s="2"/>
      <c r="E17" s="30" t="n">
        <v>46717</v>
      </c>
      <c r="F17" s="29" t="s">
        <v>281</v>
      </c>
      <c r="G17" s="2"/>
      <c r="H17" s="29"/>
      <c r="I17" s="29"/>
      <c r="J17" s="29"/>
      <c r="K17" s="29"/>
      <c r="L17" s="29"/>
      <c r="M17" s="29"/>
      <c r="N17" s="29" t="s">
        <v>282</v>
      </c>
      <c r="O17" s="29"/>
      <c r="P17" s="29"/>
      <c r="Q17" s="29"/>
      <c r="R17" s="29"/>
    </row>
    <row r="18" customFormat="false" ht="15" hidden="false" customHeight="false" outlineLevel="0" collapsed="false">
      <c r="A18" s="44" t="n">
        <f aca="false">DATE($B$3,11,1)</f>
        <v>46692</v>
      </c>
      <c r="B18" s="26" t="n">
        <f aca="false">NETWORKDAYS(A18,EOMONTH(A18,0),$E$8:$E$30)</f>
        <v>20</v>
      </c>
      <c r="C18" s="26" t="str">
        <f aca="false">"Q"&amp;ROUNDUP(MONTH(A18)/3,0)</f>
        <v>Q4</v>
      </c>
      <c r="D18" s="2"/>
      <c r="E18" s="30" t="n">
        <v>46745</v>
      </c>
      <c r="F18" s="29" t="s">
        <v>283</v>
      </c>
      <c r="G18" s="2"/>
      <c r="H18" s="29"/>
      <c r="I18" s="29"/>
      <c r="J18" s="29"/>
      <c r="K18" s="29"/>
      <c r="L18" s="29"/>
      <c r="M18" s="29"/>
      <c r="N18" s="29" t="s">
        <v>284</v>
      </c>
      <c r="O18" s="29"/>
      <c r="P18" s="29"/>
      <c r="Q18" s="29"/>
      <c r="R18" s="29"/>
    </row>
    <row r="19" customFormat="false" ht="15" hidden="false" customHeight="false" outlineLevel="0" collapsed="false">
      <c r="A19" s="44" t="n">
        <f aca="false">DATE($B$3,12,1)</f>
        <v>46722</v>
      </c>
      <c r="B19" s="26" t="n">
        <f aca="false">NETWORKDAYS(A19,EOMONTH(A19,0),$E$8:$E$30)</f>
        <v>22</v>
      </c>
      <c r="C19" s="26" t="str">
        <f aca="false">"Q"&amp;ROUNDUP(MONTH(A19)/3,0)</f>
        <v>Q4</v>
      </c>
      <c r="D19" s="2"/>
      <c r="E19" s="30"/>
      <c r="F19" s="29"/>
      <c r="G19" s="2"/>
      <c r="H19" s="29"/>
      <c r="I19" s="29"/>
      <c r="J19" s="29"/>
      <c r="K19" s="29"/>
      <c r="L19" s="29"/>
      <c r="M19" s="29"/>
      <c r="N19" s="29" t="s">
        <v>285</v>
      </c>
      <c r="O19" s="29"/>
      <c r="P19" s="29"/>
      <c r="Q19" s="29"/>
      <c r="R19" s="29"/>
    </row>
    <row r="20" customFormat="false" ht="15" hidden="false" customHeight="false" outlineLevel="0" collapsed="false">
      <c r="A20" s="2"/>
      <c r="B20" s="2"/>
      <c r="C20" s="2"/>
      <c r="D20" s="2"/>
      <c r="E20" s="30"/>
      <c r="F20" s="2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5" hidden="false" customHeight="false" outlineLevel="0" collapsed="false">
      <c r="A21" s="2"/>
      <c r="B21" s="2"/>
      <c r="C21" s="2"/>
      <c r="D21" s="2"/>
      <c r="E21" s="30"/>
      <c r="F21" s="2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5" hidden="false" customHeight="false" outlineLevel="0" collapsed="false">
      <c r="A22" s="2"/>
      <c r="B22" s="2"/>
      <c r="C22" s="2"/>
      <c r="D22" s="2"/>
      <c r="E22" s="30"/>
      <c r="F22" s="2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5" hidden="false" customHeight="false" outlineLevel="0" collapsed="false">
      <c r="A23" s="2"/>
      <c r="B23" s="2"/>
      <c r="C23" s="2"/>
      <c r="D23" s="2"/>
      <c r="E23" s="30"/>
      <c r="F23" s="2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5" hidden="false" customHeight="false" outlineLevel="0" collapsed="false">
      <c r="A24" s="2"/>
      <c r="B24" s="2"/>
      <c r="C24" s="2"/>
      <c r="D24" s="2"/>
      <c r="E24" s="30"/>
      <c r="F24" s="2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5" hidden="false" customHeight="false" outlineLevel="0" collapsed="false">
      <c r="A25" s="2"/>
      <c r="B25" s="2"/>
      <c r="C25" s="2"/>
      <c r="D25" s="2"/>
      <c r="E25" s="30"/>
      <c r="F25" s="2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5" hidden="false" customHeight="false" outlineLevel="0" collapsed="false">
      <c r="A26" s="2"/>
      <c r="B26" s="2"/>
      <c r="C26" s="2"/>
      <c r="D26" s="2"/>
      <c r="E26" s="30"/>
      <c r="F26" s="2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false" outlineLevel="0" collapsed="false">
      <c r="A27" s="2"/>
      <c r="B27" s="2"/>
      <c r="C27" s="2"/>
      <c r="D27" s="2"/>
      <c r="E27" s="30"/>
      <c r="F27" s="2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5" hidden="false" customHeight="false" outlineLevel="0" collapsed="false">
      <c r="A28" s="2"/>
      <c r="B28" s="2"/>
      <c r="C28" s="2"/>
      <c r="D28" s="2"/>
      <c r="E28" s="30"/>
      <c r="F28" s="2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5" hidden="false" customHeight="false" outlineLevel="0" collapsed="false">
      <c r="A29" s="2"/>
      <c r="B29" s="2"/>
      <c r="C29" s="2"/>
      <c r="D29" s="2"/>
      <c r="E29" s="30"/>
      <c r="F29" s="2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5" hidden="false" customHeight="false" outlineLevel="0" collapsed="false">
      <c r="A30" s="2"/>
      <c r="B30" s="2"/>
      <c r="C30" s="2"/>
      <c r="D30" s="2"/>
      <c r="E30" s="30"/>
      <c r="F30" s="2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5" hidden="false" customHeight="false" outlineLevel="0" collapsed="false">
      <c r="A31" s="2"/>
      <c r="B31" s="2"/>
      <c r="C31" s="2"/>
      <c r="D31" s="2"/>
      <c r="E31" s="10" t="s">
        <v>286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2026-10-09T15:03:44Z</dcterms:created>
  <dc:creator>openpyxl</dc:creator>
  <dc:description/>
  <dc:language>en-US</dc:language>
  <cp:lastModifiedBy/>
  <dcterms:modified xsi:type="dcterms:W3CDTF">2026-10-09T11:03:47Z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